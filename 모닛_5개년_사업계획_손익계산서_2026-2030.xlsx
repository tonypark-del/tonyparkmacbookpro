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1_요약" sheetId="1" state="visible" r:id="rId1"/>
    <sheet name="2_손익계산서" sheetId="2" state="visible" r:id="rId2"/>
    <sheet name="3_연간손익" sheetId="3" state="visible" r:id="rId3"/>
    <sheet name="4_매출_거래처" sheetId="4" state="visible" r:id="rId4"/>
    <sheet name="5_매출_제품지역" sheetId="5" state="visible" r:id="rId5"/>
    <sheet name="6_거래처현황" sheetId="6" state="visible" r:id="rId6"/>
    <sheet name="7_비용인력" sheetId="7" state="visible" r:id="rId7"/>
    <sheet name="8_가정" sheetId="8" state="visible" r:id="rId8"/>
    <sheet name="9_시나리오" sheetId="9" state="visible" r:id="rId9"/>
    <sheet name="10_IR정합" sheetId="10" state="visible" r:id="rId10"/>
    <sheet name="★제출전_확인사항(삭제후제출)" sheetId="11" state="visible" r:id="rId11"/>
  </sheets>
  <definedNames/>
  <calcPr calcId="124519" fullCalcOnLoad="1"/>
</workbook>
</file>

<file path=xl/styles.xml><?xml version="1.0" encoding="utf-8"?>
<styleSheet xmlns="http://schemas.openxmlformats.org/spreadsheetml/2006/main">
  <numFmts count="6">
    <numFmt numFmtId="164" formatCode="#,##0;(#,##0);&quot;-&quot;"/>
    <numFmt numFmtId="165" formatCode="#,##0.0;(#,##0.0);&quot;-&quot;"/>
    <numFmt numFmtId="166" formatCode="0%;(0%);&quot;-&quot;"/>
    <numFmt numFmtId="167" formatCode="0.0%;(0.0%);&quot;-&quot;"/>
    <numFmt numFmtId="168" formatCode="0.00%;(0.00%);&quot;-&quot;"/>
    <numFmt numFmtId="169" formatCode="0.00&quot;x&quot;"/>
  </numFmts>
  <fonts count="25">
    <font>
      <name val="Calibri"/>
      <family val="2"/>
      <color theme="1"/>
      <sz val="11"/>
      <scheme val="minor"/>
    </font>
    <font>
      <name val="맑은 고딕"/>
      <b val="1"/>
      <color rgb="001F3864"/>
      <sz val="14"/>
    </font>
    <font>
      <name val="맑은 고딕"/>
      <i val="1"/>
      <color rgb="00595959"/>
      <sz val="9"/>
    </font>
    <font>
      <name val="맑은 고딕"/>
      <b val="1"/>
      <color rgb="00FFFFFF"/>
      <sz val="10"/>
    </font>
    <font>
      <name val="맑은 고딕"/>
      <b val="1"/>
      <color rgb="00FFFFFF"/>
      <sz val="9"/>
    </font>
    <font>
      <name val="맑은 고딕"/>
      <b val="1"/>
      <color rgb="00000000"/>
      <sz val="9"/>
    </font>
    <font>
      <name val="맑은 고딕"/>
      <color rgb="00000000"/>
      <sz val="9"/>
    </font>
    <font>
      <name val="맑은 고딕"/>
      <color rgb="000000FF"/>
      <sz val="9"/>
    </font>
    <font>
      <name val="맑은 고딕"/>
      <b val="1"/>
      <color rgb="00008000"/>
      <sz val="9"/>
    </font>
    <font>
      <name val="맑은 고딕"/>
      <color rgb="00008000"/>
      <sz val="9"/>
    </font>
    <font>
      <name val="맑은 고딕"/>
      <b val="1"/>
      <color rgb="001F3864"/>
      <sz val="9"/>
    </font>
    <font>
      <name val="맑은 고딕"/>
      <color rgb="00000000"/>
      <sz val="8"/>
    </font>
    <font>
      <name val="맑은 고딕"/>
      <color rgb="00595959"/>
      <sz val="9"/>
    </font>
    <font>
      <name val="맑은 고딕"/>
      <b val="1"/>
      <color rgb="001F3864"/>
      <sz val="10"/>
    </font>
    <font>
      <name val="맑은 고딕"/>
      <color rgb="007F7F7F"/>
      <sz val="9"/>
    </font>
    <font>
      <name val="맑은 고딕"/>
      <i val="1"/>
      <color rgb="00000000"/>
      <sz val="9"/>
    </font>
    <font>
      <name val="맑은 고딕"/>
      <color rgb="007F7F7F"/>
      <sz val="8"/>
    </font>
    <font>
      <name val="맑은 고딕"/>
      <i val="1"/>
      <color rgb="00008000"/>
      <sz val="9"/>
    </font>
    <font>
      <name val="맑은 고딕"/>
      <b val="1"/>
      <color rgb="000000FF"/>
      <sz val="9"/>
    </font>
    <font>
      <name val="맑은 고딕"/>
      <i val="1"/>
      <color rgb="000000FF"/>
      <sz val="9"/>
    </font>
    <font>
      <name val="맑은 고딕"/>
      <i val="1"/>
      <color rgb="007F7F7F"/>
      <sz val="9"/>
    </font>
    <font>
      <name val="맑은 고딕"/>
      <b val="1"/>
      <color rgb="000000FF"/>
      <sz val="10"/>
    </font>
    <font>
      <name val="맑은 고딕"/>
      <color rgb="000563C1"/>
      <sz val="9"/>
      <u val="single"/>
    </font>
    <font>
      <name val="맑은 고딕"/>
      <color rgb="00404040"/>
      <sz val="9"/>
    </font>
    <font>
      <name val="맑은 고딕"/>
      <color rgb="00595959"/>
      <sz val="8"/>
    </font>
  </fonts>
  <fills count="8">
    <fill>
      <patternFill/>
    </fill>
    <fill>
      <patternFill patternType="gray125"/>
    </fill>
    <fill>
      <patternFill patternType="solid">
        <fgColor rgb="001F3864"/>
      </patternFill>
    </fill>
    <fill>
      <patternFill patternType="solid">
        <fgColor rgb="002F5597"/>
      </patternFill>
    </fill>
    <fill>
      <patternFill patternType="solid">
        <fgColor rgb="00FFF2A8"/>
      </patternFill>
    </fill>
    <fill>
      <patternFill patternType="solid">
        <fgColor rgb="00DEEAF6"/>
      </patternFill>
    </fill>
    <fill>
      <patternFill patternType="solid">
        <fgColor rgb="00E2EFDA"/>
      </patternFill>
    </fill>
    <fill>
      <patternFill patternType="solid">
        <fgColor rgb="00F2F2F2"/>
      </patternFill>
    </fill>
  </fills>
  <borders count="8">
    <border>
      <left/>
      <right/>
      <top/>
      <bottom/>
      <diagonal/>
    </border>
    <border>
      <top style="thin">
        <color rgb="00000000"/>
      </top>
    </border>
    <border>
      <top style="thin">
        <color rgb="00000000"/>
      </top>
      <bottom style="double">
        <color rgb="00000000"/>
      </bottom>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08">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13" fillId="0" borderId="0" applyAlignment="1" pivotButton="0" quotePrefix="0" xfId="0">
      <alignment vertical="center"/>
    </xf>
    <xf numFmtId="0" fontId="21" fillId="4" borderId="3" applyAlignment="1" pivotButton="0" quotePrefix="0" xfId="0">
      <alignment vertical="center"/>
    </xf>
    <xf numFmtId="0" fontId="0" fillId="0" borderId="6" pivotButton="0" quotePrefix="0" xfId="0"/>
    <xf numFmtId="0" fontId="0" fillId="0" borderId="7" pivotButton="0" quotePrefix="0" xfId="0"/>
    <xf numFmtId="0" fontId="14" fillId="0" borderId="0" applyAlignment="1" pivotButton="0" quotePrefix="0" xfId="0">
      <alignment vertical="center"/>
    </xf>
    <xf numFmtId="1" fontId="6" fillId="0" borderId="0" applyAlignment="1" pivotButton="0" quotePrefix="0" xfId="0">
      <alignment vertical="center"/>
    </xf>
    <xf numFmtId="0" fontId="10" fillId="0" borderId="0" applyAlignment="1" pivotButton="0" quotePrefix="0" xfId="0">
      <alignment vertical="center"/>
    </xf>
    <xf numFmtId="0" fontId="22"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vertical="center"/>
    </xf>
    <xf numFmtId="165" fontId="8" fillId="0" borderId="0" applyAlignment="1" pivotButton="0" quotePrefix="0" xfId="0">
      <alignment vertical="center"/>
    </xf>
    <xf numFmtId="167" fontId="2" fillId="0" borderId="0" applyAlignment="1" pivotButton="0" quotePrefix="0" xfId="0">
      <alignment vertical="center"/>
    </xf>
    <xf numFmtId="0" fontId="6" fillId="0" borderId="0" applyAlignment="1" pivotButton="0" quotePrefix="0" xfId="0">
      <alignment vertical="center"/>
    </xf>
    <xf numFmtId="167" fontId="9" fillId="0" borderId="0" applyAlignment="1" pivotButton="0" quotePrefix="0" xfId="0">
      <alignment vertical="center"/>
    </xf>
    <xf numFmtId="165" fontId="9" fillId="0" borderId="0" applyAlignment="1" pivotButton="0" quotePrefix="0" xfId="0">
      <alignment vertical="center"/>
    </xf>
    <xf numFmtId="164" fontId="9" fillId="0" borderId="0" applyAlignment="1" pivotButton="0" quotePrefix="0" xfId="0">
      <alignment vertical="center"/>
    </xf>
    <xf numFmtId="165" fontId="5" fillId="0" borderId="1" applyAlignment="1" pivotButton="0" quotePrefix="0" xfId="0">
      <alignment vertical="center"/>
    </xf>
    <xf numFmtId="0" fontId="23" fillId="0" borderId="0" applyAlignment="1" pivotButton="0" quotePrefix="0" xfId="0">
      <alignment vertical="center"/>
    </xf>
    <xf numFmtId="0" fontId="4" fillId="2" borderId="0" applyAlignment="1" pivotButton="0" quotePrefix="0" xfId="0">
      <alignment horizontal="left" vertical="center" wrapText="1"/>
    </xf>
    <xf numFmtId="0" fontId="4" fillId="3" borderId="0" applyAlignment="1" pivotButton="0" quotePrefix="0" xfId="0">
      <alignment horizontal="center" vertical="center" wrapText="1"/>
    </xf>
    <xf numFmtId="164" fontId="5" fillId="5" borderId="0" applyAlignment="1" pivotButton="0" quotePrefix="0" xfId="0">
      <alignment vertical="center"/>
    </xf>
    <xf numFmtId="164" fontId="9" fillId="6" borderId="0" applyAlignment="1" pivotButton="0" quotePrefix="0" xfId="0">
      <alignment vertical="center"/>
    </xf>
    <xf numFmtId="164" fontId="5" fillId="0" borderId="0" applyAlignment="1" pivotButton="0" quotePrefix="0" xfId="0">
      <alignment vertical="center"/>
    </xf>
    <xf numFmtId="164" fontId="5" fillId="0" borderId="1" applyAlignment="1" pivotButton="0" quotePrefix="0" xfId="0">
      <alignment vertical="center"/>
    </xf>
    <xf numFmtId="164" fontId="5" fillId="5" borderId="1" applyAlignment="1" pivotButton="0" quotePrefix="0" xfId="0">
      <alignment vertical="center"/>
    </xf>
    <xf numFmtId="164" fontId="5" fillId="6" borderId="1" applyAlignment="1" pivotButton="0" quotePrefix="0" xfId="0">
      <alignment vertical="center"/>
    </xf>
    <xf numFmtId="0" fontId="16" fillId="0" borderId="0" applyAlignment="1" pivotButton="0" quotePrefix="0" xfId="0">
      <alignment vertical="center"/>
    </xf>
    <xf numFmtId="167" fontId="2" fillId="5" borderId="0" applyAlignment="1" pivotButton="0" quotePrefix="0" xfId="0">
      <alignment vertical="center"/>
    </xf>
    <xf numFmtId="167" fontId="2" fillId="6" borderId="0" applyAlignment="1" pivotButton="0" quotePrefix="0" xfId="0">
      <alignment vertical="center"/>
    </xf>
    <xf numFmtId="0" fontId="5" fillId="7" borderId="0" applyAlignment="1" pivotButton="0" quotePrefix="0" xfId="0">
      <alignment vertical="center"/>
    </xf>
    <xf numFmtId="164" fontId="5" fillId="7" borderId="0" applyAlignment="1" pivotButton="0" quotePrefix="0" xfId="0">
      <alignment vertical="center"/>
    </xf>
    <xf numFmtId="164" fontId="5" fillId="6" borderId="0" applyAlignment="1" pivotButton="0" quotePrefix="0" xfId="0">
      <alignment vertical="center"/>
    </xf>
    <xf numFmtId="164" fontId="8" fillId="5" borderId="0" applyAlignment="1" pivotButton="0" quotePrefix="0" xfId="0">
      <alignment vertical="center"/>
    </xf>
    <xf numFmtId="164" fontId="8" fillId="0" borderId="0" applyAlignment="1" pivotButton="0" quotePrefix="0" xfId="0">
      <alignment vertical="center"/>
    </xf>
    <xf numFmtId="164" fontId="5" fillId="7" borderId="2" applyAlignment="1" pivotButton="0" quotePrefix="0" xfId="0">
      <alignment vertical="center"/>
    </xf>
    <xf numFmtId="164" fontId="5" fillId="5" borderId="2" applyAlignment="1" pivotButton="0" quotePrefix="0" xfId="0">
      <alignment vertical="center"/>
    </xf>
    <xf numFmtId="164" fontId="5" fillId="6" borderId="2" applyAlignment="1" pivotButton="0" quotePrefix="0" xfId="0">
      <alignment vertical="center"/>
    </xf>
    <xf numFmtId="164" fontId="17" fillId="0" borderId="0" applyAlignment="1" pivotButton="0" quotePrefix="0" xfId="0">
      <alignment vertical="center"/>
    </xf>
    <xf numFmtId="164" fontId="17" fillId="5" borderId="0" applyAlignment="1" pivotButton="0" quotePrefix="0" xfId="0">
      <alignment vertical="center"/>
    </xf>
    <xf numFmtId="164" fontId="17" fillId="6" borderId="0" applyAlignment="1" pivotButton="0" quotePrefix="0" xfId="0">
      <alignment vertical="center"/>
    </xf>
    <xf numFmtId="164" fontId="6" fillId="0" borderId="0" applyAlignment="1" pivotButton="0" quotePrefix="0" xfId="0">
      <alignment vertical="center"/>
    </xf>
    <xf numFmtId="164" fontId="6" fillId="5" borderId="0" applyAlignment="1" pivotButton="0" quotePrefix="0" xfId="0">
      <alignment vertical="center"/>
    </xf>
    <xf numFmtId="164" fontId="6" fillId="6" borderId="0" applyAlignment="1" pivotButton="0" quotePrefix="0" xfId="0">
      <alignment vertical="center"/>
    </xf>
    <xf numFmtId="165" fontId="9" fillId="5" borderId="0" applyAlignment="1" pivotButton="0" quotePrefix="0" xfId="0">
      <alignment vertical="center"/>
    </xf>
    <xf numFmtId="165" fontId="9" fillId="6" borderId="0" applyAlignment="1" pivotButton="0" quotePrefix="0" xfId="0">
      <alignment vertical="center"/>
    </xf>
    <xf numFmtId="164" fontId="9" fillId="5" borderId="0" applyAlignment="1" pivotButton="0" quotePrefix="0" xfId="0">
      <alignment vertical="center"/>
    </xf>
    <xf numFmtId="167" fontId="6" fillId="5" borderId="0" applyAlignment="1" pivotButton="0" quotePrefix="0" xfId="0">
      <alignment vertical="center"/>
    </xf>
    <xf numFmtId="167" fontId="6" fillId="6" borderId="0" applyAlignment="1" pivotButton="0" quotePrefix="0" xfId="0">
      <alignment vertical="center"/>
    </xf>
    <xf numFmtId="167" fontId="5" fillId="0" borderId="0" applyAlignment="1" pivotButton="0" quotePrefix="0" xfId="0">
      <alignment vertical="center"/>
    </xf>
    <xf numFmtId="0" fontId="12" fillId="0" borderId="0" applyAlignment="1" pivotButton="0" quotePrefix="0" xfId="0">
      <alignment vertical="center"/>
    </xf>
    <xf numFmtId="164" fontId="18" fillId="0" borderId="0" applyAlignment="1" pivotButton="0" quotePrefix="0" xfId="0">
      <alignment vertical="center"/>
    </xf>
    <xf numFmtId="0" fontId="15" fillId="0" borderId="0" applyAlignment="1" pivotButton="0" quotePrefix="0" xfId="0">
      <alignment vertical="center"/>
    </xf>
    <xf numFmtId="164" fontId="7" fillId="0" borderId="0" applyAlignment="1" pivotButton="0" quotePrefix="0" xfId="0">
      <alignment vertical="center"/>
    </xf>
    <xf numFmtId="164" fontId="19" fillId="0" borderId="0" applyAlignment="1" pivotButton="0" quotePrefix="0" xfId="0">
      <alignment vertical="center"/>
    </xf>
    <xf numFmtId="167" fontId="6" fillId="0" borderId="0" applyAlignment="1" pivotButton="0" quotePrefix="0" xfId="0">
      <alignment vertical="center"/>
    </xf>
    <xf numFmtId="0" fontId="20" fillId="0" borderId="0" applyAlignment="1" pivotButton="0" quotePrefix="0" xfId="0">
      <alignment vertical="center"/>
    </xf>
    <xf numFmtId="164" fontId="14" fillId="0" borderId="0" applyAlignment="1" pivotButton="0" quotePrefix="0" xfId="0">
      <alignment vertical="center"/>
    </xf>
    <xf numFmtId="0" fontId="12" fillId="0" borderId="0" applyAlignment="1" pivotButton="0" quotePrefix="0" xfId="0">
      <alignment horizontal="right" vertical="center"/>
    </xf>
    <xf numFmtId="1" fontId="12" fillId="0" borderId="0" applyAlignment="1" pivotButton="0" quotePrefix="0" xfId="0">
      <alignment horizontal="center" vertical="center"/>
    </xf>
    <xf numFmtId="1" fontId="14" fillId="0" borderId="0" applyAlignment="1" pivotButton="0" quotePrefix="0" xfId="0">
      <alignment vertical="center"/>
    </xf>
    <xf numFmtId="0" fontId="6" fillId="0" borderId="0" applyAlignment="1" pivotButton="0" quotePrefix="0" xfId="0">
      <alignment horizontal="center" vertical="center"/>
    </xf>
    <xf numFmtId="166" fontId="7" fillId="0" borderId="0" applyAlignment="1" pivotButton="0" quotePrefix="0" xfId="0">
      <alignment vertical="center"/>
    </xf>
    <xf numFmtId="166" fontId="9" fillId="0" borderId="0" applyAlignment="1" pivotButton="0" quotePrefix="0" xfId="0">
      <alignment vertical="center"/>
    </xf>
    <xf numFmtId="0" fontId="11" fillId="0" borderId="0" applyAlignment="1" pivotButton="0" quotePrefix="0" xfId="0">
      <alignment vertical="center"/>
    </xf>
    <xf numFmtId="164" fontId="7" fillId="4" borderId="0" applyAlignment="1" pivotButton="0" quotePrefix="0" xfId="0">
      <alignment vertical="center"/>
    </xf>
    <xf numFmtId="168" fontId="6" fillId="0" borderId="0" applyAlignment="1" pivotButton="0" quotePrefix="0" xfId="0">
      <alignment vertical="center"/>
    </xf>
    <xf numFmtId="1" fontId="9" fillId="0" borderId="0" applyAlignment="1" pivotButton="0" quotePrefix="0" xfId="0">
      <alignment vertical="center"/>
    </xf>
    <xf numFmtId="167" fontId="12" fillId="0" borderId="0" applyAlignment="1" pivotButton="0" quotePrefix="0" xfId="0">
      <alignment vertical="center"/>
    </xf>
    <xf numFmtId="0" fontId="9" fillId="0" borderId="0" applyAlignment="1" pivotButton="0" quotePrefix="0" xfId="0">
      <alignment vertical="center"/>
    </xf>
    <xf numFmtId="166" fontId="6" fillId="0" borderId="0" applyAlignment="1" pivotButton="0" quotePrefix="0" xfId="0">
      <alignment vertical="center"/>
    </xf>
    <xf numFmtId="0" fontId="6" fillId="0" borderId="0" applyAlignment="1" pivotButton="0" quotePrefix="0" xfId="0">
      <alignment vertical="top"/>
    </xf>
    <xf numFmtId="0" fontId="6" fillId="0" borderId="0" applyAlignment="1" pivotButton="0" quotePrefix="0" xfId="0">
      <alignment vertical="top" wrapText="1"/>
    </xf>
    <xf numFmtId="164" fontId="9" fillId="0" borderId="0" applyAlignment="1" pivotButton="0" quotePrefix="0" xfId="0">
      <alignment vertical="top"/>
    </xf>
    <xf numFmtId="0" fontId="14" fillId="0" borderId="0" applyAlignment="1" pivotButton="0" quotePrefix="0" xfId="0">
      <alignment horizontal="right" vertical="top"/>
    </xf>
    <xf numFmtId="166" fontId="9" fillId="5" borderId="0" applyAlignment="1" pivotButton="0" quotePrefix="0" xfId="0">
      <alignment vertical="center"/>
    </xf>
    <xf numFmtId="166" fontId="9" fillId="6" borderId="0" applyAlignment="1" pivotButton="0" quotePrefix="0" xfId="0">
      <alignment vertical="center"/>
    </xf>
    <xf numFmtId="165" fontId="6" fillId="5" borderId="0" applyAlignment="1" pivotButton="0" quotePrefix="0" xfId="0">
      <alignment vertical="center"/>
    </xf>
    <xf numFmtId="165" fontId="6" fillId="0" borderId="0" applyAlignment="1" pivotButton="0" quotePrefix="0" xfId="0">
      <alignment vertical="center"/>
    </xf>
    <xf numFmtId="165" fontId="6" fillId="6" borderId="0" applyAlignment="1" pivotButton="0" quotePrefix="0" xfId="0">
      <alignment vertical="center"/>
    </xf>
    <xf numFmtId="166" fontId="6" fillId="5" borderId="0" applyAlignment="1" pivotButton="0" quotePrefix="0" xfId="0">
      <alignment vertical="center"/>
    </xf>
    <xf numFmtId="166" fontId="6" fillId="6" borderId="0" applyAlignment="1" pivotButton="0" quotePrefix="0" xfId="0">
      <alignment vertical="center"/>
    </xf>
    <xf numFmtId="164" fontId="15" fillId="0" borderId="0" applyAlignment="1" pivotButton="0" quotePrefix="0" xfId="0">
      <alignment vertical="center"/>
    </xf>
    <xf numFmtId="164" fontId="15" fillId="5" borderId="0" applyAlignment="1" pivotButton="0" quotePrefix="0" xfId="0">
      <alignment vertical="center"/>
    </xf>
    <xf numFmtId="164" fontId="15" fillId="6" borderId="0" applyAlignment="1" pivotButton="0" quotePrefix="0" xfId="0">
      <alignment vertical="center"/>
    </xf>
    <xf numFmtId="0" fontId="3" fillId="2" borderId="0" applyAlignment="1" pivotButton="0" quotePrefix="0" xfId="0">
      <alignment vertical="center"/>
    </xf>
    <xf numFmtId="0" fontId="0" fillId="2" borderId="0" pivotButton="0" quotePrefix="0" xfId="0"/>
    <xf numFmtId="0" fontId="6" fillId="0" borderId="0" applyAlignment="1" pivotButton="0" quotePrefix="0" xfId="0">
      <alignment vertical="center" wrapText="1"/>
    </xf>
    <xf numFmtId="165" fontId="7" fillId="4" borderId="0" applyAlignment="1" pivotButton="0" quotePrefix="0" xfId="0">
      <alignment vertical="center"/>
    </xf>
    <xf numFmtId="166" fontId="7" fillId="4" borderId="0" applyAlignment="1" pivotButton="0" quotePrefix="0" xfId="0">
      <alignment vertical="center"/>
    </xf>
    <xf numFmtId="1" fontId="7" fillId="4" borderId="0" applyAlignment="1" pivotButton="0" quotePrefix="0" xfId="0">
      <alignment vertical="center"/>
    </xf>
    <xf numFmtId="166" fontId="8" fillId="0" borderId="0" applyAlignment="1" pivotButton="0" quotePrefix="0" xfId="0">
      <alignment vertical="center"/>
    </xf>
    <xf numFmtId="167" fontId="7" fillId="4" borderId="0" applyAlignment="1" pivotButton="0" quotePrefix="0" xfId="0">
      <alignment vertical="center"/>
    </xf>
    <xf numFmtId="0" fontId="6" fillId="3" borderId="0" applyAlignment="1" pivotButton="0" quotePrefix="0" xfId="0">
      <alignment vertical="center" wrapText="1"/>
    </xf>
    <xf numFmtId="164" fontId="9" fillId="4" borderId="0" applyAlignment="1" pivotButton="0" quotePrefix="0" xfId="0">
      <alignment vertical="center"/>
    </xf>
    <xf numFmtId="167" fontId="7" fillId="0" borderId="0" applyAlignment="1" pivotButton="0" quotePrefix="0" xfId="0">
      <alignment vertical="center"/>
    </xf>
    <xf numFmtId="165" fontId="23" fillId="0" borderId="0" applyAlignment="1" pivotButton="0" quotePrefix="0" xfId="0">
      <alignment vertical="center"/>
    </xf>
    <xf numFmtId="167" fontId="23" fillId="0" borderId="0" applyAlignment="1" pivotButton="0" quotePrefix="0" xfId="0">
      <alignment vertical="center"/>
    </xf>
    <xf numFmtId="164" fontId="23" fillId="0" borderId="0" applyAlignment="1" pivotButton="0" quotePrefix="0" xfId="0">
      <alignment vertical="center"/>
    </xf>
    <xf numFmtId="0" fontId="8" fillId="0" borderId="0" applyAlignment="1" pivotButton="0" quotePrefix="0" xfId="0">
      <alignment horizontal="center" vertical="center"/>
    </xf>
    <xf numFmtId="0" fontId="11" fillId="0" borderId="0" applyAlignment="1" pivotButton="0" quotePrefix="0" xfId="0">
      <alignment vertical="center" wrapText="1"/>
    </xf>
    <xf numFmtId="0" fontId="24" fillId="0" borderId="0" applyAlignment="1" pivotButton="0" quotePrefix="0" xfId="0">
      <alignment vertical="center"/>
    </xf>
    <xf numFmtId="167" fontId="5" fillId="0" borderId="1" applyAlignment="1" pivotButton="0" quotePrefix="0" xfId="0">
      <alignment vertical="center"/>
    </xf>
    <xf numFmtId="0" fontId="5" fillId="0" borderId="0" applyAlignment="1" pivotButton="0" quotePrefix="0" xfId="0">
      <alignment horizontal="center" vertical="center"/>
    </xf>
    <xf numFmtId="169" fontId="6" fillId="0" borderId="0" applyAlignment="1" pivotButton="0" quotePrefix="0" xfId="0">
      <alignment vertical="center"/>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a:p>
            <a:pPr>
              <a:defRPr/>
            </a:pPr>
            <a:r>
              <a:t>지역별 매출 추이 (억원)</a:t>
            </a:r>
          </a:p>
        </rich>
      </tx>
    </title>
    <plotArea>
      <barChart>
        <barDir val="col"/>
        <grouping val="stacked"/>
        <ser>
          <idx val="0"/>
          <order val="0"/>
          <tx>
            <v>한국</v>
          </tx>
          <spPr>
            <a:ln>
              <a:prstDash val="solid"/>
            </a:ln>
          </spPr>
          <cat>
            <numRef>
              <f>'1_요약'!$D$23:$H$23</f>
            </numRef>
          </cat>
          <val>
            <numRef>
              <f>'1_요약'!$D$24:$H$24</f>
            </numRef>
          </val>
        </ser>
        <ser>
          <idx val="1"/>
          <order val="1"/>
          <tx>
            <v>일본</v>
          </tx>
          <spPr>
            <a:ln>
              <a:prstDash val="solid"/>
            </a:ln>
          </spPr>
          <cat>
            <numRef>
              <f>'1_요약'!$D$23:$H$23</f>
            </numRef>
          </cat>
          <val>
            <numRef>
              <f>'1_요약'!$D$25:$H$25</f>
            </numRef>
          </val>
        </ser>
        <ser>
          <idx val="2"/>
          <order val="2"/>
          <tx>
            <v>동남아·APAC</v>
          </tx>
          <spPr>
            <a:ln>
              <a:prstDash val="solid"/>
            </a:ln>
          </spPr>
          <cat>
            <numRef>
              <f>'1_요약'!$D$23:$H$23</f>
            </numRef>
          </cat>
          <val>
            <numRef>
              <f>'1_요약'!$D$26:$H$26</f>
            </numRef>
          </val>
        </ser>
        <ser>
          <idx val="3"/>
          <order val="3"/>
          <tx>
            <v>유럽</v>
          </tx>
          <spPr>
            <a:ln>
              <a:prstDash val="solid"/>
            </a:ln>
          </spPr>
          <cat>
            <numRef>
              <f>'1_요약'!$D$23:$H$23</f>
            </numRef>
          </cat>
          <val>
            <numRef>
              <f>'1_요약'!$D$27:$H$27</f>
            </numRef>
          </val>
        </ser>
        <ser>
          <idx val="4"/>
          <order val="4"/>
          <tx>
            <v>미국</v>
          </tx>
          <spPr>
            <a:ln>
              <a:prstDash val="solid"/>
            </a:ln>
          </spPr>
          <cat>
            <numRef>
              <f>'1_요약'!$D$23:$H$23</f>
            </numRef>
          </cat>
          <val>
            <numRef>
              <f>'1_요약'!$D$28:$H$28</f>
            </numRef>
          </val>
        </ser>
        <ser>
          <idx val="5"/>
          <order val="5"/>
          <tx>
            <v>글로벌(삼성채널)</v>
          </tx>
          <spPr>
            <a:ln>
              <a:prstDash val="solid"/>
            </a:ln>
          </spPr>
          <cat>
            <numRef>
              <f>'1_요약'!$D$23:$H$23</f>
            </numRef>
          </cat>
          <val>
            <numRef>
              <f>'1_요약'!$D$29:$H$29</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매출액(억원)과 영업이익률</a:t>
            </a:r>
          </a:p>
        </rich>
      </tx>
    </title>
    <plotArea>
      <barChart>
        <barDir val="col"/>
        <grouping val="clustered"/>
        <ser>
          <idx val="0"/>
          <order val="0"/>
          <tx>
            <v>매출액(억원)</v>
          </tx>
          <spPr>
            <a:ln>
              <a:prstDash val="solid"/>
            </a:ln>
          </spPr>
          <cat>
            <numRef>
              <f>'1_요약'!$D$7:$H$7</f>
            </numRef>
          </cat>
          <val>
            <numRef>
              <f>'1_요약'!$D$8:$H$8</f>
            </numRef>
          </val>
        </ser>
        <gapWidth val="150"/>
        <axId val="10"/>
        <axId val="100"/>
      </barChart>
      <lineChart>
        <grouping val="standard"/>
        <ser>
          <idx val="1"/>
          <order val="1"/>
          <tx>
            <v>영업이익률</v>
          </tx>
          <spPr>
            <a:ln>
              <a:prstDash val="solid"/>
            </a:ln>
          </spPr>
          <marker>
            <symbol val="none"/>
            <spPr>
              <a:ln>
                <a:prstDash val="solid"/>
              </a:ln>
            </spPr>
          </marker>
          <val>
            <numRef>
              <f>'1_요약'!$D$13:$H$13</f>
            </numRef>
          </val>
          <smooth val="0"/>
        </ser>
        <axId val="10"/>
        <axId val="200"/>
      </lineChart>
      <catAx>
        <axId val="10"/>
        <scaling>
          <orientation val="minMax"/>
        </scaling>
        <axPos val="l"/>
        <majorTickMark val="none"/>
        <minorTickMark val="none"/>
        <crossAx val="100"/>
        <lblOffset val="100"/>
      </catAx>
      <valAx>
        <axId val="100"/>
        <scaling>
          <orientation val="minMax"/>
        </scaling>
        <axPos val="l"/>
        <majorTickMark val="none"/>
        <minorTickMark val="none"/>
        <crossAx val="10"/>
      </valAx>
      <valAx>
        <axId val="200"/>
        <scaling>
          <orientation val="minMax"/>
        </scaling>
        <axPos val="l"/>
        <majorGridlines/>
        <numFmt formatCode="0%" sourceLinked="0"/>
        <majorTickMark val="none"/>
        <minorTickMark val="none"/>
        <crossAx val="10"/>
        <crosses val="max"/>
      </valAx>
    </plotArea>
    <legend>
      <legendPos val="b"/>
    </legend>
    <plotVisOnly val="1"/>
    <dispBlanksAs val="gap"/>
  </chart>
</chartSpace>
</file>

<file path=xl/comments/comment1.xml><?xml version="1.0" encoding="utf-8"?>
<comments xmlns="http://schemas.openxmlformats.org/spreadsheetml/2006/main">
  <authors>
    <author>MONIT 사업계획</author>
  </authors>
  <commentList>
    <comment ref="C92" authorId="0" shapeId="0">
      <text>
        <t>2026년 09월분 급상여대장(지급일 2026-09-25) 대표이사 지급합계 13,688,890원. 인상 없이 2026~2030 동일 적용.</t>
      </text>
    </comment>
    <comment ref="C93" authorId="0" shapeId="0">
      <text>
        <t>2026년 09월분 급상여대장: 대표 제외 6명 지급합계 26,000,001원 ÷ 6 = 4,333,334원(약 4,339천원 가정치로 사용). 공제 전 총액 기준, 연 상여 미포함.</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6</row>
      <rowOff>0</rowOff>
    </from>
    <ext cx="6120000" cy="306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25</row>
      <rowOff>0</rowOff>
    </from>
    <ext cx="6120000" cy="30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2_&#49552;&#51061;&#44228;&#49328;&#49436;'!A1" TargetMode="External" Id="rId1" /><Relationship Type="http://schemas.openxmlformats.org/officeDocument/2006/relationships/hyperlink" Target="#'10_IR&#51221;&#54633;'!A1" TargetMode="External" Id="rId2" /><Relationship Type="http://schemas.openxmlformats.org/officeDocument/2006/relationships/hyperlink" Target="#'9_&#49884;&#45208;&#47532;&#50724;'!A1" TargetMode="External" Id="rId3" /><Relationship Type="http://schemas.openxmlformats.org/officeDocument/2006/relationships/hyperlink" Target="#'&#9733;&#51228;&#52636;&#51204;_&#54869;&#51064;&#49324;&#54637;(&#49325;&#51228;&#54980;&#51228;&#52636;)'!A1" TargetMode="External" Id="rId4" /><Relationship Type="http://schemas.openxmlformats.org/officeDocument/2006/relationships/drawing" Target="/xl/drawings/drawing1.xml" Id="rId5"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001F3864"/>
    <outlinePr summaryBelow="1" summaryRight="1"/>
    <pageSetUpPr fitToPage="1"/>
  </sheetPr>
  <dimension ref="A1:I53"/>
  <sheetViews>
    <sheetView showGridLines="0" workbookViewId="0">
      <selection activeCell="A1" sqref="A1"/>
    </sheetView>
  </sheetViews>
  <sheetFormatPr baseColWidth="8" defaultRowHeight="15"/>
  <cols>
    <col width="34" customWidth="1" min="1" max="1"/>
    <col width="3" customWidth="1" min="2" max="2"/>
    <col width="12" customWidth="1" min="3" max="3"/>
    <col width="12" customWidth="1" min="4" max="4"/>
    <col width="12" customWidth="1" min="5" max="5"/>
    <col width="12" customWidth="1" min="6" max="6"/>
    <col width="12" customWidth="1" min="7" max="7"/>
    <col width="12" customWidth="1" min="8" max="8"/>
    <col width="12" customWidth="1" min="9" max="9"/>
    <col width="3" customWidth="1" min="10" max="10"/>
  </cols>
  <sheetData>
    <row r="1">
      <c r="A1" s="1" t="inlineStr">
        <is>
          <t>(주)모닛 5개년 사업계획 요약 (2026~2030)</t>
        </is>
      </c>
    </row>
    <row r="2">
      <c r="A2" s="2" t="inlineStr">
        <is>
          <t>AIoT 스마트 기저귀 케어(MECS PRO) · 글로벌 매출 전망 기반 손익계산서 — 단위: 억원(별도 표기 제외)</t>
        </is>
      </c>
    </row>
    <row r="3"/>
    <row r="4">
      <c r="A4" s="3" t="inlineStr">
        <is>
          <t>시나리오 선택 ▶</t>
        </is>
      </c>
      <c r="C4" s="4" t="inlineStr">
        <is>
          <t>S1 경영계획(IR 정합)</t>
        </is>
      </c>
      <c r="D4" s="5" t="n"/>
      <c r="E4" s="6" t="n"/>
      <c r="F4" s="2" t="inlineStr">
        <is>
          <t>← 드롭다운으로 전환(모든 시트가 연동)</t>
        </is>
      </c>
    </row>
    <row r="5">
      <c r="A5" s="7" t="inlineStr">
        <is>
          <t>시나리오 번호(계산용)</t>
        </is>
      </c>
      <c r="C5" s="8">
        <f>IFERROR(MATCH(C4,'8_가정'!$C$26:$E$26,0),1)</f>
        <v>1</v>
      </c>
    </row>
    <row r="6">
      <c r="A6" s="9" t="inlineStr">
        <is>
          <t>바로가기 ▶</t>
        </is>
      </c>
      <c r="C6" s="10" t="inlineStr">
        <is>
          <t>2_손익계산서</t>
        </is>
      </c>
      <c r="E6" s="10" t="inlineStr">
        <is>
          <t>10_IR정합</t>
        </is>
      </c>
      <c r="G6" s="10" t="inlineStr">
        <is>
          <t>9_시나리오</t>
        </is>
      </c>
      <c r="I6" s="10" t="inlineStr">
        <is>
          <t>★제출전_확인사항</t>
        </is>
      </c>
    </row>
    <row r="7">
      <c r="A7" s="11" t="inlineStr">
        <is>
          <t>핵심 지표</t>
        </is>
      </c>
      <c r="C7" s="11" t="inlineStr">
        <is>
          <t>2025A</t>
        </is>
      </c>
      <c r="D7" s="11" t="inlineStr">
        <is>
          <t>2026E</t>
        </is>
      </c>
      <c r="E7" s="11" t="inlineStr">
        <is>
          <t>2027E</t>
        </is>
      </c>
      <c r="F7" s="11" t="inlineStr">
        <is>
          <t>2028E</t>
        </is>
      </c>
      <c r="G7" s="11" t="inlineStr">
        <is>
          <t>2029E</t>
        </is>
      </c>
      <c r="H7" s="11" t="inlineStr">
        <is>
          <t>2030E</t>
        </is>
      </c>
      <c r="I7" s="11" t="inlineStr">
        <is>
          <t>CAGR('25~'30)</t>
        </is>
      </c>
    </row>
    <row r="8">
      <c r="A8" s="12" t="inlineStr">
        <is>
          <t>매출액</t>
        </is>
      </c>
      <c r="C8" s="13">
        <f>'3_연간손익'!C7/100000</f>
        <v>8.54163091</v>
      </c>
      <c r="D8" s="13">
        <f>'3_연간손익'!D7/100000</f>
        <v>12.74645</v>
      </c>
      <c r="E8" s="13">
        <f>'3_연간손익'!E7/100000</f>
        <v>100.05</v>
      </c>
      <c r="F8" s="13">
        <f>'3_연간손익'!F7/100000</f>
        <v>330</v>
      </c>
      <c r="G8" s="13">
        <f>'3_연간손익'!G7/100000</f>
        <v>700</v>
      </c>
      <c r="H8" s="13">
        <f>'3_연간손익'!H7/100000</f>
        <v>1560</v>
      </c>
      <c r="I8" s="14">
        <f>IFERROR(('3_연간손익'!H7/'3_연간손익'!C7)^(1/5)-1,"n/a")</f>
        <v>1.83345786870168</v>
      </c>
    </row>
    <row r="9">
      <c r="A9" s="15" t="inlineStr">
        <is>
          <t xml:space="preserve">  전년 대비 성장률</t>
        </is>
      </c>
      <c r="C9" s="16">
        <f>'3_연간손익'!C7/'3_연간손익'!B7-1</f>
        <v>0.0538414710121797</v>
      </c>
      <c r="D9" s="16">
        <f>'3_연간손익'!D8</f>
        <v>0.492273563948691</v>
      </c>
      <c r="E9" s="16">
        <f>'3_연간손익'!E8</f>
        <v>6.84924429939316</v>
      </c>
      <c r="F9" s="16">
        <f>'3_연간손익'!F8</f>
        <v>2.29835082458771</v>
      </c>
      <c r="G9" s="16">
        <f>'3_연간손익'!G8</f>
        <v>1.12121212121212</v>
      </c>
      <c r="H9" s="16">
        <f>'3_연간손익'!H8</f>
        <v>1.22857142857143</v>
      </c>
    </row>
    <row r="10">
      <c r="A10" s="15" t="inlineStr">
        <is>
          <t>매출총이익</t>
        </is>
      </c>
      <c r="C10" s="17">
        <f>'3_연간손익'!C10/100000</f>
        <v>4.53435387</v>
      </c>
      <c r="D10" s="17">
        <f>'3_연간손익'!D10/100000</f>
        <v>6.329279039</v>
      </c>
      <c r="E10" s="17">
        <f>'3_연간손익'!E10/100000</f>
        <v>39.7610167</v>
      </c>
      <c r="F10" s="17">
        <f>'3_연간손익'!F10/100000</f>
        <v>130.783682582</v>
      </c>
      <c r="G10" s="17">
        <f>'3_연간손익'!G10/100000</f>
        <v>279.3304664264</v>
      </c>
      <c r="H10" s="17">
        <f>'3_연간손익'!H10/100000</f>
        <v>637.524354291404</v>
      </c>
      <c r="I10" s="14">
        <f>IFERROR(('3_연간손익'!H10/'3_연간손익'!C10)^(1/5)-1,"n/a")</f>
        <v>1.68903387922472</v>
      </c>
    </row>
    <row r="11">
      <c r="A11" s="15" t="inlineStr">
        <is>
          <t xml:space="preserve">  매출총이익률</t>
        </is>
      </c>
      <c r="C11" s="16">
        <f>'3_연간손익'!C11</f>
        <v>0.530853407010535</v>
      </c>
      <c r="D11" s="16">
        <f>'3_연간손익'!D11</f>
        <v>0.496552298012388</v>
      </c>
      <c r="E11" s="16">
        <f>'3_연간손익'!E11</f>
        <v>0.397411461269365</v>
      </c>
      <c r="F11" s="16">
        <f>'3_연간손익'!F11</f>
        <v>0.396314189642424</v>
      </c>
      <c r="G11" s="16">
        <f>'3_연간손익'!G11</f>
        <v>0.399043523466286</v>
      </c>
      <c r="H11" s="16">
        <f>'3_연간손익'!H11</f>
        <v>0.408669457879105</v>
      </c>
    </row>
    <row r="12">
      <c r="A12" s="12" t="inlineStr">
        <is>
          <t>영업이익</t>
        </is>
      </c>
      <c r="C12" s="13">
        <f>'3_연간손익'!C13/100000</f>
        <v>0.26795791</v>
      </c>
      <c r="D12" s="13">
        <f>'3_연간손익'!D13/100000</f>
        <v>0.221422519000001</v>
      </c>
      <c r="E12" s="13">
        <f>'3_연간손익'!E13/100000</f>
        <v>8.7309060344</v>
      </c>
      <c r="F12" s="13">
        <f>'3_연간손익'!F13/100000</f>
        <v>37.347695555904</v>
      </c>
      <c r="G12" s="13">
        <f>'3_연간손익'!G13/100000</f>
        <v>96.2436059920603</v>
      </c>
      <c r="H12" s="13">
        <f>'3_연간손익'!H13/100000</f>
        <v>255.298400652198</v>
      </c>
      <c r="I12" s="14">
        <f>IFERROR(('3_연간손익'!H13/'3_연간손익'!C13)^(1/5)-1,"n/a")</f>
        <v>2.94272332798748</v>
      </c>
    </row>
    <row r="13">
      <c r="A13" s="15" t="inlineStr">
        <is>
          <t xml:space="preserve">  영업이익률</t>
        </is>
      </c>
      <c r="C13" s="16">
        <f>'3_연간손익'!C14</f>
        <v>0.0313708134691575</v>
      </c>
      <c r="D13" s="16">
        <f>'3_연간손익'!D14</f>
        <v>0.0173713087957825</v>
      </c>
      <c r="E13" s="16">
        <f>'3_연간손익'!E14</f>
        <v>0.0872654276301849</v>
      </c>
      <c r="F13" s="16">
        <f>'3_연간손익'!F14</f>
        <v>0.113174835017891</v>
      </c>
      <c r="G13" s="16">
        <f>'3_연간손익'!G14</f>
        <v>0.137490865702943</v>
      </c>
      <c r="H13" s="16">
        <f>'3_연간손익'!H14</f>
        <v>0.163652820930896</v>
      </c>
    </row>
    <row r="14">
      <c r="A14" s="15" t="inlineStr">
        <is>
          <t>당기순이익</t>
        </is>
      </c>
      <c r="C14" s="17">
        <f>'3_연간손익'!C21/100000</f>
        <v>0.0516718499999997</v>
      </c>
      <c r="D14" s="17">
        <f>'3_연간손익'!D21/100000</f>
        <v>0.441657949000002</v>
      </c>
      <c r="E14" s="17">
        <f>'3_연간손익'!E21/100000</f>
        <v>10.9629060344</v>
      </c>
      <c r="F14" s="17">
        <f>'3_연간손익'!F21/100000</f>
        <v>32.7951788572571</v>
      </c>
      <c r="G14" s="17">
        <f>'3_연간손익'!G21/100000</f>
        <v>73.074812673807</v>
      </c>
      <c r="H14" s="17">
        <f>'3_연간손익'!H21/100000</f>
        <v>194.891947694366</v>
      </c>
      <c r="I14" s="14">
        <f>IFERROR(('3_연간손익'!H21/'3_연간손익'!C21)^(1/5)-1,"n/a")</f>
        <v>4.19168072961598</v>
      </c>
    </row>
    <row r="15">
      <c r="A15" s="15" t="inlineStr">
        <is>
          <t>EBITDA</t>
        </is>
      </c>
      <c r="D15" s="17">
        <f>'3_연간손익'!D23/100000</f>
        <v>0.401422519000002</v>
      </c>
      <c r="E15" s="17">
        <f>'3_연간손익'!E23/100000</f>
        <v>13.0904360344</v>
      </c>
      <c r="F15" s="17">
        <f>'3_연간손익'!F23/100000</f>
        <v>42.628379589184</v>
      </c>
      <c r="G15" s="17">
        <f>'3_연간손익'!G23/100000</f>
        <v>103.142407869625</v>
      </c>
      <c r="H15" s="17">
        <f>'3_연간손익'!H23/100000</f>
        <v>264.102339988255</v>
      </c>
    </row>
    <row r="16">
      <c r="A16" s="15" t="inlineStr">
        <is>
          <t>인원(기말, 명)</t>
        </is>
      </c>
      <c r="D16" s="18">
        <f>'3_연간손익'!D24</f>
        <v>7</v>
      </c>
      <c r="E16" s="18">
        <f>'3_연간손익'!E24</f>
        <v>22</v>
      </c>
      <c r="F16" s="18">
        <f>'3_연간손익'!F24</f>
        <v>85</v>
      </c>
      <c r="G16" s="18">
        <f>'3_연간손익'!G24</f>
        <v>130</v>
      </c>
      <c r="H16" s="18">
        <f>'3_연간손익'!H24</f>
        <v>260</v>
      </c>
    </row>
    <row r="17">
      <c r="A17" s="15" t="inlineStr">
        <is>
          <t>인당 매출(백만원)</t>
        </is>
      </c>
      <c r="D17" s="17">
        <f>'3_연간손익'!D25</f>
        <v>182.092142857143</v>
      </c>
      <c r="E17" s="17">
        <f>'3_연간손익'!E25</f>
        <v>714.642857142857</v>
      </c>
      <c r="F17" s="17">
        <f>'3_연간손익'!F25</f>
        <v>616.822429906542</v>
      </c>
      <c r="G17" s="17">
        <f>'3_연간손익'!G25</f>
        <v>651.162790697674</v>
      </c>
      <c r="H17" s="17">
        <f>'3_연간손익'!H25</f>
        <v>800</v>
      </c>
    </row>
    <row r="18">
      <c r="A18" s="15" t="inlineStr">
        <is>
          <t>추정 유료 이용자(명, 평균)</t>
        </is>
      </c>
      <c r="D18" s="18">
        <f>'3_연간손익'!D26</f>
        <v>970.042875</v>
      </c>
      <c r="E18" s="18">
        <f>'3_연간손익'!E26</f>
        <v>7943.04083333333</v>
      </c>
      <c r="F18" s="18">
        <f>'3_연간손익'!F26</f>
        <v>25179.2540666667</v>
      </c>
      <c r="G18" s="18">
        <f>'3_연간손익'!G26</f>
        <v>50559.3370183333</v>
      </c>
      <c r="H18" s="18">
        <f>'3_연간손익'!H26</f>
        <v>106269.147243867</v>
      </c>
    </row>
    <row r="19">
      <c r="A19" s="15" t="inlineStr">
        <is>
          <t>IR 매출 목표</t>
        </is>
      </c>
      <c r="D19" s="17">
        <f>'3_연간손익'!D27/100000</f>
        <v>12</v>
      </c>
      <c r="E19" s="17">
        <f>'3_연간손익'!E27/100000</f>
        <v>100.05</v>
      </c>
      <c r="F19" s="17">
        <f>'3_연간손익'!F27/100000</f>
        <v>330</v>
      </c>
      <c r="G19" s="17">
        <f>'3_연간손익'!G27/100000</f>
        <v>700</v>
      </c>
      <c r="H19" s="17">
        <f>'3_연간손익'!H27/100000</f>
        <v>1560</v>
      </c>
    </row>
    <row r="20">
      <c r="A20" s="15" t="inlineStr">
        <is>
          <t>IR 대비 달성률</t>
        </is>
      </c>
      <c r="D20" s="16">
        <f>'3_연간손익'!D28</f>
        <v>1.06220416666667</v>
      </c>
      <c r="E20" s="16">
        <f>'3_연간손익'!E28</f>
        <v>1</v>
      </c>
      <c r="F20" s="16">
        <f>'3_연간손익'!F28</f>
        <v>1</v>
      </c>
      <c r="G20" s="16">
        <f>'3_연간손익'!G28</f>
        <v>1</v>
      </c>
      <c r="H20" s="16">
        <f>'3_연간손익'!H28</f>
        <v>1</v>
      </c>
    </row>
    <row r="21"/>
    <row r="22">
      <c r="A22" s="3" t="inlineStr">
        <is>
          <t>지역별 매출 (억원)</t>
        </is>
      </c>
    </row>
    <row r="23">
      <c r="A23" s="11" t="inlineStr">
        <is>
          <t>지역</t>
        </is>
      </c>
      <c r="C23" s="11" t="inlineStr"/>
      <c r="D23" s="11" t="n">
        <v>2026</v>
      </c>
      <c r="E23" s="11" t="n">
        <v>2027</v>
      </c>
      <c r="F23" s="11" t="n">
        <v>2028</v>
      </c>
      <c r="G23" s="11" t="n">
        <v>2029</v>
      </c>
      <c r="H23" s="11" t="n">
        <v>2030</v>
      </c>
    </row>
    <row r="24">
      <c r="A24" s="15" t="inlineStr">
        <is>
          <t>한국</t>
        </is>
      </c>
      <c r="D24" s="17">
        <f>'3_연간손익'!D41/100000</f>
        <v>7.26728</v>
      </c>
      <c r="E24" s="17">
        <f>'3_연간손익'!E41/100000</f>
        <v>71.85</v>
      </c>
      <c r="F24" s="17">
        <f>'3_연간손익'!F41/100000</f>
        <v>140.43112</v>
      </c>
      <c r="G24" s="17">
        <f>'3_연간손익'!G41/100000</f>
        <v>212.056226</v>
      </c>
      <c r="H24" s="17">
        <f>'3_연간손익'!H41/100000</f>
        <v>279.44491768</v>
      </c>
    </row>
    <row r="25">
      <c r="A25" s="15" t="inlineStr">
        <is>
          <t>일본</t>
        </is>
      </c>
      <c r="D25" s="17">
        <f>'3_연간손익'!D42/100000</f>
        <v>0</v>
      </c>
      <c r="E25" s="17">
        <f>'3_연간손익'!E42/100000</f>
        <v>6</v>
      </c>
      <c r="F25" s="17">
        <f>'3_연간손익'!F42/100000</f>
        <v>54.432</v>
      </c>
      <c r="G25" s="17">
        <f>'3_연간손익'!G42/100000</f>
        <v>140.5968</v>
      </c>
      <c r="H25" s="17">
        <f>'3_연간손익'!H42/100000</f>
        <v>359.783104</v>
      </c>
    </row>
    <row r="26">
      <c r="A26" s="15" t="inlineStr">
        <is>
          <t>동남아·APAC</t>
        </is>
      </c>
      <c r="D26" s="17">
        <f>'3_연간손익'!D43/100000</f>
        <v>4.4613</v>
      </c>
      <c r="E26" s="17">
        <f>'3_연간손익'!E43/100000</f>
        <v>17.7</v>
      </c>
      <c r="F26" s="17">
        <f>'3_연간손익'!F43/100000</f>
        <v>59.78</v>
      </c>
      <c r="G26" s="17">
        <f>'3_연간손익'!G43/100000</f>
        <v>126.336</v>
      </c>
      <c r="H26" s="17">
        <f>'3_연간손익'!H43/100000</f>
        <v>264.48896</v>
      </c>
    </row>
    <row r="27">
      <c r="A27" s="15" t="inlineStr">
        <is>
          <t>유럽</t>
        </is>
      </c>
      <c r="D27" s="17">
        <f>'3_연간손익'!D44/100000</f>
        <v>1.01787</v>
      </c>
      <c r="E27" s="17">
        <f>'3_연간손익'!E44/100000</f>
        <v>4.5</v>
      </c>
      <c r="F27" s="17">
        <f>'3_연간손익'!F44/100000</f>
        <v>23.7</v>
      </c>
      <c r="G27" s="17">
        <f>'3_연간손익'!G44/100000</f>
        <v>54.06</v>
      </c>
      <c r="H27" s="17">
        <f>'3_연간손익'!H44/100000</f>
        <v>141.1688</v>
      </c>
    </row>
    <row r="28">
      <c r="A28" s="15" t="inlineStr">
        <is>
          <t>미국</t>
        </is>
      </c>
      <c r="D28" s="17">
        <f>'3_연간손익'!D45/100000</f>
        <v>0</v>
      </c>
      <c r="E28" s="17">
        <f>'3_연간손익'!E45/100000</f>
        <v>0</v>
      </c>
      <c r="F28" s="17">
        <f>'3_연간손익'!F45/100000</f>
        <v>10</v>
      </c>
      <c r="G28" s="17">
        <f>'3_연간손익'!G45/100000</f>
        <v>75</v>
      </c>
      <c r="H28" s="17">
        <f>'3_연간손익'!H45/100000</f>
        <v>300</v>
      </c>
    </row>
    <row r="29">
      <c r="A29" s="15" t="inlineStr">
        <is>
          <t>글로벌(삼성채널)</t>
        </is>
      </c>
      <c r="D29" s="17">
        <f>'3_연간손익'!D46/100000</f>
        <v>0</v>
      </c>
      <c r="E29" s="17">
        <f>'3_연간손익'!E46/100000</f>
        <v>0</v>
      </c>
      <c r="F29" s="17">
        <f>'3_연간손익'!F46/100000</f>
        <v>41.65688</v>
      </c>
      <c r="G29" s="17">
        <f>'3_연간손익'!G46/100000</f>
        <v>91.950974</v>
      </c>
      <c r="H29" s="17">
        <f>'3_연간손익'!H46/100000</f>
        <v>215.11421832</v>
      </c>
    </row>
    <row r="30">
      <c r="A30" s="12" t="inlineStr">
        <is>
          <t>합계</t>
        </is>
      </c>
      <c r="D30" s="19">
        <f>SUM(D24:D29)</f>
        <v>12.74645</v>
      </c>
      <c r="E30" s="19">
        <f>SUM(E24:E29)</f>
        <v>100.05</v>
      </c>
      <c r="F30" s="19">
        <f>SUM(F24:F29)</f>
        <v>330</v>
      </c>
      <c r="G30" s="19">
        <f>SUM(G24:G29)</f>
        <v>700</v>
      </c>
      <c r="H30" s="19">
        <f>SUM(H24:H29)</f>
        <v>1560</v>
      </c>
    </row>
    <row r="31"/>
    <row r="32">
      <c r="A32" s="3" t="inlineStr">
        <is>
          <t>근거수준별 매출 비중 — 얼마나 "확정"에 기대고 있는가</t>
        </is>
      </c>
    </row>
    <row r="33">
      <c r="A33" s="11" t="inlineStr">
        <is>
          <t>근거수준</t>
        </is>
      </c>
      <c r="C33" s="11" t="inlineStr"/>
      <c r="D33" s="11" t="n">
        <v>2026</v>
      </c>
      <c r="E33" s="11" t="n">
        <v>2027</v>
      </c>
      <c r="F33" s="11" t="n">
        <v>2028</v>
      </c>
      <c r="G33" s="11" t="n">
        <v>2029</v>
      </c>
      <c r="H33" s="11" t="n">
        <v>2030</v>
      </c>
    </row>
    <row r="34">
      <c r="A34" s="15" t="inlineStr">
        <is>
          <t>A 계약·기존 거래</t>
        </is>
      </c>
      <c r="D34" s="16">
        <f>'3_연간손익'!D66</f>
        <v>0.789783037630085</v>
      </c>
      <c r="E34" s="16">
        <f>'3_연간손익'!E66</f>
        <v>0.525707146426787</v>
      </c>
      <c r="F34" s="16">
        <f>'3_연간손익'!F66</f>
        <v>0.289699515151515</v>
      </c>
      <c r="G34" s="16">
        <f>'3_연간손익'!G66</f>
        <v>0.19969338</v>
      </c>
      <c r="H34" s="16">
        <f>'3_연간손익'!H66</f>
        <v>0.117298299538462</v>
      </c>
    </row>
    <row r="35">
      <c r="A35" s="15" t="inlineStr">
        <is>
          <t>B 등록·입찰·협의 단계</t>
        </is>
      </c>
      <c r="D35" s="16">
        <f>'3_연간손익'!D67</f>
        <v>0.210216962369915</v>
      </c>
      <c r="E35" s="16">
        <f>'3_연간손익'!E67</f>
        <v>0.474292853573213</v>
      </c>
      <c r="F35" s="16">
        <f>'3_연간손익'!F67</f>
        <v>0.365885696969697</v>
      </c>
      <c r="G35" s="16">
        <f>'3_연간손익'!G67</f>
        <v>0.300376657142857</v>
      </c>
      <c r="H35" s="16">
        <f>'3_연간손익'!H67</f>
        <v>0.193525919487179</v>
      </c>
    </row>
    <row r="36">
      <c r="A36" s="15" t="inlineStr">
        <is>
          <t>C 신규 파이프라인(미확정)</t>
        </is>
      </c>
      <c r="D36" s="16">
        <f>'3_연간손익'!D68</f>
        <v>0</v>
      </c>
      <c r="E36" s="16">
        <f>'3_연간손익'!E68</f>
        <v>0</v>
      </c>
      <c r="F36" s="16">
        <f>'3_연간손익'!F68</f>
        <v>0.344414787878788</v>
      </c>
      <c r="G36" s="16">
        <f>'3_연간손익'!G68</f>
        <v>0.499929962857143</v>
      </c>
      <c r="H36" s="16">
        <f>'3_연간손익'!H68</f>
        <v>0.689175780974359</v>
      </c>
    </row>
    <row r="37"/>
    <row r="38">
      <c r="A38" s="3" t="inlineStr">
        <is>
          <t>제품별 매출 (억원)</t>
        </is>
      </c>
    </row>
    <row r="39">
      <c r="A39" s="11" t="inlineStr">
        <is>
          <t>제품</t>
        </is>
      </c>
      <c r="C39" s="11" t="inlineStr"/>
      <c r="D39" s="11" t="n">
        <v>2026</v>
      </c>
      <c r="E39" s="11" t="n">
        <v>2027</v>
      </c>
      <c r="F39" s="11" t="n">
        <v>2028</v>
      </c>
      <c r="G39" s="11" t="n">
        <v>2029</v>
      </c>
      <c r="H39" s="11" t="n">
        <v>2030</v>
      </c>
    </row>
    <row r="40">
      <c r="A40" s="15" t="inlineStr">
        <is>
          <t>스마트 기저귀(전용 기저귀·패드, 소모품)</t>
        </is>
      </c>
      <c r="D40" s="17">
        <f>'3_연간손익'!D32/100000</f>
        <v>7.8354981</v>
      </c>
      <c r="E40" s="17">
        <f>'3_연간손익'!E32/100000</f>
        <v>70.71681</v>
      </c>
      <c r="F40" s="17">
        <f>'3_연간손익'!F32/100000</f>
        <v>223.1228668</v>
      </c>
      <c r="G40" s="17">
        <f>'3_연간손익'!G32/100000</f>
        <v>440.4786248</v>
      </c>
      <c r="H40" s="17">
        <f>'3_연간손익'!H32/100000</f>
        <v>910.9961474168</v>
      </c>
    </row>
    <row r="41">
      <c r="A41" s="15" t="inlineStr">
        <is>
          <t>센서·BLE 게이트웨이(하드웨어)</t>
        </is>
      </c>
      <c r="D41" s="17">
        <f>'3_연간손익'!D33/100000</f>
        <v>2.4059132</v>
      </c>
      <c r="E41" s="17">
        <f>'3_연간손익'!E33/100000</f>
        <v>14.05186</v>
      </c>
      <c r="F41" s="17">
        <f>'3_연간손익'!F33/100000</f>
        <v>41.0951696</v>
      </c>
      <c r="G41" s="17">
        <f>'3_연간손익'!G33/100000</f>
        <v>84.90677282</v>
      </c>
      <c r="H41" s="17">
        <f>'3_연간손익'!H33/100000</f>
        <v>180.6772389576</v>
      </c>
    </row>
    <row r="42">
      <c r="A42" s="15" t="inlineStr">
        <is>
          <t>앱·웹 모니터링 구독(SW·AI)</t>
        </is>
      </c>
      <c r="D42" s="17">
        <f>'3_연간손익'!D34/100000</f>
        <v>1.3991032</v>
      </c>
      <c r="E42" s="17">
        <f>'3_연간손익'!E34/100000</f>
        <v>10.54782</v>
      </c>
      <c r="F42" s="17">
        <f>'3_연간손익'!F34/100000</f>
        <v>37.9330124</v>
      </c>
      <c r="G42" s="17">
        <f>'3_연간손익'!G34/100000</f>
        <v>81.3266466</v>
      </c>
      <c r="H42" s="17">
        <f>'3_연간손익'!H34/100000</f>
        <v>183.556380552</v>
      </c>
    </row>
    <row r="43">
      <c r="A43" s="15" t="inlineStr">
        <is>
          <t>바이탈 모니터링 센서(60GHz, 2026 Q4 출시)</t>
        </is>
      </c>
      <c r="D43" s="17">
        <f>'3_연간손익'!D35/100000</f>
        <v>0</v>
      </c>
      <c r="E43" s="17">
        <f>'3_연간손익'!E35/100000</f>
        <v>1.83351</v>
      </c>
      <c r="F43" s="17">
        <f>'3_연간손익'!F35/100000</f>
        <v>16.656974</v>
      </c>
      <c r="G43" s="17">
        <f>'3_연간손익'!G35/100000</f>
        <v>56.66438436</v>
      </c>
      <c r="H43" s="17">
        <f>'3_연간손익'!H35/100000</f>
        <v>172.8757129568</v>
      </c>
    </row>
    <row r="44">
      <c r="A44" s="15" t="inlineStr">
        <is>
          <t>스마트 욕창 케어(2027 Q4 출시)</t>
        </is>
      </c>
      <c r="D44" s="17">
        <f>'3_연간손익'!D36/100000</f>
        <v>0</v>
      </c>
      <c r="E44" s="17">
        <f>'3_연간손익'!E36/100000</f>
        <v>0</v>
      </c>
      <c r="F44" s="17">
        <f>'3_연간손익'!F36/100000</f>
        <v>3.9388396</v>
      </c>
      <c r="G44" s="17">
        <f>'3_연간손익'!G36/100000</f>
        <v>22.11255194</v>
      </c>
      <c r="H44" s="17">
        <f>'3_연간손익'!H36/100000</f>
        <v>80.7163957504</v>
      </c>
    </row>
    <row r="45">
      <c r="A45" s="15" t="inlineStr">
        <is>
          <t>R&amp;D·PoC 용역</t>
        </is>
      </c>
      <c r="D45" s="17">
        <f>'3_연간손익'!D37/100000</f>
        <v>1.1059355</v>
      </c>
      <c r="E45" s="17">
        <f>'3_연간손익'!E37/100000</f>
        <v>2.9</v>
      </c>
      <c r="F45" s="17">
        <f>'3_연간손익'!F37/100000</f>
        <v>7.2531376</v>
      </c>
      <c r="G45" s="17">
        <f>'3_연간손익'!G37/100000</f>
        <v>14.51101948</v>
      </c>
      <c r="H45" s="17">
        <f>'3_연간손익'!H37/100000</f>
        <v>31.1781243664</v>
      </c>
    </row>
    <row r="46"/>
    <row r="47"/>
    <row r="48">
      <c r="A48" s="3" t="inlineStr">
        <is>
          <t>읽는 법 · 핵심 전제</t>
        </is>
      </c>
    </row>
    <row r="49">
      <c r="A49" s="20" t="inlineStr">
        <is>
          <t>• 헤드라인(S1): 2026은 2026-10-05 매출표(12.75억), 2027은 매출표 합계(100.05억 = IR 차트와 일치), 2028~2030은 IR 전망(330억·700억·1,560억)과 일치하며 거래처·제품·지역으로 분해되어 있습니다.</t>
        </is>
      </c>
    </row>
    <row r="50">
      <c r="A50" s="20" t="inlineStr">
        <is>
          <t>• 2026~2027은 월별(2_손익계산서), 2028~2030은 연간입니다. 2026-01~09는 회계 확정 전 추정치이므로 실적 확정 시 교체가 필요합니다.</t>
        </is>
      </c>
    </row>
    <row r="51">
      <c r="A51" s="20" t="inlineStr">
        <is>
          <t>• 2027 거래처 합계는 IR p.25 표(Sunway PoC 제외)와 일치합니다. 2028~30은 지정 거래처 성장 + 신규 파이프라인(미확정) + 삼성 글로벌 채널(잔차)로 구성되며 위 근거수준 표에서 비중을 공개합니다.</t>
        </is>
      </c>
    </row>
    <row r="52">
      <c r="A52" s="20" t="inlineStr">
        <is>
          <t>• S2(기준)·S3(보수)는 계약 단계별 확률·지연·성장 배수·신규 달성률을 적용한 투자사 관점 위험 조정안입니다(9_시나리오 비교).</t>
        </is>
      </c>
    </row>
    <row r="53">
      <c r="A53" s="20" t="inlineStr">
        <is>
          <t>• 파란색 = 입력값, 검정 = 수식(산출 시트), 초록 = 계산 시트 간 연동, 노란 배경 = 핵심 가정. 제출 전 "★제출전_확인사항" 시트의 항목을 반영하고 해당 시트는 삭제하세요.</t>
        </is>
      </c>
    </row>
  </sheetData>
  <mergeCells count="1">
    <mergeCell ref="C4:E4"/>
  </mergeCells>
  <dataValidations count="1">
    <dataValidation sqref="C4" showDropDown="0" showInputMessage="0" showErrorMessage="1" allowBlank="0" errorTitle="시나리오 선택" error="목록에서 선택하세요." type="list" errorStyle="stop">
      <formula1>"S1 경영계획(IR 정합),S2 기준(확률가중),S3 보수"</formula1>
    </dataValidation>
  </dataValidations>
  <hyperlinks>
    <hyperlink xmlns:r="http://schemas.openxmlformats.org/officeDocument/2006/relationships" ref="C6" r:id="rId1"/>
    <hyperlink xmlns:r="http://schemas.openxmlformats.org/officeDocument/2006/relationships" ref="E6" r:id="rId2"/>
    <hyperlink xmlns:r="http://schemas.openxmlformats.org/officeDocument/2006/relationships" ref="G6" r:id="rId3"/>
    <hyperlink xmlns:r="http://schemas.openxmlformats.org/officeDocument/2006/relationships" ref="I6" r:id="rId4"/>
  </hyperlinks>
  <pageMargins left="0.75" right="0.75" top="1" bottom="1" header="0.5" footer="0.5"/>
  <pageSetup orientation="landscape" fitToHeight="0" fitToWidth="1"/>
  <drawing xmlns:r="http://schemas.openxmlformats.org/officeDocument/2006/relationships" r:id="rId5"/>
</worksheet>
</file>

<file path=xl/worksheets/sheet2.xml><?xml version="1.0" encoding="utf-8"?>
<worksheet xmlns="http://schemas.openxmlformats.org/spreadsheetml/2006/main">
  <sheetPr>
    <tabColor rgb="001F3864"/>
    <outlinePr summaryBelow="1" summaryRight="1"/>
    <pageSetUpPr fitToPage="1"/>
  </sheetPr>
  <dimension ref="A1:AF66"/>
  <sheetViews>
    <sheetView zoomScale="85" workbookViewId="0">
      <pane xSplit="2" ySplit="6" topLeftCell="C7" activePane="bottomRight" state="frozen"/>
      <selection pane="topRight"/>
      <selection pane="bottomLeft"/>
      <selection pane="bottomRight" activeCell="A1" sqref="A1"/>
    </sheetView>
  </sheetViews>
  <sheetFormatPr baseColWidth="8" defaultRowHeight="15"/>
  <cols>
    <col width="38" customWidth="1" min="1" max="1"/>
    <col width="22" customWidth="1" min="2" max="2"/>
    <col outlineLevel="1" width="10.5" customWidth="1" min="3" max="14"/>
    <col width="10.5" customWidth="1" min="15" max="15"/>
    <col outlineLevel="1" width="10.5" customWidth="1" min="16" max="27"/>
    <col width="10.5" customWidth="1" min="28" max="28"/>
    <col width="10.5" customWidth="1" min="29" max="29"/>
    <col width="10.5" customWidth="1" min="30" max="30"/>
    <col width="10.5" customWidth="1" min="31" max="31"/>
    <col width="10.5" customWidth="1" min="32" max="32"/>
  </cols>
  <sheetData>
    <row r="1">
      <c r="A1" s="1" t="inlineStr">
        <is>
          <t>(주)모닛 5개년 사업계획 — 손익계산서 (2026~2030)</t>
        </is>
      </c>
    </row>
    <row r="2">
      <c r="A2" s="2" t="str">
        <f>"단위: 천원  |  시나리오: "&amp;'1_요약'!$C$4&amp;"  |  2026-01~09는 회계 확정 전 추정(실적 확정 시 교체), 2026-10부터 계획"</f>
        <v>단위: 천원  |  시나리오: S1 경영계획(IR 정합)  |  2026-01~09는 회계 확정 전 추정(실적 확정 시 교체), 2026-10부터 계획</v>
      </c>
    </row>
    <row r="3"/>
    <row r="4"/>
    <row r="5">
      <c r="A5" s="21" t="inlineStr">
        <is>
          <t>계정과목</t>
        </is>
      </c>
      <c r="B5" s="21" t="inlineStr">
        <is>
          <t>비고</t>
        </is>
      </c>
      <c r="C5" s="11" t="inlineStr">
        <is>
          <t>2026-01</t>
        </is>
      </c>
      <c r="D5" s="11" t="inlineStr">
        <is>
          <t>2026-02</t>
        </is>
      </c>
      <c r="E5" s="11" t="inlineStr">
        <is>
          <t>2026-03</t>
        </is>
      </c>
      <c r="F5" s="11" t="inlineStr">
        <is>
          <t>2026-04</t>
        </is>
      </c>
      <c r="G5" s="11" t="inlineStr">
        <is>
          <t>2026-05</t>
        </is>
      </c>
      <c r="H5" s="11" t="inlineStr">
        <is>
          <t>2026-06</t>
        </is>
      </c>
      <c r="I5" s="11" t="inlineStr">
        <is>
          <t>2026-07</t>
        </is>
      </c>
      <c r="J5" s="11" t="inlineStr">
        <is>
          <t>2026-08</t>
        </is>
      </c>
      <c r="K5" s="11" t="inlineStr">
        <is>
          <t>2026-09</t>
        </is>
      </c>
      <c r="L5" s="11" t="inlineStr">
        <is>
          <t>2026-10</t>
        </is>
      </c>
      <c r="M5" s="11" t="inlineStr">
        <is>
          <t>2026-11</t>
        </is>
      </c>
      <c r="N5" s="11" t="inlineStr">
        <is>
          <t>2026-12</t>
        </is>
      </c>
      <c r="O5" s="11" t="inlineStr">
        <is>
          <t>FY2026</t>
        </is>
      </c>
      <c r="P5" s="11" t="inlineStr">
        <is>
          <t>2027-01</t>
        </is>
      </c>
      <c r="Q5" s="11" t="inlineStr">
        <is>
          <t>2027-02</t>
        </is>
      </c>
      <c r="R5" s="11" t="inlineStr">
        <is>
          <t>2027-03</t>
        </is>
      </c>
      <c r="S5" s="11" t="inlineStr">
        <is>
          <t>2027-04</t>
        </is>
      </c>
      <c r="T5" s="11" t="inlineStr">
        <is>
          <t>2027-05</t>
        </is>
      </c>
      <c r="U5" s="11" t="inlineStr">
        <is>
          <t>2027-06</t>
        </is>
      </c>
      <c r="V5" s="11" t="inlineStr">
        <is>
          <t>2027-07</t>
        </is>
      </c>
      <c r="W5" s="11" t="inlineStr">
        <is>
          <t>2027-08</t>
        </is>
      </c>
      <c r="X5" s="11" t="inlineStr">
        <is>
          <t>2027-09</t>
        </is>
      </c>
      <c r="Y5" s="11" t="inlineStr">
        <is>
          <t>2027-10</t>
        </is>
      </c>
      <c r="Z5" s="11" t="inlineStr">
        <is>
          <t>2027-11</t>
        </is>
      </c>
      <c r="AA5" s="11" t="inlineStr">
        <is>
          <t>2027-12</t>
        </is>
      </c>
      <c r="AB5" s="11" t="inlineStr">
        <is>
          <t>FY2027</t>
        </is>
      </c>
      <c r="AC5" s="11" t="inlineStr">
        <is>
          <t>2028E</t>
        </is>
      </c>
      <c r="AD5" s="11" t="inlineStr">
        <is>
          <t>2029E</t>
        </is>
      </c>
      <c r="AE5" s="11" t="inlineStr">
        <is>
          <t>2030E</t>
        </is>
      </c>
      <c r="AF5" s="11" t="inlineStr">
        <is>
          <t>5개년 합계</t>
        </is>
      </c>
    </row>
    <row r="6">
      <c r="A6" s="22" t="inlineStr"/>
      <c r="B6" s="22" t="inlineStr"/>
      <c r="C6" s="22" t="inlineStr">
        <is>
          <t>추정</t>
        </is>
      </c>
      <c r="D6" s="22" t="inlineStr">
        <is>
          <t>추정</t>
        </is>
      </c>
      <c r="E6" s="22" t="inlineStr">
        <is>
          <t>추정</t>
        </is>
      </c>
      <c r="F6" s="22" t="inlineStr">
        <is>
          <t>추정</t>
        </is>
      </c>
      <c r="G6" s="22" t="inlineStr">
        <is>
          <t>추정</t>
        </is>
      </c>
      <c r="H6" s="22" t="inlineStr">
        <is>
          <t>추정</t>
        </is>
      </c>
      <c r="I6" s="22" t="inlineStr">
        <is>
          <t>추정</t>
        </is>
      </c>
      <c r="J6" s="22" t="inlineStr">
        <is>
          <t>추정</t>
        </is>
      </c>
      <c r="K6" s="22" t="inlineStr">
        <is>
          <t>추정</t>
        </is>
      </c>
      <c r="L6" s="22" t="inlineStr">
        <is>
          <t>계획</t>
        </is>
      </c>
      <c r="M6" s="22" t="inlineStr">
        <is>
          <t>계획</t>
        </is>
      </c>
      <c r="N6" s="22" t="inlineStr">
        <is>
          <t>계획</t>
        </is>
      </c>
      <c r="O6" s="22" t="inlineStr">
        <is>
          <t>FY합계</t>
        </is>
      </c>
      <c r="P6" s="22" t="inlineStr">
        <is>
          <t>계획</t>
        </is>
      </c>
      <c r="Q6" s="22" t="inlineStr">
        <is>
          <t>계획</t>
        </is>
      </c>
      <c r="R6" s="22" t="inlineStr">
        <is>
          <t>계획</t>
        </is>
      </c>
      <c r="S6" s="22" t="inlineStr">
        <is>
          <t>계획</t>
        </is>
      </c>
      <c r="T6" s="22" t="inlineStr">
        <is>
          <t>계획</t>
        </is>
      </c>
      <c r="U6" s="22" t="inlineStr">
        <is>
          <t>계획</t>
        </is>
      </c>
      <c r="V6" s="22" t="inlineStr">
        <is>
          <t>계획</t>
        </is>
      </c>
      <c r="W6" s="22" t="inlineStr">
        <is>
          <t>계획</t>
        </is>
      </c>
      <c r="X6" s="22" t="inlineStr">
        <is>
          <t>계획</t>
        </is>
      </c>
      <c r="Y6" s="22" t="inlineStr">
        <is>
          <t>계획</t>
        </is>
      </c>
      <c r="Z6" s="22" t="inlineStr">
        <is>
          <t>계획</t>
        </is>
      </c>
      <c r="AA6" s="22" t="inlineStr">
        <is>
          <t>계획</t>
        </is>
      </c>
      <c r="AB6" s="22" t="inlineStr">
        <is>
          <t>FY합계</t>
        </is>
      </c>
      <c r="AC6" s="22" t="inlineStr">
        <is>
          <t>계획(연)</t>
        </is>
      </c>
      <c r="AD6" s="22" t="inlineStr">
        <is>
          <t>계획(연)</t>
        </is>
      </c>
      <c r="AE6" s="22" t="inlineStr">
        <is>
          <t>계획(연)</t>
        </is>
      </c>
      <c r="AF6" s="22" t="inlineStr">
        <is>
          <t>합계</t>
        </is>
      </c>
    </row>
    <row r="7">
      <c r="A7" s="3" t="inlineStr">
        <is>
          <t>Ⅰ. 매출액</t>
        </is>
      </c>
    </row>
    <row r="8">
      <c r="A8" s="15" t="inlineStr">
        <is>
          <t xml:space="preserve">  스마트 기저귀(전용 기저귀·패드, 소모품)</t>
        </is>
      </c>
      <c r="C8" s="18">
        <f>'5_매출_제품지역'!C9</f>
        <v>37455.08</v>
      </c>
      <c r="D8" s="18">
        <f>'5_매출_제품지역'!D9</f>
        <v>32686.3</v>
      </c>
      <c r="E8" s="18">
        <f>'5_매출_제품지역'!E9</f>
        <v>51000.27</v>
      </c>
      <c r="F8" s="18">
        <f>'5_매출_제품지역'!F9</f>
        <v>17799.4</v>
      </c>
      <c r="G8" s="18">
        <f>'5_매출_제품지역'!G9</f>
        <v>24299.15</v>
      </c>
      <c r="H8" s="18">
        <f>'5_매출_제품지역'!H9</f>
        <v>51266.7</v>
      </c>
      <c r="I8" s="18">
        <f>'5_매출_제품지역'!I9</f>
        <v>20490.34</v>
      </c>
      <c r="J8" s="18">
        <f>'5_매출_제품지역'!J9</f>
        <v>13639.6</v>
      </c>
      <c r="K8" s="18">
        <f>'5_매출_제품지역'!K9</f>
        <v>31617.97</v>
      </c>
      <c r="L8" s="18">
        <f>'5_매출_제품지역'!L9</f>
        <v>14647.5</v>
      </c>
      <c r="M8" s="18">
        <f>'5_매출_제품지역'!M9</f>
        <v>195503.5</v>
      </c>
      <c r="N8" s="18">
        <f>'5_매출_제품지역'!N9</f>
        <v>293144</v>
      </c>
      <c r="O8" s="23">
        <f>SUM(C8:N8)</f>
        <v>783549.81</v>
      </c>
      <c r="P8" s="18">
        <f>'5_매출_제품지역'!O9</f>
        <v>492430.5</v>
      </c>
      <c r="Q8" s="18">
        <f>'5_매출_제품지역'!P9</f>
        <v>598154.5</v>
      </c>
      <c r="R8" s="18">
        <f>'5_매출_제품지역'!Q9</f>
        <v>529478.5</v>
      </c>
      <c r="S8" s="18">
        <f>'5_매출_제품지역'!R9</f>
        <v>529402.5</v>
      </c>
      <c r="T8" s="18">
        <f>'5_매출_제품지역'!S9</f>
        <v>541726.5</v>
      </c>
      <c r="U8" s="18">
        <f>'5_매출_제품지역'!T9</f>
        <v>659774.5</v>
      </c>
      <c r="V8" s="18">
        <f>'5_매출_제품지역'!U9</f>
        <v>582598.5</v>
      </c>
      <c r="W8" s="18">
        <f>'5_매출_제품지역'!V9</f>
        <v>570198.5</v>
      </c>
      <c r="X8" s="18">
        <f>'5_매출_제품지역'!W9</f>
        <v>591022.5</v>
      </c>
      <c r="Y8" s="18">
        <f>'5_매출_제품지역'!X9</f>
        <v>703922.5</v>
      </c>
      <c r="Z8" s="18">
        <f>'5_매출_제품지역'!Y9</f>
        <v>635246.5</v>
      </c>
      <c r="AA8" s="18">
        <f>'5_매출_제품지역'!Z9</f>
        <v>637725.5</v>
      </c>
      <c r="AB8" s="23">
        <f>SUM(P8:AA8)</f>
        <v>7071681</v>
      </c>
      <c r="AC8" s="24">
        <f>'5_매출_제품지역'!AC9</f>
        <v>22312286.68</v>
      </c>
      <c r="AD8" s="24">
        <f>'5_매출_제품지역'!AD9</f>
        <v>44047862.48</v>
      </c>
      <c r="AE8" s="24">
        <f>'5_매출_제품지역'!AE9</f>
        <v>91099614.74168</v>
      </c>
      <c r="AF8" s="25">
        <f>O8+AB8+AC8+AD8+AE8</f>
        <v>165314994.71168</v>
      </c>
    </row>
    <row r="9">
      <c r="A9" s="15" t="inlineStr">
        <is>
          <t xml:space="preserve">  센서·BLE 게이트웨이(하드웨어)</t>
        </is>
      </c>
      <c r="C9" s="18">
        <f>'5_매출_제품지역'!C10</f>
        <v>10589.04</v>
      </c>
      <c r="D9" s="18">
        <f>'5_매출_제품지역'!D10</f>
        <v>4574.51</v>
      </c>
      <c r="E9" s="18">
        <f>'5_매출_제품지역'!E10</f>
        <v>8755.35</v>
      </c>
      <c r="F9" s="18">
        <f>'5_매출_제품지역'!F10</f>
        <v>1063</v>
      </c>
      <c r="G9" s="18">
        <f>'5_매출_제품지역'!G10</f>
        <v>1462.27</v>
      </c>
      <c r="H9" s="18">
        <f>'5_매출_제품지역'!H10</f>
        <v>3051.66</v>
      </c>
      <c r="I9" s="18">
        <f>'5_매출_제품지역'!I10</f>
        <v>1417.1</v>
      </c>
      <c r="J9" s="18">
        <f>'5_매출_제품지역'!J10</f>
        <v>824.96</v>
      </c>
      <c r="K9" s="18">
        <f>'5_매출_제품지역'!K10</f>
        <v>9959.53</v>
      </c>
      <c r="L9" s="18">
        <f>'5_매출_제품지역'!L10</f>
        <v>6615</v>
      </c>
      <c r="M9" s="18">
        <f>'5_매출_제품지역'!M10</f>
        <v>24700.6</v>
      </c>
      <c r="N9" s="18">
        <f>'5_매출_제품지역'!N10</f>
        <v>167578.3</v>
      </c>
      <c r="O9" s="23">
        <f>SUM(C9:N9)</f>
        <v>240591.32</v>
      </c>
      <c r="P9" s="18">
        <f>'5_매출_제품지역'!O10</f>
        <v>101048</v>
      </c>
      <c r="Q9" s="18">
        <f>'5_매출_제품지역'!P10</f>
        <v>121712</v>
      </c>
      <c r="R9" s="18">
        <f>'5_매출_제품지역'!Q10</f>
        <v>108776</v>
      </c>
      <c r="S9" s="18">
        <f>'5_매출_제품지역'!R10</f>
        <v>104840</v>
      </c>
      <c r="T9" s="18">
        <f>'5_매출_제품지역'!S10</f>
        <v>106104</v>
      </c>
      <c r="U9" s="18">
        <f>'5_매출_제품지역'!T10</f>
        <v>128032</v>
      </c>
      <c r="V9" s="18">
        <f>'5_매출_제품지역'!U10</f>
        <v>114596</v>
      </c>
      <c r="W9" s="18">
        <f>'5_매출_제품지역'!V10</f>
        <v>109396</v>
      </c>
      <c r="X9" s="18">
        <f>'5_매출_제품지역'!W10</f>
        <v>111160</v>
      </c>
      <c r="Y9" s="18">
        <f>'5_매출_제품지역'!X10</f>
        <v>132560</v>
      </c>
      <c r="Z9" s="18">
        <f>'5_매출_제품지역'!Y10</f>
        <v>133624</v>
      </c>
      <c r="AA9" s="18">
        <f>'5_매출_제품지역'!Z10</f>
        <v>133338</v>
      </c>
      <c r="AB9" s="23">
        <f>SUM(P9:AA9)</f>
        <v>1405186</v>
      </c>
      <c r="AC9" s="24">
        <f>'5_매출_제품지역'!AC10</f>
        <v>4109516.96</v>
      </c>
      <c r="AD9" s="24">
        <f>'5_매출_제품지역'!AD10</f>
        <v>8490677.282</v>
      </c>
      <c r="AE9" s="24">
        <f>'5_매출_제품지역'!AE10</f>
        <v>18067723.89576</v>
      </c>
      <c r="AF9" s="25">
        <f>O9+AB9+AC9+AD9+AE9</f>
        <v>32313695.45776</v>
      </c>
    </row>
    <row r="10">
      <c r="A10" s="15" t="inlineStr">
        <is>
          <t xml:space="preserve">  앱·웹 모니터링 구독(SW·AI)</t>
        </is>
      </c>
      <c r="C10" s="18">
        <f>'5_매출_제품지역'!C11</f>
        <v>6252.88</v>
      </c>
      <c r="D10" s="18">
        <f>'5_매출_제품지역'!D11</f>
        <v>4863.19</v>
      </c>
      <c r="E10" s="18">
        <f>'5_매출_제품지역'!E11</f>
        <v>6796.38</v>
      </c>
      <c r="F10" s="18">
        <f>'5_매출_제품지역'!F11</f>
        <v>2106.6</v>
      </c>
      <c r="G10" s="18">
        <f>'5_매출_제품지역'!G11</f>
        <v>2884.58</v>
      </c>
      <c r="H10" s="18">
        <f>'5_매출_제품지역'!H11</f>
        <v>6059.64</v>
      </c>
      <c r="I10" s="18">
        <f>'5_매출_제품지역'!I11</f>
        <v>2471.56</v>
      </c>
      <c r="J10" s="18">
        <f>'5_매출_제품지역'!J11</f>
        <v>1622.44</v>
      </c>
      <c r="K10" s="18">
        <f>'5_매출_제품지역'!K11</f>
        <v>4628.5</v>
      </c>
      <c r="L10" s="18">
        <f>'5_매출_제품지역'!L11</f>
        <v>2362.5</v>
      </c>
      <c r="M10" s="18">
        <f>'5_매출_제품지역'!M11</f>
        <v>29490.9</v>
      </c>
      <c r="N10" s="18">
        <f>'5_매출_제품지역'!N11</f>
        <v>70371.15</v>
      </c>
      <c r="O10" s="23">
        <f>SUM(C10:N10)</f>
        <v>139910.32</v>
      </c>
      <c r="P10" s="18">
        <f>'5_매출_제품지역'!O11</f>
        <v>73597.25</v>
      </c>
      <c r="Q10" s="18">
        <f>'5_매출_제품지역'!P11</f>
        <v>88635.25</v>
      </c>
      <c r="R10" s="18">
        <f>'5_매출_제품지역'!Q11</f>
        <v>78873.25</v>
      </c>
      <c r="S10" s="18">
        <f>'5_매출_제품지역'!R11</f>
        <v>78811.25</v>
      </c>
      <c r="T10" s="18">
        <f>'5_매출_제품지역'!S11</f>
        <v>80549.25</v>
      </c>
      <c r="U10" s="18">
        <f>'5_매출_제품지역'!T11</f>
        <v>97325.25</v>
      </c>
      <c r="V10" s="18">
        <f>'5_매출_제품지역'!U11</f>
        <v>86563.25</v>
      </c>
      <c r="W10" s="18">
        <f>'5_매출_제품지역'!V11</f>
        <v>84763.25</v>
      </c>
      <c r="X10" s="18">
        <f>'5_매출_제품지역'!W11</f>
        <v>87501.25</v>
      </c>
      <c r="Y10" s="18">
        <f>'5_매출_제품지역'!X11</f>
        <v>103551.25</v>
      </c>
      <c r="Z10" s="18">
        <f>'5_매출_제품지역'!Y11</f>
        <v>96789.25</v>
      </c>
      <c r="AA10" s="18">
        <f>'5_매출_제품지역'!Z11</f>
        <v>97822.25</v>
      </c>
      <c r="AB10" s="23">
        <f>SUM(P10:AA10)</f>
        <v>1054782</v>
      </c>
      <c r="AC10" s="24">
        <f>'5_매출_제품지역'!AC11</f>
        <v>3793301.24</v>
      </c>
      <c r="AD10" s="24">
        <f>'5_매출_제품지역'!AD11</f>
        <v>8132664.66</v>
      </c>
      <c r="AE10" s="24">
        <f>'5_매출_제품지역'!AE11</f>
        <v>18355638.0552</v>
      </c>
      <c r="AF10" s="25">
        <f>O10+AB10+AC10+AD10+AE10</f>
        <v>31476296.2752</v>
      </c>
    </row>
    <row r="11">
      <c r="A11" s="15" t="inlineStr">
        <is>
          <t xml:space="preserve">  바이탈 모니터링 센서(60GHz, 2026 Q4 출시)</t>
        </is>
      </c>
      <c r="C11" s="18">
        <f>'5_매출_제품지역'!C12</f>
        <v>0</v>
      </c>
      <c r="D11" s="18">
        <f>'5_매출_제품지역'!D12</f>
        <v>0</v>
      </c>
      <c r="E11" s="18">
        <f>'5_매출_제품지역'!E12</f>
        <v>0</v>
      </c>
      <c r="F11" s="18">
        <f>'5_매출_제품지역'!F12</f>
        <v>0</v>
      </c>
      <c r="G11" s="18">
        <f>'5_매출_제품지역'!G12</f>
        <v>0</v>
      </c>
      <c r="H11" s="18">
        <f>'5_매출_제품지역'!H12</f>
        <v>0</v>
      </c>
      <c r="I11" s="18">
        <f>'5_매출_제품지역'!I12</f>
        <v>0</v>
      </c>
      <c r="J11" s="18">
        <f>'5_매출_제품지역'!J12</f>
        <v>0</v>
      </c>
      <c r="K11" s="18">
        <f>'5_매출_제품지역'!K12</f>
        <v>0</v>
      </c>
      <c r="L11" s="18">
        <f>'5_매출_제품지역'!L12</f>
        <v>0</v>
      </c>
      <c r="M11" s="18">
        <f>'5_매출_제품지역'!M12</f>
        <v>0</v>
      </c>
      <c r="N11" s="18">
        <f>'5_매출_제품지역'!N12</f>
        <v>0</v>
      </c>
      <c r="O11" s="23">
        <f>SUM(C11:N11)</f>
        <v>0</v>
      </c>
      <c r="P11" s="18">
        <f>'5_매출_제품지역'!O12</f>
        <v>11399.25</v>
      </c>
      <c r="Q11" s="18">
        <f>'5_매출_제품지역'!P12</f>
        <v>15773.25</v>
      </c>
      <c r="R11" s="18">
        <f>'5_매출_제품지역'!Q12</f>
        <v>12947.25</v>
      </c>
      <c r="S11" s="18">
        <f>'5_매출_제품지역'!R12</f>
        <v>12821.25</v>
      </c>
      <c r="T11" s="18">
        <f>'5_매출_제품지역'!S12</f>
        <v>13295.25</v>
      </c>
      <c r="U11" s="18">
        <f>'5_매출_제품지역'!T12</f>
        <v>18143.25</v>
      </c>
      <c r="V11" s="18">
        <f>'5_매출_제품지역'!U12</f>
        <v>15317.25</v>
      </c>
      <c r="W11" s="18">
        <f>'5_매출_제품지역'!V12</f>
        <v>14717.25</v>
      </c>
      <c r="X11" s="18">
        <f>'5_매출_제품지역'!W12</f>
        <v>15191.25</v>
      </c>
      <c r="Y11" s="18">
        <f>'5_매출_제품지역'!X12</f>
        <v>19841.25</v>
      </c>
      <c r="Z11" s="18">
        <f>'5_매출_제품지역'!Y12</f>
        <v>17015.25</v>
      </c>
      <c r="AA11" s="18">
        <f>'5_매출_제품지역'!Z12</f>
        <v>16889.25</v>
      </c>
      <c r="AB11" s="23">
        <f>SUM(P11:AA11)</f>
        <v>183351</v>
      </c>
      <c r="AC11" s="24">
        <f>'5_매출_제품지역'!AC12</f>
        <v>1665697.4</v>
      </c>
      <c r="AD11" s="24">
        <f>'5_매출_제품지역'!AD12</f>
        <v>5666438.436</v>
      </c>
      <c r="AE11" s="24">
        <f>'5_매출_제품지역'!AE12</f>
        <v>17287571.29568</v>
      </c>
      <c r="AF11" s="25">
        <f>O11+AB11+AC11+AD11+AE11</f>
        <v>24803058.13168</v>
      </c>
    </row>
    <row r="12">
      <c r="A12" s="15" t="inlineStr">
        <is>
          <t xml:space="preserve">  스마트 욕창 케어(2027 Q4 출시)</t>
        </is>
      </c>
      <c r="C12" s="18">
        <f>'5_매출_제품지역'!C13</f>
        <v>0</v>
      </c>
      <c r="D12" s="18">
        <f>'5_매출_제품지역'!D13</f>
        <v>0</v>
      </c>
      <c r="E12" s="18">
        <f>'5_매출_제품지역'!E13</f>
        <v>0</v>
      </c>
      <c r="F12" s="18">
        <f>'5_매출_제품지역'!F13</f>
        <v>0</v>
      </c>
      <c r="G12" s="18">
        <f>'5_매출_제품지역'!G13</f>
        <v>0</v>
      </c>
      <c r="H12" s="18">
        <f>'5_매출_제품지역'!H13</f>
        <v>0</v>
      </c>
      <c r="I12" s="18">
        <f>'5_매출_제품지역'!I13</f>
        <v>0</v>
      </c>
      <c r="J12" s="18">
        <f>'5_매출_제품지역'!J13</f>
        <v>0</v>
      </c>
      <c r="K12" s="18">
        <f>'5_매출_제품지역'!K13</f>
        <v>0</v>
      </c>
      <c r="L12" s="18">
        <f>'5_매출_제품지역'!L13</f>
        <v>0</v>
      </c>
      <c r="M12" s="18">
        <f>'5_매출_제품지역'!M13</f>
        <v>0</v>
      </c>
      <c r="N12" s="18">
        <f>'5_매출_제품지역'!N13</f>
        <v>0</v>
      </c>
      <c r="O12" s="23">
        <f>SUM(C12:N12)</f>
        <v>0</v>
      </c>
      <c r="P12" s="18">
        <f>'5_매출_제품지역'!O13</f>
        <v>0</v>
      </c>
      <c r="Q12" s="18">
        <f>'5_매출_제품지역'!P13</f>
        <v>0</v>
      </c>
      <c r="R12" s="18">
        <f>'5_매출_제품지역'!Q13</f>
        <v>0</v>
      </c>
      <c r="S12" s="18">
        <f>'5_매출_제품지역'!R13</f>
        <v>0</v>
      </c>
      <c r="T12" s="18">
        <f>'5_매출_제품지역'!S13</f>
        <v>0</v>
      </c>
      <c r="U12" s="18">
        <f>'5_매출_제품지역'!T13</f>
        <v>0</v>
      </c>
      <c r="V12" s="18">
        <f>'5_매출_제품지역'!U13</f>
        <v>0</v>
      </c>
      <c r="W12" s="18">
        <f>'5_매출_제품지역'!V13</f>
        <v>0</v>
      </c>
      <c r="X12" s="18">
        <f>'5_매출_제품지역'!W13</f>
        <v>0</v>
      </c>
      <c r="Y12" s="18">
        <f>'5_매출_제품지역'!X13</f>
        <v>0</v>
      </c>
      <c r="Z12" s="18">
        <f>'5_매출_제품지역'!Y13</f>
        <v>0</v>
      </c>
      <c r="AA12" s="18">
        <f>'5_매출_제품지역'!Z13</f>
        <v>0</v>
      </c>
      <c r="AB12" s="23">
        <f>SUM(P12:AA12)</f>
        <v>0</v>
      </c>
      <c r="AC12" s="24">
        <f>'5_매출_제품지역'!AC13</f>
        <v>393883.96</v>
      </c>
      <c r="AD12" s="24">
        <f>'5_매출_제품지역'!AD13</f>
        <v>2211255.194</v>
      </c>
      <c r="AE12" s="24">
        <f>'5_매출_제품지역'!AE13</f>
        <v>8071639.57504</v>
      </c>
      <c r="AF12" s="25">
        <f>O12+AB12+AC12+AD12+AE12</f>
        <v>10676778.72904</v>
      </c>
    </row>
    <row r="13">
      <c r="A13" s="15" t="inlineStr">
        <is>
          <t xml:space="preserve">  R&amp;D·PoC 용역</t>
        </is>
      </c>
      <c r="C13" s="18">
        <f>'5_매출_제품지역'!C14</f>
        <v>0</v>
      </c>
      <c r="D13" s="18">
        <f>'5_매출_제품지역'!D14</f>
        <v>0</v>
      </c>
      <c r="E13" s="18">
        <f>'5_매출_제품지역'!E14</f>
        <v>0</v>
      </c>
      <c r="F13" s="18">
        <f>'5_매출_제품지역'!F14</f>
        <v>0</v>
      </c>
      <c r="G13" s="18">
        <f>'5_매출_제품지역'!G14</f>
        <v>0</v>
      </c>
      <c r="H13" s="18">
        <f>'5_매출_제품지역'!H14</f>
        <v>0</v>
      </c>
      <c r="I13" s="18">
        <f>'5_매출_제품지역'!I14</f>
        <v>0</v>
      </c>
      <c r="J13" s="18">
        <f>'5_매출_제품지역'!J14</f>
        <v>0</v>
      </c>
      <c r="K13" s="18">
        <f>'5_매출_제품지역'!K14</f>
        <v>0</v>
      </c>
      <c r="L13" s="18">
        <f>'5_매출_제품지역'!L14</f>
        <v>47250</v>
      </c>
      <c r="M13" s="18">
        <f>'5_매출_제품지역'!M14</f>
        <v>0</v>
      </c>
      <c r="N13" s="18">
        <f>'5_매출_제품지역'!N14</f>
        <v>63343.55</v>
      </c>
      <c r="O13" s="23">
        <f>SUM(C13:N13)</f>
        <v>110593.55</v>
      </c>
      <c r="P13" s="18">
        <f>'5_매출_제품지역'!O14</f>
        <v>4500</v>
      </c>
      <c r="Q13" s="18">
        <f>'5_매출_제품지역'!P14</f>
        <v>4500</v>
      </c>
      <c r="R13" s="18">
        <f>'5_매출_제품지역'!Q14</f>
        <v>54500</v>
      </c>
      <c r="S13" s="18">
        <f>'5_매출_제품지역'!R14</f>
        <v>64500</v>
      </c>
      <c r="T13" s="18">
        <f>'5_매출_제품지역'!S14</f>
        <v>14500</v>
      </c>
      <c r="U13" s="18">
        <f>'5_매출_제품지역'!T14</f>
        <v>14500</v>
      </c>
      <c r="V13" s="18">
        <f>'5_매출_제품지역'!U14</f>
        <v>14500</v>
      </c>
      <c r="W13" s="18">
        <f>'5_매출_제품지역'!V14</f>
        <v>14500</v>
      </c>
      <c r="X13" s="18">
        <f>'5_매출_제품지역'!W14</f>
        <v>14500</v>
      </c>
      <c r="Y13" s="18">
        <f>'5_매출_제품지역'!X14</f>
        <v>14500</v>
      </c>
      <c r="Z13" s="18">
        <f>'5_매출_제품지역'!Y14</f>
        <v>17500</v>
      </c>
      <c r="AA13" s="18">
        <f>'5_매출_제품지역'!Z14</f>
        <v>57500</v>
      </c>
      <c r="AB13" s="23">
        <f>SUM(P13:AA13)</f>
        <v>290000</v>
      </c>
      <c r="AC13" s="24">
        <f>'5_매출_제품지역'!AC14</f>
        <v>725313.76</v>
      </c>
      <c r="AD13" s="24">
        <f>'5_매출_제품지역'!AD14</f>
        <v>1451101.948</v>
      </c>
      <c r="AE13" s="24">
        <f>'5_매출_제품지역'!AE14</f>
        <v>3117812.43664</v>
      </c>
      <c r="AF13" s="25">
        <f>O13+AB13+AC13+AD13+AE13</f>
        <v>5694821.69464</v>
      </c>
    </row>
    <row r="14">
      <c r="A14" s="12" t="inlineStr">
        <is>
          <t>매출액</t>
        </is>
      </c>
      <c r="C14" s="26">
        <f>SUM(C8:C13)</f>
        <v>54297</v>
      </c>
      <c r="D14" s="26">
        <f>SUM(D8:D13)</f>
        <v>42124</v>
      </c>
      <c r="E14" s="26">
        <f>SUM(E8:E13)</f>
        <v>66552</v>
      </c>
      <c r="F14" s="26">
        <f>SUM(F8:F13)</f>
        <v>20969</v>
      </c>
      <c r="G14" s="26">
        <f>SUM(G8:G13)</f>
        <v>28646</v>
      </c>
      <c r="H14" s="26">
        <f>SUM(H8:H13)</f>
        <v>60378</v>
      </c>
      <c r="I14" s="26">
        <f>SUM(I8:I13)</f>
        <v>24379</v>
      </c>
      <c r="J14" s="26">
        <f>SUM(J8:J13)</f>
        <v>16087</v>
      </c>
      <c r="K14" s="26">
        <f>SUM(K8:K13)</f>
        <v>46206</v>
      </c>
      <c r="L14" s="26">
        <f>SUM(L8:L13)</f>
        <v>70875</v>
      </c>
      <c r="M14" s="26">
        <f>SUM(M8:M13)</f>
        <v>249695</v>
      </c>
      <c r="N14" s="26">
        <f>SUM(N8:N13)</f>
        <v>594437</v>
      </c>
      <c r="O14" s="27">
        <f>SUM(O8:O13)</f>
        <v>1274645</v>
      </c>
      <c r="P14" s="26">
        <f>SUM(P8:P13)</f>
        <v>682975</v>
      </c>
      <c r="Q14" s="26">
        <f>SUM(Q8:Q13)</f>
        <v>828775</v>
      </c>
      <c r="R14" s="26">
        <f>SUM(R8:R13)</f>
        <v>784575</v>
      </c>
      <c r="S14" s="26">
        <f>SUM(S8:S13)</f>
        <v>790375</v>
      </c>
      <c r="T14" s="26">
        <f>SUM(T8:T13)</f>
        <v>756175</v>
      </c>
      <c r="U14" s="26">
        <f>SUM(U8:U13)</f>
        <v>917775</v>
      </c>
      <c r="V14" s="26">
        <f>SUM(V8:V13)</f>
        <v>813575</v>
      </c>
      <c r="W14" s="26">
        <f>SUM(W8:W13)</f>
        <v>793575</v>
      </c>
      <c r="X14" s="26">
        <f>SUM(X8:X13)</f>
        <v>819375</v>
      </c>
      <c r="Y14" s="26">
        <f>SUM(Y8:Y13)</f>
        <v>974375</v>
      </c>
      <c r="Z14" s="26">
        <f>SUM(Z8:Z13)</f>
        <v>900175</v>
      </c>
      <c r="AA14" s="26">
        <f>SUM(AA8:AA13)</f>
        <v>943275</v>
      </c>
      <c r="AB14" s="27">
        <f>SUM(AB8:AB13)</f>
        <v>10005000</v>
      </c>
      <c r="AC14" s="28">
        <f>SUM(AC8:AC13)</f>
        <v>33000000</v>
      </c>
      <c r="AD14" s="28">
        <f>SUM(AD8:AD13)</f>
        <v>70000000</v>
      </c>
      <c r="AE14" s="28">
        <f>SUM(AE8:AE13)</f>
        <v>156000000</v>
      </c>
      <c r="AF14" s="26">
        <f>SUM(AF8:AF13)</f>
        <v>270279645</v>
      </c>
    </row>
    <row r="15">
      <c r="A15" s="15" t="inlineStr">
        <is>
          <t>전년 대비 성장률</t>
        </is>
      </c>
      <c r="B15" s="29" t="inlineStr">
        <is>
          <t>2026은 2025A 대비</t>
        </is>
      </c>
      <c r="O15" s="30">
        <f>IFERROR(O14/'3_연간손익'!$C$7-1,0)</f>
        <v>0.492273563948691</v>
      </c>
      <c r="AB15" s="30">
        <f>IFERROR(AB14/O14-1,0)</f>
        <v>6.84924429939316</v>
      </c>
      <c r="AC15" s="31">
        <f>IFERROR(AC14/AB14-1,0)</f>
        <v>2.29835082458771</v>
      </c>
      <c r="AD15" s="31">
        <f>IFERROR(AD14/AC14-1,0)</f>
        <v>1.12121212121212</v>
      </c>
      <c r="AE15" s="31">
        <f>IFERROR(AE14/AD14-1,0)</f>
        <v>1.22857142857143</v>
      </c>
    </row>
    <row r="16"/>
    <row r="17">
      <c r="A17" s="3" t="inlineStr">
        <is>
          <t>Ⅱ. 매출원가</t>
        </is>
      </c>
    </row>
    <row r="18">
      <c r="A18" s="15" t="inlineStr">
        <is>
          <t xml:space="preserve">  스마트 기저귀(전용 기저귀·패드, 소모품) 원가</t>
        </is>
      </c>
      <c r="B18" s="29" t="inlineStr">
        <is>
          <t>매출 × 제품 원가율</t>
        </is>
      </c>
      <c r="C18" s="18">
        <f>C8*'8_가정'!$C$36</f>
        <v>20225.7432</v>
      </c>
      <c r="D18" s="18">
        <f>D8*'8_가정'!$C$36</f>
        <v>17650.602</v>
      </c>
      <c r="E18" s="18">
        <f>E8*'8_가정'!$C$36</f>
        <v>27540.1458</v>
      </c>
      <c r="F18" s="18">
        <f>F8*'8_가정'!$C$36</f>
        <v>9611.676</v>
      </c>
      <c r="G18" s="18">
        <f>G8*'8_가정'!$C$36</f>
        <v>13121.541</v>
      </c>
      <c r="H18" s="18">
        <f>H8*'8_가정'!$C$36</f>
        <v>27684.018</v>
      </c>
      <c r="I18" s="18">
        <f>I8*'8_가정'!$C$36</f>
        <v>11064.7836</v>
      </c>
      <c r="J18" s="18">
        <f>J8*'8_가정'!$C$36</f>
        <v>7365.384</v>
      </c>
      <c r="K18" s="18">
        <f>K8*'8_가정'!$C$36</f>
        <v>17073.7038</v>
      </c>
      <c r="L18" s="18">
        <f>L8*'8_가정'!$C$36</f>
        <v>7909.65</v>
      </c>
      <c r="M18" s="18">
        <f>M8*'8_가정'!$C$36</f>
        <v>105571.89</v>
      </c>
      <c r="N18" s="18">
        <f>N8*'8_가정'!$C$36</f>
        <v>158297.76</v>
      </c>
      <c r="O18" s="23">
        <f>SUM(C18:N18)</f>
        <v>423116.8974</v>
      </c>
      <c r="P18" s="18">
        <f>P8*'8_가정'!$D$36</f>
        <v>310231.215</v>
      </c>
      <c r="Q18" s="18">
        <f>Q8*'8_가정'!$D$36</f>
        <v>376837.335</v>
      </c>
      <c r="R18" s="18">
        <f>R8*'8_가정'!$D$36</f>
        <v>333571.455</v>
      </c>
      <c r="S18" s="18">
        <f>S8*'8_가정'!$D$36</f>
        <v>333523.575</v>
      </c>
      <c r="T18" s="18">
        <f>T8*'8_가정'!$D$36</f>
        <v>341287.695</v>
      </c>
      <c r="U18" s="18">
        <f>U8*'8_가정'!$D$36</f>
        <v>415657.935</v>
      </c>
      <c r="V18" s="18">
        <f>V8*'8_가정'!$D$36</f>
        <v>367037.055</v>
      </c>
      <c r="W18" s="18">
        <f>W8*'8_가정'!$D$36</f>
        <v>359225.055</v>
      </c>
      <c r="X18" s="18">
        <f>X8*'8_가정'!$D$36</f>
        <v>372344.175</v>
      </c>
      <c r="Y18" s="18">
        <f>Y8*'8_가정'!$D$36</f>
        <v>443471.175</v>
      </c>
      <c r="Z18" s="18">
        <f>Z8*'8_가정'!$D$36</f>
        <v>400205.295</v>
      </c>
      <c r="AA18" s="18">
        <f>AA8*'8_가정'!$D$36</f>
        <v>401767.065</v>
      </c>
      <c r="AB18" s="23">
        <f>SUM(P18:AA18)</f>
        <v>4455159.03</v>
      </c>
      <c r="AC18" s="24">
        <f>AC8*'8_가정'!$E$36</f>
        <v>14168302.0418</v>
      </c>
      <c r="AD18" s="24">
        <f>AD8*'8_가정'!$F$36</f>
        <v>27970392.6748</v>
      </c>
      <c r="AE18" s="24">
        <f>AE8*'8_가정'!$G$36</f>
        <v>57848255.3609668</v>
      </c>
      <c r="AF18" s="25">
        <f>O18+AB18+AC18+AD18+AE18</f>
        <v>104865226.004967</v>
      </c>
    </row>
    <row r="19">
      <c r="A19" s="15" t="inlineStr">
        <is>
          <t xml:space="preserve">  센서·BLE 게이트웨이(하드웨어) 원가</t>
        </is>
      </c>
      <c r="B19" s="29" t="inlineStr">
        <is>
          <t>매출 × 제품 원가율</t>
        </is>
      </c>
      <c r="C19" s="18">
        <f>C9*'8_가정'!$C$37</f>
        <v>4870.9584</v>
      </c>
      <c r="D19" s="18">
        <f>D9*'8_가정'!$C$37</f>
        <v>2104.2746</v>
      </c>
      <c r="E19" s="18">
        <f>E9*'8_가정'!$C$37</f>
        <v>4027.461</v>
      </c>
      <c r="F19" s="18">
        <f>F9*'8_가정'!$C$37</f>
        <v>488.98</v>
      </c>
      <c r="G19" s="18">
        <f>G9*'8_가정'!$C$37</f>
        <v>672.6442</v>
      </c>
      <c r="H19" s="18">
        <f>H9*'8_가정'!$C$37</f>
        <v>1403.7636</v>
      </c>
      <c r="I19" s="18">
        <f>I9*'8_가정'!$C$37</f>
        <v>651.866</v>
      </c>
      <c r="J19" s="18">
        <f>J9*'8_가정'!$C$37</f>
        <v>379.4816</v>
      </c>
      <c r="K19" s="18">
        <f>K9*'8_가정'!$C$37</f>
        <v>4581.3838</v>
      </c>
      <c r="L19" s="18">
        <f>L9*'8_가정'!$C$37</f>
        <v>3042.9</v>
      </c>
      <c r="M19" s="18">
        <f>M9*'8_가정'!$C$37</f>
        <v>11362.276</v>
      </c>
      <c r="N19" s="18">
        <f>N9*'8_가정'!$C$37</f>
        <v>77086.018</v>
      </c>
      <c r="O19" s="23">
        <f>SUM(C19:N19)</f>
        <v>110672.0072</v>
      </c>
      <c r="P19" s="18">
        <f>P9*'8_가정'!$D$37</f>
        <v>57597.36</v>
      </c>
      <c r="Q19" s="18">
        <f>Q9*'8_가정'!$D$37</f>
        <v>69375.84</v>
      </c>
      <c r="R19" s="18">
        <f>R9*'8_가정'!$D$37</f>
        <v>62002.32</v>
      </c>
      <c r="S19" s="18">
        <f>S9*'8_가정'!$D$37</f>
        <v>59758.8</v>
      </c>
      <c r="T19" s="18">
        <f>T9*'8_가정'!$D$37</f>
        <v>60479.28</v>
      </c>
      <c r="U19" s="18">
        <f>U9*'8_가정'!$D$37</f>
        <v>72978.24</v>
      </c>
      <c r="V19" s="18">
        <f>V9*'8_가정'!$D$37</f>
        <v>65319.72</v>
      </c>
      <c r="W19" s="18">
        <f>W9*'8_가정'!$D$37</f>
        <v>62355.72</v>
      </c>
      <c r="X19" s="18">
        <f>X9*'8_가정'!$D$37</f>
        <v>63361.2</v>
      </c>
      <c r="Y19" s="18">
        <f>Y9*'8_가정'!$D$37</f>
        <v>75559.2</v>
      </c>
      <c r="Z19" s="18">
        <f>Z9*'8_가정'!$D$37</f>
        <v>76165.68</v>
      </c>
      <c r="AA19" s="18">
        <f>AA9*'8_가정'!$D$37</f>
        <v>76002.66</v>
      </c>
      <c r="AB19" s="23">
        <f>SUM(P19:AA19)</f>
        <v>800956.02</v>
      </c>
      <c r="AC19" s="24">
        <f>AC9*'8_가정'!$E$37</f>
        <v>2301329.4976</v>
      </c>
      <c r="AD19" s="24">
        <f>AD9*'8_가정'!$F$37</f>
        <v>4669872.5051</v>
      </c>
      <c r="AE19" s="24">
        <f>AE9*'8_가정'!$G$37</f>
        <v>9756570.9037104</v>
      </c>
      <c r="AF19" s="25">
        <f>O19+AB19+AC19+AD19+AE19</f>
        <v>17639400.9336104</v>
      </c>
    </row>
    <row r="20">
      <c r="A20" s="15" t="inlineStr">
        <is>
          <t xml:space="preserve">  앱·웹 모니터링 구독(SW·AI) 원가</t>
        </is>
      </c>
      <c r="B20" s="29" t="inlineStr">
        <is>
          <t>매출 × 제품 원가율</t>
        </is>
      </c>
      <c r="C20" s="18">
        <f>C10*'8_가정'!$C$38</f>
        <v>1250.576</v>
      </c>
      <c r="D20" s="18">
        <f>D10*'8_가정'!$C$38</f>
        <v>972.638</v>
      </c>
      <c r="E20" s="18">
        <f>E10*'8_가정'!$C$38</f>
        <v>1359.276</v>
      </c>
      <c r="F20" s="18">
        <f>F10*'8_가정'!$C$38</f>
        <v>421.32</v>
      </c>
      <c r="G20" s="18">
        <f>G10*'8_가정'!$C$38</f>
        <v>576.916</v>
      </c>
      <c r="H20" s="18">
        <f>H10*'8_가정'!$C$38</f>
        <v>1211.928</v>
      </c>
      <c r="I20" s="18">
        <f>I10*'8_가정'!$C$38</f>
        <v>494.312</v>
      </c>
      <c r="J20" s="18">
        <f>J10*'8_가정'!$C$38</f>
        <v>324.488</v>
      </c>
      <c r="K20" s="18">
        <f>K10*'8_가정'!$C$38</f>
        <v>925.7</v>
      </c>
      <c r="L20" s="18">
        <f>L10*'8_가정'!$C$38</f>
        <v>472.5</v>
      </c>
      <c r="M20" s="18">
        <f>M10*'8_가정'!$C$38</f>
        <v>5898.18</v>
      </c>
      <c r="N20" s="18">
        <f>N10*'8_가정'!$C$38</f>
        <v>14074.23</v>
      </c>
      <c r="O20" s="23">
        <f>SUM(C20:N20)</f>
        <v>27982.064</v>
      </c>
      <c r="P20" s="18">
        <f>P10*'8_가정'!$D$38</f>
        <v>17663.34</v>
      </c>
      <c r="Q20" s="18">
        <f>Q10*'8_가정'!$D$38</f>
        <v>21272.46</v>
      </c>
      <c r="R20" s="18">
        <f>R10*'8_가정'!$D$38</f>
        <v>18929.58</v>
      </c>
      <c r="S20" s="18">
        <f>S10*'8_가정'!$D$38</f>
        <v>18914.7</v>
      </c>
      <c r="T20" s="18">
        <f>T10*'8_가정'!$D$38</f>
        <v>19331.82</v>
      </c>
      <c r="U20" s="18">
        <f>U10*'8_가정'!$D$38</f>
        <v>23358.06</v>
      </c>
      <c r="V20" s="18">
        <f>V10*'8_가정'!$D$38</f>
        <v>20775.18</v>
      </c>
      <c r="W20" s="18">
        <f>W10*'8_가정'!$D$38</f>
        <v>20343.18</v>
      </c>
      <c r="X20" s="18">
        <f>X10*'8_가정'!$D$38</f>
        <v>21000.3</v>
      </c>
      <c r="Y20" s="18">
        <f>Y10*'8_가정'!$D$38</f>
        <v>24852.3</v>
      </c>
      <c r="Z20" s="18">
        <f>Z10*'8_가정'!$D$38</f>
        <v>23229.42</v>
      </c>
      <c r="AA20" s="18">
        <f>AA10*'8_가정'!$D$38</f>
        <v>23477.34</v>
      </c>
      <c r="AB20" s="23">
        <f>SUM(P20:AA20)</f>
        <v>253147.68</v>
      </c>
      <c r="AC20" s="24">
        <f>AC10*'8_가정'!$E$38</f>
        <v>872459.2852</v>
      </c>
      <c r="AD20" s="24">
        <f>AD10*'8_가정'!$F$38</f>
        <v>1789186.2252</v>
      </c>
      <c r="AE20" s="24">
        <f>AE10*'8_가정'!$G$38</f>
        <v>3854683.991592</v>
      </c>
      <c r="AF20" s="25">
        <f>O20+AB20+AC20+AD20+AE20</f>
        <v>6797459.245992</v>
      </c>
    </row>
    <row r="21">
      <c r="A21" s="15" t="inlineStr">
        <is>
          <t xml:space="preserve">  바이탈 모니터링 센서(60GHz, 2026 Q4 출시) 원가</t>
        </is>
      </c>
      <c r="B21" s="29" t="inlineStr">
        <is>
          <t>매출 × 제품 원가율</t>
        </is>
      </c>
      <c r="C21" s="18">
        <f>C11*'8_가정'!$C$39</f>
        <v>0</v>
      </c>
      <c r="D21" s="18">
        <f>D11*'8_가정'!$C$39</f>
        <v>0</v>
      </c>
      <c r="E21" s="18">
        <f>E11*'8_가정'!$C$39</f>
        <v>0</v>
      </c>
      <c r="F21" s="18">
        <f>F11*'8_가정'!$C$39</f>
        <v>0</v>
      </c>
      <c r="G21" s="18">
        <f>G11*'8_가정'!$C$39</f>
        <v>0</v>
      </c>
      <c r="H21" s="18">
        <f>H11*'8_가정'!$C$39</f>
        <v>0</v>
      </c>
      <c r="I21" s="18">
        <f>I11*'8_가정'!$C$39</f>
        <v>0</v>
      </c>
      <c r="J21" s="18">
        <f>J11*'8_가정'!$C$39</f>
        <v>0</v>
      </c>
      <c r="K21" s="18">
        <f>K11*'8_가정'!$C$39</f>
        <v>0</v>
      </c>
      <c r="L21" s="18">
        <f>L11*'8_가정'!$C$39</f>
        <v>0</v>
      </c>
      <c r="M21" s="18">
        <f>M11*'8_가정'!$C$39</f>
        <v>0</v>
      </c>
      <c r="N21" s="18">
        <f>N11*'8_가정'!$C$39</f>
        <v>0</v>
      </c>
      <c r="O21" s="23">
        <f>SUM(C21:N21)</f>
        <v>0</v>
      </c>
      <c r="P21" s="18">
        <f>P11*'8_가정'!$D$39</f>
        <v>6839.55</v>
      </c>
      <c r="Q21" s="18">
        <f>Q11*'8_가정'!$D$39</f>
        <v>9463.95</v>
      </c>
      <c r="R21" s="18">
        <f>R11*'8_가정'!$D$39</f>
        <v>7768.35</v>
      </c>
      <c r="S21" s="18">
        <f>S11*'8_가정'!$D$39</f>
        <v>7692.75</v>
      </c>
      <c r="T21" s="18">
        <f>T11*'8_가정'!$D$39</f>
        <v>7977.15</v>
      </c>
      <c r="U21" s="18">
        <f>U11*'8_가정'!$D$39</f>
        <v>10885.95</v>
      </c>
      <c r="V21" s="18">
        <f>V11*'8_가정'!$D$39</f>
        <v>9190.35</v>
      </c>
      <c r="W21" s="18">
        <f>W11*'8_가정'!$D$39</f>
        <v>8830.35</v>
      </c>
      <c r="X21" s="18">
        <f>X11*'8_가정'!$D$39</f>
        <v>9114.75</v>
      </c>
      <c r="Y21" s="18">
        <f>Y11*'8_가정'!$D$39</f>
        <v>11904.75</v>
      </c>
      <c r="Z21" s="18">
        <f>Z11*'8_가정'!$D$39</f>
        <v>10209.15</v>
      </c>
      <c r="AA21" s="18">
        <f>AA11*'8_가정'!$D$39</f>
        <v>10133.55</v>
      </c>
      <c r="AB21" s="23">
        <f>SUM(P21:AA21)</f>
        <v>110010.6</v>
      </c>
      <c r="AC21" s="24">
        <f>AC11*'8_가정'!$E$39</f>
        <v>966104.492</v>
      </c>
      <c r="AD21" s="24">
        <f>AD11*'8_가정'!$F$39</f>
        <v>3173205.52416</v>
      </c>
      <c r="AE21" s="24">
        <f>AE11*'8_가정'!$G$39</f>
        <v>9335288.4996672</v>
      </c>
      <c r="AF21" s="25">
        <f>O21+AB21+AC21+AD21+AE21</f>
        <v>13584609.1158272</v>
      </c>
    </row>
    <row r="22">
      <c r="A22" s="15" t="inlineStr">
        <is>
          <t xml:space="preserve">  스마트 욕창 케어(2027 Q4 출시) 원가</t>
        </is>
      </c>
      <c r="B22" s="29" t="inlineStr">
        <is>
          <t>매출 × 제품 원가율</t>
        </is>
      </c>
      <c r="C22" s="18">
        <f>C12*'8_가정'!$C$40</f>
        <v>0</v>
      </c>
      <c r="D22" s="18">
        <f>D12*'8_가정'!$C$40</f>
        <v>0</v>
      </c>
      <c r="E22" s="18">
        <f>E12*'8_가정'!$C$40</f>
        <v>0</v>
      </c>
      <c r="F22" s="18">
        <f>F12*'8_가정'!$C$40</f>
        <v>0</v>
      </c>
      <c r="G22" s="18">
        <f>G12*'8_가정'!$C$40</f>
        <v>0</v>
      </c>
      <c r="H22" s="18">
        <f>H12*'8_가정'!$C$40</f>
        <v>0</v>
      </c>
      <c r="I22" s="18">
        <f>I12*'8_가정'!$C$40</f>
        <v>0</v>
      </c>
      <c r="J22" s="18">
        <f>J12*'8_가정'!$C$40</f>
        <v>0</v>
      </c>
      <c r="K22" s="18">
        <f>K12*'8_가정'!$C$40</f>
        <v>0</v>
      </c>
      <c r="L22" s="18">
        <f>L12*'8_가정'!$C$40</f>
        <v>0</v>
      </c>
      <c r="M22" s="18">
        <f>M12*'8_가정'!$C$40</f>
        <v>0</v>
      </c>
      <c r="N22" s="18">
        <f>N12*'8_가정'!$C$40</f>
        <v>0</v>
      </c>
      <c r="O22" s="23">
        <f>SUM(C22:N22)</f>
        <v>0</v>
      </c>
      <c r="P22" s="18">
        <f>P12*'8_가정'!$D$40</f>
        <v>0</v>
      </c>
      <c r="Q22" s="18">
        <f>Q12*'8_가정'!$D$40</f>
        <v>0</v>
      </c>
      <c r="R22" s="18">
        <f>R12*'8_가정'!$D$40</f>
        <v>0</v>
      </c>
      <c r="S22" s="18">
        <f>S12*'8_가정'!$D$40</f>
        <v>0</v>
      </c>
      <c r="T22" s="18">
        <f>T12*'8_가정'!$D$40</f>
        <v>0</v>
      </c>
      <c r="U22" s="18">
        <f>U12*'8_가정'!$D$40</f>
        <v>0</v>
      </c>
      <c r="V22" s="18">
        <f>V12*'8_가정'!$D$40</f>
        <v>0</v>
      </c>
      <c r="W22" s="18">
        <f>W12*'8_가정'!$D$40</f>
        <v>0</v>
      </c>
      <c r="X22" s="18">
        <f>X12*'8_가정'!$D$40</f>
        <v>0</v>
      </c>
      <c r="Y22" s="18">
        <f>Y12*'8_가정'!$D$40</f>
        <v>0</v>
      </c>
      <c r="Z22" s="18">
        <f>Z12*'8_가정'!$D$40</f>
        <v>0</v>
      </c>
      <c r="AA22" s="18">
        <f>AA12*'8_가정'!$D$40</f>
        <v>0</v>
      </c>
      <c r="AB22" s="23">
        <f>SUM(P22:AA22)</f>
        <v>0</v>
      </c>
      <c r="AC22" s="24">
        <f>AC12*'8_가정'!$E$40</f>
        <v>224513.8572</v>
      </c>
      <c r="AD22" s="24">
        <f>AD12*'8_가정'!$F$40</f>
        <v>1216190.3567</v>
      </c>
      <c r="AE22" s="24">
        <f>AE12*'8_가정'!$G$40</f>
        <v>4277968.9747712</v>
      </c>
      <c r="AF22" s="25">
        <f>O22+AB22+AC22+AD22+AE22</f>
        <v>5718673.1886712</v>
      </c>
    </row>
    <row r="23">
      <c r="A23" s="15" t="inlineStr">
        <is>
          <t xml:space="preserve">  R&amp;D·PoC 용역 원가</t>
        </is>
      </c>
      <c r="B23" s="29" t="inlineStr">
        <is>
          <t>매출 × 제품 원가율</t>
        </is>
      </c>
      <c r="C23" s="18">
        <f>C13*'8_가정'!$C$41</f>
        <v>0</v>
      </c>
      <c r="D23" s="18">
        <f>D13*'8_가정'!$C$41</f>
        <v>0</v>
      </c>
      <c r="E23" s="18">
        <f>E13*'8_가정'!$C$41</f>
        <v>0</v>
      </c>
      <c r="F23" s="18">
        <f>F13*'8_가정'!$C$41</f>
        <v>0</v>
      </c>
      <c r="G23" s="18">
        <f>G13*'8_가정'!$C$41</f>
        <v>0</v>
      </c>
      <c r="H23" s="18">
        <f>H13*'8_가정'!$C$41</f>
        <v>0</v>
      </c>
      <c r="I23" s="18">
        <f>I13*'8_가정'!$C$41</f>
        <v>0</v>
      </c>
      <c r="J23" s="18">
        <f>J13*'8_가정'!$C$41</f>
        <v>0</v>
      </c>
      <c r="K23" s="18">
        <f>K13*'8_가정'!$C$41</f>
        <v>0</v>
      </c>
      <c r="L23" s="18">
        <f>L13*'8_가정'!$C$41</f>
        <v>25987.5</v>
      </c>
      <c r="M23" s="18">
        <f>M13*'8_가정'!$C$41</f>
        <v>0</v>
      </c>
      <c r="N23" s="18">
        <f>N13*'8_가정'!$C$41</f>
        <v>34838.9525</v>
      </c>
      <c r="O23" s="23">
        <f>SUM(C23:N23)</f>
        <v>60826.4525</v>
      </c>
      <c r="P23" s="18">
        <f>P13*'8_가정'!$D$41</f>
        <v>2475</v>
      </c>
      <c r="Q23" s="18">
        <f>Q13*'8_가정'!$D$41</f>
        <v>2475</v>
      </c>
      <c r="R23" s="18">
        <f>R13*'8_가정'!$D$41</f>
        <v>29975</v>
      </c>
      <c r="S23" s="18">
        <f>S13*'8_가정'!$D$41</f>
        <v>35475</v>
      </c>
      <c r="T23" s="18">
        <f>T13*'8_가정'!$D$41</f>
        <v>7975</v>
      </c>
      <c r="U23" s="18">
        <f>U13*'8_가정'!$D$41</f>
        <v>7975</v>
      </c>
      <c r="V23" s="18">
        <f>V13*'8_가정'!$D$41</f>
        <v>7975</v>
      </c>
      <c r="W23" s="18">
        <f>W13*'8_가정'!$D$41</f>
        <v>7975</v>
      </c>
      <c r="X23" s="18">
        <f>X13*'8_가정'!$D$41</f>
        <v>7975</v>
      </c>
      <c r="Y23" s="18">
        <f>Y13*'8_가정'!$D$41</f>
        <v>7975</v>
      </c>
      <c r="Z23" s="18">
        <f>Z13*'8_가정'!$D$41</f>
        <v>9625</v>
      </c>
      <c r="AA23" s="18">
        <f>AA13*'8_가정'!$D$41</f>
        <v>31625</v>
      </c>
      <c r="AB23" s="23">
        <f>SUM(P23:AA23)</f>
        <v>159500</v>
      </c>
      <c r="AC23" s="24">
        <f>AC13*'8_가정'!$E$41</f>
        <v>398922.568</v>
      </c>
      <c r="AD23" s="24">
        <f>AD13*'8_가정'!$F$41</f>
        <v>798106.0714</v>
      </c>
      <c r="AE23" s="24">
        <f>AE13*'8_가정'!$G$41</f>
        <v>1714796.840152</v>
      </c>
      <c r="AF23" s="25">
        <f>O23+AB23+AC23+AD23+AE23</f>
        <v>3132151.932052</v>
      </c>
    </row>
    <row r="24">
      <c r="A24" s="15" t="inlineStr">
        <is>
          <t xml:space="preserve">  운영성 매출원가</t>
        </is>
      </c>
      <c r="B24" s="29" t="inlineStr">
        <is>
          <t>물류·관세·보증·클라우드</t>
        </is>
      </c>
      <c r="C24" s="18">
        <f>C14*'8_가정'!$C$42</f>
        <v>814.455</v>
      </c>
      <c r="D24" s="18">
        <f>D14*'8_가정'!$C$42</f>
        <v>631.86</v>
      </c>
      <c r="E24" s="18">
        <f>E14*'8_가정'!$C$42</f>
        <v>998.28</v>
      </c>
      <c r="F24" s="18">
        <f>F14*'8_가정'!$C$42</f>
        <v>314.535</v>
      </c>
      <c r="G24" s="18">
        <f>G14*'8_가정'!$C$42</f>
        <v>429.69</v>
      </c>
      <c r="H24" s="18">
        <f>H14*'8_가정'!$C$42</f>
        <v>905.67</v>
      </c>
      <c r="I24" s="18">
        <f>I14*'8_가정'!$C$42</f>
        <v>365.685</v>
      </c>
      <c r="J24" s="18">
        <f>J14*'8_가정'!$C$42</f>
        <v>241.305</v>
      </c>
      <c r="K24" s="18">
        <f>K14*'8_가정'!$C$42</f>
        <v>693.09</v>
      </c>
      <c r="L24" s="18">
        <f>L14*'8_가정'!$C$42</f>
        <v>1063.125</v>
      </c>
      <c r="M24" s="18">
        <f>M14*'8_가정'!$C$42</f>
        <v>3745.425</v>
      </c>
      <c r="N24" s="18">
        <f>N14*'8_가정'!$C$42</f>
        <v>8916.555</v>
      </c>
      <c r="O24" s="23">
        <f>SUM(C24:N24)</f>
        <v>19119.675</v>
      </c>
      <c r="P24" s="18">
        <f>P14*'8_가정'!$D$42</f>
        <v>17074.375</v>
      </c>
      <c r="Q24" s="18">
        <f>Q14*'8_가정'!$D$42</f>
        <v>20719.375</v>
      </c>
      <c r="R24" s="18">
        <f>R14*'8_가정'!$D$42</f>
        <v>19614.375</v>
      </c>
      <c r="S24" s="18">
        <f>S14*'8_가정'!$D$42</f>
        <v>19759.375</v>
      </c>
      <c r="T24" s="18">
        <f>T14*'8_가정'!$D$42</f>
        <v>18904.375</v>
      </c>
      <c r="U24" s="18">
        <f>U14*'8_가정'!$D$42</f>
        <v>22944.375</v>
      </c>
      <c r="V24" s="18">
        <f>V14*'8_가정'!$D$42</f>
        <v>20339.375</v>
      </c>
      <c r="W24" s="18">
        <f>W14*'8_가정'!$D$42</f>
        <v>19839.375</v>
      </c>
      <c r="X24" s="18">
        <f>X14*'8_가정'!$D$42</f>
        <v>20484.375</v>
      </c>
      <c r="Y24" s="18">
        <f>Y14*'8_가정'!$D$42</f>
        <v>24359.375</v>
      </c>
      <c r="Z24" s="18">
        <f>Z14*'8_가정'!$D$42</f>
        <v>22504.375</v>
      </c>
      <c r="AA24" s="18">
        <f>AA14*'8_가정'!$D$42</f>
        <v>23581.875</v>
      </c>
      <c r="AB24" s="23">
        <f>SUM(P24:AA24)</f>
        <v>250125</v>
      </c>
      <c r="AC24" s="24">
        <f>AC14*'8_가정'!$E$42</f>
        <v>990000</v>
      </c>
      <c r="AD24" s="24">
        <f>AD14*'8_가정'!$F$42</f>
        <v>2450000</v>
      </c>
      <c r="AE24" s="24">
        <f>AE14*'8_가정'!$G$42</f>
        <v>5460000</v>
      </c>
      <c r="AF24" s="25">
        <f>O24+AB24+AC24+AD24+AE24</f>
        <v>9169244.675</v>
      </c>
    </row>
    <row r="25">
      <c r="A25" s="12" t="inlineStr">
        <is>
          <t>매출원가</t>
        </is>
      </c>
      <c r="C25" s="26">
        <f>SUM(C18:C24)</f>
        <v>27161.7326</v>
      </c>
      <c r="D25" s="26">
        <f>SUM(D18:D24)</f>
        <v>21359.3746</v>
      </c>
      <c r="E25" s="26">
        <f>SUM(E18:E24)</f>
        <v>33925.1628</v>
      </c>
      <c r="F25" s="26">
        <f>SUM(F18:F24)</f>
        <v>10836.511</v>
      </c>
      <c r="G25" s="26">
        <f>SUM(G18:G24)</f>
        <v>14800.7912</v>
      </c>
      <c r="H25" s="26">
        <f>SUM(H18:H24)</f>
        <v>31205.3796</v>
      </c>
      <c r="I25" s="26">
        <f>SUM(I18:I24)</f>
        <v>12576.6466</v>
      </c>
      <c r="J25" s="26">
        <f>SUM(J18:J24)</f>
        <v>8310.6586</v>
      </c>
      <c r="K25" s="26">
        <f>SUM(K18:K24)</f>
        <v>23273.8776</v>
      </c>
      <c r="L25" s="26">
        <f>SUM(L18:L24)</f>
        <v>38475.675</v>
      </c>
      <c r="M25" s="26">
        <f>SUM(M18:M24)</f>
        <v>126577.771</v>
      </c>
      <c r="N25" s="26">
        <f>SUM(N18:N24)</f>
        <v>293213.5155</v>
      </c>
      <c r="O25" s="27">
        <f>SUM(O18:O24)</f>
        <v>641717.0961</v>
      </c>
      <c r="P25" s="26">
        <f>SUM(P18:P24)</f>
        <v>411880.84</v>
      </c>
      <c r="Q25" s="26">
        <f>SUM(Q18:Q24)</f>
        <v>500143.96</v>
      </c>
      <c r="R25" s="26">
        <f>SUM(R18:R24)</f>
        <v>471861.08</v>
      </c>
      <c r="S25" s="26">
        <f>SUM(S18:S24)</f>
        <v>475124.2</v>
      </c>
      <c r="T25" s="26">
        <f>SUM(T18:T24)</f>
        <v>455955.32</v>
      </c>
      <c r="U25" s="26">
        <f>SUM(U18:U24)</f>
        <v>553799.56</v>
      </c>
      <c r="V25" s="26">
        <f>SUM(V18:V24)</f>
        <v>490636.68</v>
      </c>
      <c r="W25" s="26">
        <f>SUM(W18:W24)</f>
        <v>478568.68</v>
      </c>
      <c r="X25" s="26">
        <f>SUM(X18:X24)</f>
        <v>494279.8</v>
      </c>
      <c r="Y25" s="26">
        <f>SUM(Y18:Y24)</f>
        <v>588121.8</v>
      </c>
      <c r="Z25" s="26">
        <f>SUM(Z18:Z24)</f>
        <v>541938.92</v>
      </c>
      <c r="AA25" s="26">
        <f>SUM(AA18:AA24)</f>
        <v>566587.49</v>
      </c>
      <c r="AB25" s="27">
        <f>SUM(AB18:AB24)</f>
        <v>6028898.33</v>
      </c>
      <c r="AC25" s="28">
        <f>SUM(AC18:AC24)</f>
        <v>19921631.7418</v>
      </c>
      <c r="AD25" s="28">
        <f>SUM(AD18:AD24)</f>
        <v>42066953.35736</v>
      </c>
      <c r="AE25" s="28">
        <f>SUM(AE18:AE24)</f>
        <v>92247564.5708596</v>
      </c>
      <c r="AF25" s="26">
        <f>SUM(AF18:AF24)</f>
        <v>160906765.09612</v>
      </c>
    </row>
    <row r="26">
      <c r="A26" s="32" t="inlineStr">
        <is>
          <t>매출총이익</t>
        </is>
      </c>
      <c r="C26" s="33">
        <f>C14-C25</f>
        <v>27135.2674</v>
      </c>
      <c r="D26" s="33">
        <f>D14-D25</f>
        <v>20764.6254</v>
      </c>
      <c r="E26" s="33">
        <f>E14-E25</f>
        <v>32626.8372</v>
      </c>
      <c r="F26" s="33">
        <f>F14-F25</f>
        <v>10132.489</v>
      </c>
      <c r="G26" s="33">
        <f>G14-G25</f>
        <v>13845.2088</v>
      </c>
      <c r="H26" s="33">
        <f>H14-H25</f>
        <v>29172.6204</v>
      </c>
      <c r="I26" s="33">
        <f>I14-I25</f>
        <v>11802.3534</v>
      </c>
      <c r="J26" s="33">
        <f>J14-J25</f>
        <v>7776.3414</v>
      </c>
      <c r="K26" s="33">
        <f>K14-K25</f>
        <v>22932.1224</v>
      </c>
      <c r="L26" s="33">
        <f>L14-L25</f>
        <v>32399.325</v>
      </c>
      <c r="M26" s="33">
        <f>M14-M25</f>
        <v>123117.229</v>
      </c>
      <c r="N26" s="33">
        <f>N14-N25</f>
        <v>301223.4845</v>
      </c>
      <c r="O26" s="23">
        <f>O14-O25</f>
        <v>632927.9039</v>
      </c>
      <c r="P26" s="33">
        <f>P14-P25</f>
        <v>271094.16</v>
      </c>
      <c r="Q26" s="33">
        <f>Q14-Q25</f>
        <v>328631.04</v>
      </c>
      <c r="R26" s="33">
        <f>R14-R25</f>
        <v>312713.92</v>
      </c>
      <c r="S26" s="33">
        <f>S14-S25</f>
        <v>315250.8</v>
      </c>
      <c r="T26" s="33">
        <f>T14-T25</f>
        <v>300219.68</v>
      </c>
      <c r="U26" s="33">
        <f>U14-U25</f>
        <v>363975.44</v>
      </c>
      <c r="V26" s="33">
        <f>V14-V25</f>
        <v>322938.32</v>
      </c>
      <c r="W26" s="33">
        <f>W14-W25</f>
        <v>315006.32</v>
      </c>
      <c r="X26" s="33">
        <f>X14-X25</f>
        <v>325095.2</v>
      </c>
      <c r="Y26" s="33">
        <f>Y14-Y25</f>
        <v>386253.2</v>
      </c>
      <c r="Z26" s="33">
        <f>Z14-Z25</f>
        <v>358236.08</v>
      </c>
      <c r="AA26" s="33">
        <f>AA14-AA25</f>
        <v>376687.51</v>
      </c>
      <c r="AB26" s="23">
        <f>AB14-AB25</f>
        <v>3976101.67</v>
      </c>
      <c r="AC26" s="34">
        <f>AC14-AC25</f>
        <v>13078368.2582</v>
      </c>
      <c r="AD26" s="34">
        <f>AD14-AD25</f>
        <v>27933046.64264</v>
      </c>
      <c r="AE26" s="34">
        <f>AE14-AE25</f>
        <v>63752435.4291404</v>
      </c>
      <c r="AF26" s="33">
        <f>AF14-AF25</f>
        <v>109372879.90388</v>
      </c>
    </row>
    <row r="27">
      <c r="A27" s="15" t="inlineStr">
        <is>
          <t xml:space="preserve">  매출총이익률</t>
        </is>
      </c>
      <c r="C27" s="14">
        <f>IFERROR(C26/C14,0)</f>
        <v>0.499756292244507</v>
      </c>
      <c r="D27" s="14">
        <f>IFERROR(D26/D14,0)</f>
        <v>0.492940494729845</v>
      </c>
      <c r="E27" s="14">
        <f>IFERROR(E26/E14,0)</f>
        <v>0.490245780742878</v>
      </c>
      <c r="F27" s="14">
        <f>IFERROR(F26/F14,0)</f>
        <v>0.483212790309505</v>
      </c>
      <c r="G27" s="14">
        <f>IFERROR(G26/G14,0)</f>
        <v>0.483320840606018</v>
      </c>
      <c r="H27" s="14">
        <f>IFERROR(H26/H14,0)</f>
        <v>0.483166391732088</v>
      </c>
      <c r="I27" s="14">
        <f>IFERROR(I26/I14,0)</f>
        <v>0.48411966856721</v>
      </c>
      <c r="J27" s="14">
        <f>IFERROR(J26/J14,0)</f>
        <v>0.483392888667868</v>
      </c>
      <c r="K27" s="14">
        <f>IFERROR(K26/K14,0)</f>
        <v>0.496301830931048</v>
      </c>
      <c r="L27" s="14">
        <f>IFERROR(L26/L14,0)</f>
        <v>0.457133333333333</v>
      </c>
      <c r="M27" s="14">
        <f>IFERROR(M26/M14,0)</f>
        <v>0.493070461963596</v>
      </c>
      <c r="N27" s="14">
        <f>IFERROR(N26/N14,0)</f>
        <v>0.506737441478239</v>
      </c>
      <c r="O27" s="30">
        <f>IFERROR(O26/O14,0)</f>
        <v>0.496552298012388</v>
      </c>
      <c r="P27" s="14">
        <f>IFERROR(P26/P14,0)</f>
        <v>0.396931307880962</v>
      </c>
      <c r="Q27" s="14">
        <f>IFERROR(Q26/Q14,0)</f>
        <v>0.396526246568731</v>
      </c>
      <c r="R27" s="14">
        <f>IFERROR(R26/R14,0)</f>
        <v>0.39857747187968</v>
      </c>
      <c r="S27" s="14">
        <f>IFERROR(S26/S14,0)</f>
        <v>0.398862312193579</v>
      </c>
      <c r="T27" s="14">
        <f>IFERROR(T26/T14,0)</f>
        <v>0.397024075114887</v>
      </c>
      <c r="U27" s="14">
        <f>IFERROR(U26/U14,0)</f>
        <v>0.396584609517583</v>
      </c>
      <c r="V27" s="14">
        <f>IFERROR(V26/V14,0)</f>
        <v>0.396937369019451</v>
      </c>
      <c r="W27" s="14">
        <f>IFERROR(W26/W14,0)</f>
        <v>0.396945871530731</v>
      </c>
      <c r="X27" s="14">
        <f>IFERROR(X26/X14,0)</f>
        <v>0.39675996948894</v>
      </c>
      <c r="Y27" s="14">
        <f>IFERROR(Y26/Y14,0)</f>
        <v>0.39641123797306</v>
      </c>
      <c r="Z27" s="14">
        <f>IFERROR(Z26/Z14,0)</f>
        <v>0.397962707251368</v>
      </c>
      <c r="AA27" s="14">
        <f>IFERROR(AA26/AA14,0)</f>
        <v>0.39934007579974</v>
      </c>
      <c r="AB27" s="30">
        <f>IFERROR(AB26/AB14,0)</f>
        <v>0.397411461269365</v>
      </c>
      <c r="AC27" s="31">
        <f>IFERROR(AC26/AC14,0)</f>
        <v>0.396314189642424</v>
      </c>
      <c r="AD27" s="31">
        <f>IFERROR(AD26/AD14,0)</f>
        <v>0.399043523466286</v>
      </c>
      <c r="AE27" s="31">
        <f>IFERROR(AE26/AE14,0)</f>
        <v>0.408669457879105</v>
      </c>
      <c r="AF27" s="14">
        <f>IFERROR(AF26/AF14,0)</f>
        <v>0.404665619210357</v>
      </c>
    </row>
    <row r="28"/>
    <row r="29">
      <c r="A29" s="3" t="inlineStr">
        <is>
          <t>Ⅲ. 판매비와관리비</t>
        </is>
      </c>
    </row>
    <row r="30">
      <c r="A30" s="15" t="inlineStr">
        <is>
          <t xml:space="preserve">  급여</t>
        </is>
      </c>
      <c r="C30" s="18">
        <f>'7_비용인력'!C19</f>
        <v>23833.8</v>
      </c>
      <c r="D30" s="18">
        <f>'7_비용인력'!D19</f>
        <v>23833.8</v>
      </c>
      <c r="E30" s="18">
        <f>'7_비용인력'!E19</f>
        <v>23833.8</v>
      </c>
      <c r="F30" s="18">
        <f>'7_비용인력'!F19</f>
        <v>23833.8</v>
      </c>
      <c r="G30" s="18">
        <f>'7_비용인력'!G19</f>
        <v>23833.8</v>
      </c>
      <c r="H30" s="18">
        <f>'7_비용인력'!H19</f>
        <v>23833.8</v>
      </c>
      <c r="I30" s="18">
        <f>'7_비용인력'!I19</f>
        <v>23833.8</v>
      </c>
      <c r="J30" s="18">
        <f>'7_비용인력'!J19</f>
        <v>23833.8</v>
      </c>
      <c r="K30" s="18">
        <f>'7_비용인력'!K19</f>
        <v>23833.8</v>
      </c>
      <c r="L30" s="18">
        <f>'7_비용인력'!L19</f>
        <v>23833.8</v>
      </c>
      <c r="M30" s="18">
        <f>'7_비용인력'!M19</f>
        <v>23833.8</v>
      </c>
      <c r="N30" s="18">
        <f>'7_비용인력'!N19</f>
        <v>23833.8</v>
      </c>
      <c r="O30" s="35">
        <f>'7_비용인력'!O19</f>
        <v>286005.6</v>
      </c>
      <c r="P30" s="18">
        <f>'7_비용인력'!P19</f>
        <v>36707.504</v>
      </c>
      <c r="Q30" s="18">
        <f>'7_비용인력'!Q19</f>
        <v>40178.704</v>
      </c>
      <c r="R30" s="18">
        <f>'7_비용인력'!R19</f>
        <v>43649.904</v>
      </c>
      <c r="S30" s="18">
        <f>'7_비용인력'!S19</f>
        <v>47121.104</v>
      </c>
      <c r="T30" s="18">
        <f>'7_비용인력'!T19</f>
        <v>50592.304</v>
      </c>
      <c r="U30" s="18">
        <f>'7_비용인력'!U19</f>
        <v>54063.504</v>
      </c>
      <c r="V30" s="18">
        <f>'7_비용인력'!V19</f>
        <v>57534.704</v>
      </c>
      <c r="W30" s="18">
        <f>'7_비용인력'!W19</f>
        <v>61005.904</v>
      </c>
      <c r="X30" s="18">
        <f>'7_비용인력'!X19</f>
        <v>64477.104</v>
      </c>
      <c r="Y30" s="18">
        <f>'7_비용인력'!Y19</f>
        <v>71419.504</v>
      </c>
      <c r="Z30" s="18">
        <f>'7_비용인력'!Z19</f>
        <v>78361.904</v>
      </c>
      <c r="AA30" s="18">
        <f>'7_비용인력'!AA19</f>
        <v>85304.304</v>
      </c>
      <c r="AB30" s="35">
        <f>'7_비용인력'!AB19</f>
        <v>690416.448</v>
      </c>
      <c r="AC30" s="24">
        <f>'7_비용인력'!AC19</f>
        <v>2648795.32728</v>
      </c>
      <c r="AD30" s="24">
        <f>'7_비용인력'!AD19</f>
        <v>5490824.4718668</v>
      </c>
      <c r="AE30" s="24">
        <f>'7_비용인력'!AE19</f>
        <v>9844427.40189748</v>
      </c>
      <c r="AF30" s="36">
        <f>'7_비용인력'!AF19</f>
        <v>18960469.2490443</v>
      </c>
    </row>
    <row r="31">
      <c r="A31" s="15" t="inlineStr">
        <is>
          <t xml:space="preserve">  퇴직급여·4대보험·복리후생</t>
        </is>
      </c>
      <c r="C31" s="18">
        <f>'7_비용인력'!C20</f>
        <v>5243.436</v>
      </c>
      <c r="D31" s="18">
        <f>'7_비용인력'!D20</f>
        <v>5243.436</v>
      </c>
      <c r="E31" s="18">
        <f>'7_비용인력'!E20</f>
        <v>5243.436</v>
      </c>
      <c r="F31" s="18">
        <f>'7_비용인력'!F20</f>
        <v>5243.436</v>
      </c>
      <c r="G31" s="18">
        <f>'7_비용인력'!G20</f>
        <v>5243.436</v>
      </c>
      <c r="H31" s="18">
        <f>'7_비용인력'!H20</f>
        <v>5243.436</v>
      </c>
      <c r="I31" s="18">
        <f>'7_비용인력'!I20</f>
        <v>5243.436</v>
      </c>
      <c r="J31" s="18">
        <f>'7_비용인력'!J20</f>
        <v>5243.436</v>
      </c>
      <c r="K31" s="18">
        <f>'7_비용인력'!K20</f>
        <v>5243.436</v>
      </c>
      <c r="L31" s="18">
        <f>'7_비용인력'!L20</f>
        <v>5243.436</v>
      </c>
      <c r="M31" s="18">
        <f>'7_비용인력'!M20</f>
        <v>5243.436</v>
      </c>
      <c r="N31" s="18">
        <f>'7_비용인력'!N20</f>
        <v>5243.436</v>
      </c>
      <c r="O31" s="35">
        <f>'7_비용인력'!O20</f>
        <v>62921.232</v>
      </c>
      <c r="P31" s="18">
        <f>'7_비용인력'!P20</f>
        <v>8075.65088</v>
      </c>
      <c r="Q31" s="18">
        <f>'7_비용인력'!Q20</f>
        <v>8839.31488</v>
      </c>
      <c r="R31" s="18">
        <f>'7_비용인력'!R20</f>
        <v>9602.97888</v>
      </c>
      <c r="S31" s="18">
        <f>'7_비용인력'!S20</f>
        <v>10366.64288</v>
      </c>
      <c r="T31" s="18">
        <f>'7_비용인력'!T20</f>
        <v>11130.30688</v>
      </c>
      <c r="U31" s="18">
        <f>'7_비용인력'!U20</f>
        <v>11893.97088</v>
      </c>
      <c r="V31" s="18">
        <f>'7_비용인력'!V20</f>
        <v>12657.63488</v>
      </c>
      <c r="W31" s="18">
        <f>'7_비용인력'!W20</f>
        <v>13421.29888</v>
      </c>
      <c r="X31" s="18">
        <f>'7_비용인력'!X20</f>
        <v>14184.96288</v>
      </c>
      <c r="Y31" s="18">
        <f>'7_비용인력'!Y20</f>
        <v>15712.29088</v>
      </c>
      <c r="Z31" s="18">
        <f>'7_비용인력'!Z20</f>
        <v>17239.61888</v>
      </c>
      <c r="AA31" s="18">
        <f>'7_비용인력'!AA20</f>
        <v>18766.94688</v>
      </c>
      <c r="AB31" s="35">
        <f>'7_비용인력'!AB20</f>
        <v>151891.61856</v>
      </c>
      <c r="AC31" s="24">
        <f>'7_비용인력'!AC20</f>
        <v>582734.9720016</v>
      </c>
      <c r="AD31" s="24">
        <f>'7_비용인력'!AD20</f>
        <v>1207981.3838107</v>
      </c>
      <c r="AE31" s="24">
        <f>'7_비용인력'!AE20</f>
        <v>2165774.02841745</v>
      </c>
      <c r="AF31" s="36">
        <f>'7_비용인력'!AF20</f>
        <v>4171303.23478974</v>
      </c>
    </row>
    <row r="32">
      <c r="A32" s="15" t="inlineStr">
        <is>
          <t xml:space="preserve">  광고선전·마케팅비</t>
        </is>
      </c>
      <c r="C32" s="18">
        <f>'7_비용인력'!C21</f>
        <v>814.455</v>
      </c>
      <c r="D32" s="18">
        <f>'7_비용인력'!D21</f>
        <v>631.86</v>
      </c>
      <c r="E32" s="18">
        <f>'7_비용인력'!E21</f>
        <v>998.28</v>
      </c>
      <c r="F32" s="18">
        <f>'7_비용인력'!F21</f>
        <v>314.535</v>
      </c>
      <c r="G32" s="18">
        <f>'7_비용인력'!G21</f>
        <v>429.69</v>
      </c>
      <c r="H32" s="18">
        <f>'7_비용인력'!H21</f>
        <v>905.67</v>
      </c>
      <c r="I32" s="18">
        <f>'7_비용인력'!I21</f>
        <v>365.685</v>
      </c>
      <c r="J32" s="18">
        <f>'7_비용인력'!J21</f>
        <v>241.305</v>
      </c>
      <c r="K32" s="18">
        <f>'7_비용인력'!K21</f>
        <v>693.09</v>
      </c>
      <c r="L32" s="18">
        <f>'7_비용인력'!L21</f>
        <v>1063.125</v>
      </c>
      <c r="M32" s="18">
        <f>'7_비용인력'!M21</f>
        <v>3745.425</v>
      </c>
      <c r="N32" s="18">
        <f>'7_비용인력'!N21</f>
        <v>8916.555</v>
      </c>
      <c r="O32" s="35">
        <f>'7_비용인력'!O21</f>
        <v>19119.675</v>
      </c>
      <c r="P32" s="18">
        <f>'7_비용인력'!P21</f>
        <v>17074.375</v>
      </c>
      <c r="Q32" s="18">
        <f>'7_비용인력'!Q21</f>
        <v>20719.375</v>
      </c>
      <c r="R32" s="18">
        <f>'7_비용인력'!R21</f>
        <v>19614.375</v>
      </c>
      <c r="S32" s="18">
        <f>'7_비용인력'!S21</f>
        <v>19759.375</v>
      </c>
      <c r="T32" s="18">
        <f>'7_비용인력'!T21</f>
        <v>18904.375</v>
      </c>
      <c r="U32" s="18">
        <f>'7_비용인력'!U21</f>
        <v>22944.375</v>
      </c>
      <c r="V32" s="18">
        <f>'7_비용인력'!V21</f>
        <v>20339.375</v>
      </c>
      <c r="W32" s="18">
        <f>'7_비용인력'!W21</f>
        <v>19839.375</v>
      </c>
      <c r="X32" s="18">
        <f>'7_비용인력'!X21</f>
        <v>20484.375</v>
      </c>
      <c r="Y32" s="18">
        <f>'7_비용인력'!Y21</f>
        <v>24359.375</v>
      </c>
      <c r="Z32" s="18">
        <f>'7_비용인력'!Z21</f>
        <v>22504.375</v>
      </c>
      <c r="AA32" s="18">
        <f>'7_비용인력'!AA21</f>
        <v>23581.875</v>
      </c>
      <c r="AB32" s="35">
        <f>'7_비용인력'!AB21</f>
        <v>250125</v>
      </c>
      <c r="AC32" s="24">
        <f>'7_비용인력'!AC21</f>
        <v>924000</v>
      </c>
      <c r="AD32" s="24">
        <f>'7_비용인력'!AD21</f>
        <v>1820000</v>
      </c>
      <c r="AE32" s="24">
        <f>'7_비용인력'!AE21</f>
        <v>4680000</v>
      </c>
      <c r="AF32" s="36">
        <f>'7_비용인력'!AF21</f>
        <v>7693244.675</v>
      </c>
    </row>
    <row r="33">
      <c r="A33" s="15" t="inlineStr">
        <is>
          <t xml:space="preserve">  지급수수료</t>
        </is>
      </c>
      <c r="C33" s="18">
        <f>'7_비용인력'!C22</f>
        <v>651.564</v>
      </c>
      <c r="D33" s="18">
        <f>'7_비용인력'!D22</f>
        <v>505.488</v>
      </c>
      <c r="E33" s="18">
        <f>'7_비용인력'!E22</f>
        <v>798.624</v>
      </c>
      <c r="F33" s="18">
        <f>'7_비용인력'!F22</f>
        <v>251.628</v>
      </c>
      <c r="G33" s="18">
        <f>'7_비용인력'!G22</f>
        <v>343.752</v>
      </c>
      <c r="H33" s="18">
        <f>'7_비용인력'!H22</f>
        <v>724.536</v>
      </c>
      <c r="I33" s="18">
        <f>'7_비용인력'!I22</f>
        <v>292.548</v>
      </c>
      <c r="J33" s="18">
        <f>'7_비용인력'!J22</f>
        <v>193.044</v>
      </c>
      <c r="K33" s="18">
        <f>'7_비용인력'!K22</f>
        <v>554.472</v>
      </c>
      <c r="L33" s="18">
        <f>'7_비용인력'!L22</f>
        <v>850.5</v>
      </c>
      <c r="M33" s="18">
        <f>'7_비용인력'!M22</f>
        <v>2996.34</v>
      </c>
      <c r="N33" s="18">
        <f>'7_비용인력'!N22</f>
        <v>7133.244</v>
      </c>
      <c r="O33" s="35">
        <f>'7_비용인력'!O22</f>
        <v>15295.74</v>
      </c>
      <c r="P33" s="18">
        <f>'7_비용인력'!P22</f>
        <v>13659.5</v>
      </c>
      <c r="Q33" s="18">
        <f>'7_비용인력'!Q22</f>
        <v>16575.5</v>
      </c>
      <c r="R33" s="18">
        <f>'7_비용인력'!R22</f>
        <v>15691.5</v>
      </c>
      <c r="S33" s="18">
        <f>'7_비용인력'!S22</f>
        <v>15807.5</v>
      </c>
      <c r="T33" s="18">
        <f>'7_비용인력'!T22</f>
        <v>15123.5</v>
      </c>
      <c r="U33" s="18">
        <f>'7_비용인력'!U22</f>
        <v>18355.5</v>
      </c>
      <c r="V33" s="18">
        <f>'7_비용인력'!V22</f>
        <v>16271.5</v>
      </c>
      <c r="W33" s="18">
        <f>'7_비용인력'!W22</f>
        <v>15871.5</v>
      </c>
      <c r="X33" s="18">
        <f>'7_비용인력'!X22</f>
        <v>16387.5</v>
      </c>
      <c r="Y33" s="18">
        <f>'7_비용인력'!Y22</f>
        <v>19487.5</v>
      </c>
      <c r="Z33" s="18">
        <f>'7_비용인력'!Z22</f>
        <v>18003.5</v>
      </c>
      <c r="AA33" s="18">
        <f>'7_비용인력'!AA22</f>
        <v>18865.5</v>
      </c>
      <c r="AB33" s="35">
        <f>'7_비용인력'!AB22</f>
        <v>200100</v>
      </c>
      <c r="AC33" s="24">
        <f>'7_비용인력'!AC22</f>
        <v>726000</v>
      </c>
      <c r="AD33" s="24">
        <f>'7_비용인력'!AD22</f>
        <v>1540000</v>
      </c>
      <c r="AE33" s="24">
        <f>'7_비용인력'!AE22</f>
        <v>3432000</v>
      </c>
      <c r="AF33" s="36">
        <f>'7_비용인력'!AF22</f>
        <v>5913395.74</v>
      </c>
    </row>
    <row r="34">
      <c r="A34" s="15" t="inlineStr">
        <is>
          <t xml:space="preserve">  판매물류·CS비</t>
        </is>
      </c>
      <c r="C34" s="18">
        <f>'7_비용인력'!C23</f>
        <v>1357.425</v>
      </c>
      <c r="D34" s="18">
        <f>'7_비용인력'!D23</f>
        <v>1053.1</v>
      </c>
      <c r="E34" s="18">
        <f>'7_비용인력'!E23</f>
        <v>1663.8</v>
      </c>
      <c r="F34" s="18">
        <f>'7_비용인력'!F23</f>
        <v>524.225</v>
      </c>
      <c r="G34" s="18">
        <f>'7_비용인력'!G23</f>
        <v>716.15</v>
      </c>
      <c r="H34" s="18">
        <f>'7_비용인력'!H23</f>
        <v>1509.45</v>
      </c>
      <c r="I34" s="18">
        <f>'7_비용인력'!I23</f>
        <v>609.475</v>
      </c>
      <c r="J34" s="18">
        <f>'7_비용인력'!J23</f>
        <v>402.175</v>
      </c>
      <c r="K34" s="18">
        <f>'7_비용인력'!K23</f>
        <v>1155.15</v>
      </c>
      <c r="L34" s="18">
        <f>'7_비용인력'!L23</f>
        <v>1771.875</v>
      </c>
      <c r="M34" s="18">
        <f>'7_비용인력'!M23</f>
        <v>6242.375</v>
      </c>
      <c r="N34" s="18">
        <f>'7_비용인력'!N23</f>
        <v>14860.925</v>
      </c>
      <c r="O34" s="35">
        <f>'7_비용인력'!O23</f>
        <v>31866.125</v>
      </c>
      <c r="P34" s="18">
        <f>'7_비용인력'!P23</f>
        <v>23904.125</v>
      </c>
      <c r="Q34" s="18">
        <f>'7_비용인력'!Q23</f>
        <v>29007.125</v>
      </c>
      <c r="R34" s="18">
        <f>'7_비용인력'!R23</f>
        <v>27460.125</v>
      </c>
      <c r="S34" s="18">
        <f>'7_비용인력'!S23</f>
        <v>27663.125</v>
      </c>
      <c r="T34" s="18">
        <f>'7_비용인력'!T23</f>
        <v>26466.125</v>
      </c>
      <c r="U34" s="18">
        <f>'7_비용인력'!U23</f>
        <v>32122.125</v>
      </c>
      <c r="V34" s="18">
        <f>'7_비용인력'!V23</f>
        <v>28475.125</v>
      </c>
      <c r="W34" s="18">
        <f>'7_비용인력'!W23</f>
        <v>27775.125</v>
      </c>
      <c r="X34" s="18">
        <f>'7_비용인력'!X23</f>
        <v>28678.125</v>
      </c>
      <c r="Y34" s="18">
        <f>'7_비용인력'!Y23</f>
        <v>34103.125</v>
      </c>
      <c r="Z34" s="18">
        <f>'7_비용인력'!Z23</f>
        <v>31506.125</v>
      </c>
      <c r="AA34" s="18">
        <f>'7_비용인력'!AA23</f>
        <v>33014.625</v>
      </c>
      <c r="AB34" s="35">
        <f>'7_비용인력'!AB23</f>
        <v>350175</v>
      </c>
      <c r="AC34" s="24">
        <f>'7_비용인력'!AC23</f>
        <v>1155000</v>
      </c>
      <c r="AD34" s="24">
        <f>'7_비용인력'!AD23</f>
        <v>2240000</v>
      </c>
      <c r="AE34" s="24">
        <f>'7_비용인력'!AE23</f>
        <v>5460000</v>
      </c>
      <c r="AF34" s="36">
        <f>'7_비용인력'!AF23</f>
        <v>9237041.125</v>
      </c>
    </row>
    <row r="35">
      <c r="A35" s="15" t="inlineStr">
        <is>
          <t xml:space="preserve">  연구개발비(경상)</t>
        </is>
      </c>
      <c r="C35" s="18">
        <f>'7_비용인력'!C24</f>
        <v>1900.395</v>
      </c>
      <c r="D35" s="18">
        <f>'7_비용인력'!D24</f>
        <v>1474.34</v>
      </c>
      <c r="E35" s="18">
        <f>'7_비용인력'!E24</f>
        <v>2329.32</v>
      </c>
      <c r="F35" s="18">
        <f>'7_비용인력'!F24</f>
        <v>733.915</v>
      </c>
      <c r="G35" s="18">
        <f>'7_비용인력'!G24</f>
        <v>1002.61</v>
      </c>
      <c r="H35" s="18">
        <f>'7_비용인력'!H24</f>
        <v>2113.23</v>
      </c>
      <c r="I35" s="18">
        <f>'7_비용인력'!I24</f>
        <v>853.265</v>
      </c>
      <c r="J35" s="18">
        <f>'7_비용인력'!J24</f>
        <v>563.045</v>
      </c>
      <c r="K35" s="18">
        <f>'7_비용인력'!K24</f>
        <v>1617.21</v>
      </c>
      <c r="L35" s="18">
        <f>'7_비용인력'!L24</f>
        <v>2480.625</v>
      </c>
      <c r="M35" s="18">
        <f>'7_비용인력'!M24</f>
        <v>8739.325</v>
      </c>
      <c r="N35" s="18">
        <f>'7_비용인력'!N24</f>
        <v>20805.295</v>
      </c>
      <c r="O35" s="35">
        <f>'7_비용인력'!O24</f>
        <v>44612.575</v>
      </c>
      <c r="P35" s="18">
        <f>'7_비용인력'!P24</f>
        <v>23904.125</v>
      </c>
      <c r="Q35" s="18">
        <f>'7_비용인력'!Q24</f>
        <v>29007.125</v>
      </c>
      <c r="R35" s="18">
        <f>'7_비용인력'!R24</f>
        <v>27460.125</v>
      </c>
      <c r="S35" s="18">
        <f>'7_비용인력'!S24</f>
        <v>27663.125</v>
      </c>
      <c r="T35" s="18">
        <f>'7_비용인력'!T24</f>
        <v>26466.125</v>
      </c>
      <c r="U35" s="18">
        <f>'7_비용인력'!U24</f>
        <v>32122.125</v>
      </c>
      <c r="V35" s="18">
        <f>'7_비용인력'!V24</f>
        <v>28475.125</v>
      </c>
      <c r="W35" s="18">
        <f>'7_비용인력'!W24</f>
        <v>27775.125</v>
      </c>
      <c r="X35" s="18">
        <f>'7_비용인력'!X24</f>
        <v>28678.125</v>
      </c>
      <c r="Y35" s="18">
        <f>'7_비용인력'!Y24</f>
        <v>34103.125</v>
      </c>
      <c r="Z35" s="18">
        <f>'7_비용인력'!Z24</f>
        <v>31506.125</v>
      </c>
      <c r="AA35" s="18">
        <f>'7_비용인력'!AA24</f>
        <v>33014.625</v>
      </c>
      <c r="AB35" s="35">
        <f>'7_비용인력'!AB24</f>
        <v>350175</v>
      </c>
      <c r="AC35" s="24">
        <f>'7_비용인력'!AC24</f>
        <v>1056000</v>
      </c>
      <c r="AD35" s="24">
        <f>'7_비용인력'!AD24</f>
        <v>2030000</v>
      </c>
      <c r="AE35" s="24">
        <f>'7_비용인력'!AE24</f>
        <v>4836000</v>
      </c>
      <c r="AF35" s="36">
        <f>'7_비용인력'!AF24</f>
        <v>8316787.575</v>
      </c>
    </row>
    <row r="36">
      <c r="A36" s="15" t="inlineStr">
        <is>
          <t xml:space="preserve">  임차·운영비</t>
        </is>
      </c>
      <c r="C36" s="18">
        <f>'7_비용인력'!C25</f>
        <v>3000</v>
      </c>
      <c r="D36" s="18">
        <f>'7_비용인력'!D25</f>
        <v>3000</v>
      </c>
      <c r="E36" s="18">
        <f>'7_비용인력'!E25</f>
        <v>3000</v>
      </c>
      <c r="F36" s="18">
        <f>'7_비용인력'!F25</f>
        <v>3000</v>
      </c>
      <c r="G36" s="18">
        <f>'7_비용인력'!G25</f>
        <v>3000</v>
      </c>
      <c r="H36" s="18">
        <f>'7_비용인력'!H25</f>
        <v>3000</v>
      </c>
      <c r="I36" s="18">
        <f>'7_비용인력'!I25</f>
        <v>3000</v>
      </c>
      <c r="J36" s="18">
        <f>'7_비용인력'!J25</f>
        <v>3000</v>
      </c>
      <c r="K36" s="18">
        <f>'7_비용인력'!K25</f>
        <v>3000</v>
      </c>
      <c r="L36" s="18">
        <f>'7_비용인력'!L25</f>
        <v>3000</v>
      </c>
      <c r="M36" s="18">
        <f>'7_비용인력'!M25</f>
        <v>3000</v>
      </c>
      <c r="N36" s="18">
        <f>'7_비용인력'!N25</f>
        <v>3000</v>
      </c>
      <c r="O36" s="35">
        <f>'7_비용인력'!O25</f>
        <v>36000</v>
      </c>
      <c r="P36" s="18">
        <f>'7_비용인력'!P25</f>
        <v>12000</v>
      </c>
      <c r="Q36" s="18">
        <f>'7_비용인력'!Q25</f>
        <v>12000</v>
      </c>
      <c r="R36" s="18">
        <f>'7_비용인력'!R25</f>
        <v>12000</v>
      </c>
      <c r="S36" s="18">
        <f>'7_비용인력'!S25</f>
        <v>12000</v>
      </c>
      <c r="T36" s="18">
        <f>'7_비용인력'!T25</f>
        <v>12000</v>
      </c>
      <c r="U36" s="18">
        <f>'7_비용인력'!U25</f>
        <v>12000</v>
      </c>
      <c r="V36" s="18">
        <f>'7_비용인력'!V25</f>
        <v>12000</v>
      </c>
      <c r="W36" s="18">
        <f>'7_비용인력'!W25</f>
        <v>12000</v>
      </c>
      <c r="X36" s="18">
        <f>'7_비용인력'!X25</f>
        <v>12000</v>
      </c>
      <c r="Y36" s="18">
        <f>'7_비용인력'!Y25</f>
        <v>12000</v>
      </c>
      <c r="Z36" s="18">
        <f>'7_비용인력'!Z25</f>
        <v>12000</v>
      </c>
      <c r="AA36" s="18">
        <f>'7_비용인력'!AA25</f>
        <v>12000</v>
      </c>
      <c r="AB36" s="35">
        <f>'7_비용인력'!AB25</f>
        <v>144000</v>
      </c>
      <c r="AC36" s="24">
        <f>'7_비용인력'!AC25</f>
        <v>300000</v>
      </c>
      <c r="AD36" s="24">
        <f>'7_비용인력'!AD25</f>
        <v>600000</v>
      </c>
      <c r="AE36" s="24">
        <f>'7_비용인력'!AE25</f>
        <v>1000000</v>
      </c>
      <c r="AF36" s="36">
        <f>'7_비용인력'!AF25</f>
        <v>2080000</v>
      </c>
    </row>
    <row r="37">
      <c r="A37" s="15" t="inlineStr">
        <is>
          <t xml:space="preserve">  해외영업·출장비</t>
        </is>
      </c>
      <c r="C37" s="18">
        <f>'7_비용인력'!C26</f>
        <v>5000</v>
      </c>
      <c r="D37" s="18">
        <f>'7_비용인력'!D26</f>
        <v>5000</v>
      </c>
      <c r="E37" s="18">
        <f>'7_비용인력'!E26</f>
        <v>5000</v>
      </c>
      <c r="F37" s="18">
        <f>'7_비용인력'!F26</f>
        <v>5000</v>
      </c>
      <c r="G37" s="18">
        <f>'7_비용인력'!G26</f>
        <v>5000</v>
      </c>
      <c r="H37" s="18">
        <f>'7_비용인력'!H26</f>
        <v>5000</v>
      </c>
      <c r="I37" s="18">
        <f>'7_비용인력'!I26</f>
        <v>5000</v>
      </c>
      <c r="J37" s="18">
        <f>'7_비용인력'!J26</f>
        <v>5000</v>
      </c>
      <c r="K37" s="18">
        <f>'7_비용인력'!K26</f>
        <v>5000</v>
      </c>
      <c r="L37" s="18">
        <f>'7_비용인력'!L26</f>
        <v>5000</v>
      </c>
      <c r="M37" s="18">
        <f>'7_비용인력'!M26</f>
        <v>5000</v>
      </c>
      <c r="N37" s="18">
        <f>'7_비용인력'!N26</f>
        <v>5000</v>
      </c>
      <c r="O37" s="35">
        <f>'7_비용인력'!O26</f>
        <v>60000</v>
      </c>
      <c r="P37" s="18">
        <f>'7_비용인력'!P26</f>
        <v>15000</v>
      </c>
      <c r="Q37" s="18">
        <f>'7_비용인력'!Q26</f>
        <v>15000</v>
      </c>
      <c r="R37" s="18">
        <f>'7_비용인력'!R26</f>
        <v>15000</v>
      </c>
      <c r="S37" s="18">
        <f>'7_비용인력'!S26</f>
        <v>15000</v>
      </c>
      <c r="T37" s="18">
        <f>'7_비용인력'!T26</f>
        <v>15000</v>
      </c>
      <c r="U37" s="18">
        <f>'7_비용인력'!U26</f>
        <v>15000</v>
      </c>
      <c r="V37" s="18">
        <f>'7_비용인력'!V26</f>
        <v>15000</v>
      </c>
      <c r="W37" s="18">
        <f>'7_비용인력'!W26</f>
        <v>15000</v>
      </c>
      <c r="X37" s="18">
        <f>'7_비용인력'!X26</f>
        <v>15000</v>
      </c>
      <c r="Y37" s="18">
        <f>'7_비용인력'!Y26</f>
        <v>15000</v>
      </c>
      <c r="Z37" s="18">
        <f>'7_비용인력'!Z26</f>
        <v>15000</v>
      </c>
      <c r="AA37" s="18">
        <f>'7_비용인력'!AA26</f>
        <v>15000</v>
      </c>
      <c r="AB37" s="35">
        <f>'7_비용인력'!AB26</f>
        <v>180000</v>
      </c>
      <c r="AC37" s="24">
        <f>'7_비용인력'!AC26</f>
        <v>400000</v>
      </c>
      <c r="AD37" s="24">
        <f>'7_비용인력'!AD26</f>
        <v>800000</v>
      </c>
      <c r="AE37" s="24">
        <f>'7_비용인력'!AE26</f>
        <v>1400000</v>
      </c>
      <c r="AF37" s="36">
        <f>'7_비용인력'!AF26</f>
        <v>2840000</v>
      </c>
    </row>
    <row r="38">
      <c r="A38" s="15" t="inlineStr">
        <is>
          <t xml:space="preserve">  감가상각·무형자산상각비</t>
        </is>
      </c>
      <c r="C38" s="18">
        <f>'7_비용인력'!C27</f>
        <v>1500</v>
      </c>
      <c r="D38" s="18">
        <f>'7_비용인력'!D27</f>
        <v>1500</v>
      </c>
      <c r="E38" s="18">
        <f>'7_비용인력'!E27</f>
        <v>1500</v>
      </c>
      <c r="F38" s="18">
        <f>'7_비용인력'!F27</f>
        <v>1500</v>
      </c>
      <c r="G38" s="18">
        <f>'7_비용인력'!G27</f>
        <v>1500</v>
      </c>
      <c r="H38" s="18">
        <f>'7_비용인력'!H27</f>
        <v>1500</v>
      </c>
      <c r="I38" s="18">
        <f>'7_비용인력'!I27</f>
        <v>1500</v>
      </c>
      <c r="J38" s="18">
        <f>'7_비용인력'!J27</f>
        <v>1500</v>
      </c>
      <c r="K38" s="18">
        <f>'7_비용인력'!K27</f>
        <v>1500</v>
      </c>
      <c r="L38" s="18">
        <f>'7_비용인력'!L27</f>
        <v>1500</v>
      </c>
      <c r="M38" s="18">
        <f>'7_비용인력'!M27</f>
        <v>1500</v>
      </c>
      <c r="N38" s="18">
        <f>'7_비용인력'!N27</f>
        <v>1500</v>
      </c>
      <c r="O38" s="35">
        <f>'7_비용인력'!O27</f>
        <v>18000</v>
      </c>
      <c r="P38" s="18">
        <f>'7_비용인력'!P27</f>
        <v>36329.4166666667</v>
      </c>
      <c r="Q38" s="18">
        <f>'7_비용인력'!Q27</f>
        <v>36329.4166666667</v>
      </c>
      <c r="R38" s="18">
        <f>'7_비용인력'!R27</f>
        <v>36329.4166666667</v>
      </c>
      <c r="S38" s="18">
        <f>'7_비용인력'!S27</f>
        <v>36329.4166666667</v>
      </c>
      <c r="T38" s="18">
        <f>'7_비용인력'!T27</f>
        <v>36329.4166666667</v>
      </c>
      <c r="U38" s="18">
        <f>'7_비용인력'!U27</f>
        <v>36329.4166666667</v>
      </c>
      <c r="V38" s="18">
        <f>'7_비용인력'!V27</f>
        <v>36329.4166666667</v>
      </c>
      <c r="W38" s="18">
        <f>'7_비용인력'!W27</f>
        <v>36329.4166666667</v>
      </c>
      <c r="X38" s="18">
        <f>'7_비용인력'!X27</f>
        <v>36329.4166666667</v>
      </c>
      <c r="Y38" s="18">
        <f>'7_비용인력'!Y27</f>
        <v>36329.4166666667</v>
      </c>
      <c r="Z38" s="18">
        <f>'7_비용인력'!Z27</f>
        <v>36329.4166666667</v>
      </c>
      <c r="AA38" s="18">
        <f>'7_비용인력'!AA27</f>
        <v>36329.4166666667</v>
      </c>
      <c r="AB38" s="35">
        <f>'7_비용인력'!AB27</f>
        <v>435953</v>
      </c>
      <c r="AC38" s="24">
        <f>'7_비용인력'!AC27</f>
        <v>528068.403328</v>
      </c>
      <c r="AD38" s="24">
        <f>'7_비용인력'!AD27</f>
        <v>689880.18775648</v>
      </c>
      <c r="AE38" s="24">
        <f>'7_비용인력'!AE27</f>
        <v>880393.933605717</v>
      </c>
      <c r="AF38" s="36">
        <f>'7_비용인력'!AF27</f>
        <v>2552295.5246902</v>
      </c>
    </row>
    <row r="39">
      <c r="A39" s="15" t="inlineStr">
        <is>
          <t xml:space="preserve">  대손상각비</t>
        </is>
      </c>
      <c r="C39" s="18">
        <f>'7_비용인력'!C28</f>
        <v>217.188</v>
      </c>
      <c r="D39" s="18">
        <f>'7_비용인력'!D28</f>
        <v>168.496</v>
      </c>
      <c r="E39" s="18">
        <f>'7_비용인력'!E28</f>
        <v>266.208</v>
      </c>
      <c r="F39" s="18">
        <f>'7_비용인력'!F28</f>
        <v>83.876</v>
      </c>
      <c r="G39" s="18">
        <f>'7_비용인력'!G28</f>
        <v>114.584</v>
      </c>
      <c r="H39" s="18">
        <f>'7_비용인력'!H28</f>
        <v>241.512</v>
      </c>
      <c r="I39" s="18">
        <f>'7_비용인력'!I28</f>
        <v>97.516</v>
      </c>
      <c r="J39" s="18">
        <f>'7_비용인력'!J28</f>
        <v>64.348</v>
      </c>
      <c r="K39" s="18">
        <f>'7_비용인력'!K28</f>
        <v>184.824</v>
      </c>
      <c r="L39" s="18">
        <f>'7_비용인력'!L28</f>
        <v>283.5</v>
      </c>
      <c r="M39" s="18">
        <f>'7_비용인력'!M28</f>
        <v>998.78</v>
      </c>
      <c r="N39" s="18">
        <f>'7_비용인력'!N28</f>
        <v>2377.748</v>
      </c>
      <c r="O39" s="35">
        <f>'7_비용인력'!O28</f>
        <v>5098.58</v>
      </c>
      <c r="P39" s="18">
        <f>'7_비용인력'!P28</f>
        <v>3414.875</v>
      </c>
      <c r="Q39" s="18">
        <f>'7_비용인력'!Q28</f>
        <v>4143.875</v>
      </c>
      <c r="R39" s="18">
        <f>'7_비용인력'!R28</f>
        <v>3922.875</v>
      </c>
      <c r="S39" s="18">
        <f>'7_비용인력'!S28</f>
        <v>3951.875</v>
      </c>
      <c r="T39" s="18">
        <f>'7_비용인력'!T28</f>
        <v>3780.875</v>
      </c>
      <c r="U39" s="18">
        <f>'7_비용인력'!U28</f>
        <v>4588.875</v>
      </c>
      <c r="V39" s="18">
        <f>'7_비용인력'!V28</f>
        <v>4067.875</v>
      </c>
      <c r="W39" s="18">
        <f>'7_비용인력'!W28</f>
        <v>3967.875</v>
      </c>
      <c r="X39" s="18">
        <f>'7_비용인력'!X28</f>
        <v>4096.875</v>
      </c>
      <c r="Y39" s="18">
        <f>'7_비용인력'!Y28</f>
        <v>4871.875</v>
      </c>
      <c r="Z39" s="18">
        <f>'7_비용인력'!Z28</f>
        <v>4500.875</v>
      </c>
      <c r="AA39" s="18">
        <f>'7_비용인력'!AA28</f>
        <v>4716.375</v>
      </c>
      <c r="AB39" s="35">
        <f>'7_비용인력'!AB28</f>
        <v>50025</v>
      </c>
      <c r="AC39" s="24">
        <f>'7_비용인력'!AC28</f>
        <v>165000</v>
      </c>
      <c r="AD39" s="24">
        <f>'7_비용인력'!AD28</f>
        <v>350000</v>
      </c>
      <c r="AE39" s="24">
        <f>'7_비용인력'!AE28</f>
        <v>780000</v>
      </c>
      <c r="AF39" s="36">
        <f>'7_비용인력'!AF28</f>
        <v>1350123.58</v>
      </c>
    </row>
    <row r="40">
      <c r="A40" s="15" t="inlineStr">
        <is>
          <t xml:space="preserve">  기타 판관비</t>
        </is>
      </c>
      <c r="C40" s="18">
        <f>'7_비용인력'!C29</f>
        <v>1357.425</v>
      </c>
      <c r="D40" s="18">
        <f>'7_비용인력'!D29</f>
        <v>1053.1</v>
      </c>
      <c r="E40" s="18">
        <f>'7_비용인력'!E29</f>
        <v>1663.8</v>
      </c>
      <c r="F40" s="18">
        <f>'7_비용인력'!F29</f>
        <v>524.225</v>
      </c>
      <c r="G40" s="18">
        <f>'7_비용인력'!G29</f>
        <v>716.15</v>
      </c>
      <c r="H40" s="18">
        <f>'7_비용인력'!H29</f>
        <v>1509.45</v>
      </c>
      <c r="I40" s="18">
        <f>'7_비용인력'!I29</f>
        <v>609.475</v>
      </c>
      <c r="J40" s="18">
        <f>'7_비용인력'!J29</f>
        <v>402.175</v>
      </c>
      <c r="K40" s="18">
        <f>'7_비용인력'!K29</f>
        <v>1155.15</v>
      </c>
      <c r="L40" s="18">
        <f>'7_비용인력'!L29</f>
        <v>1771.875</v>
      </c>
      <c r="M40" s="18">
        <f>'7_비용인력'!M29</f>
        <v>6242.375</v>
      </c>
      <c r="N40" s="18">
        <f>'7_비용인력'!N29</f>
        <v>14860.925</v>
      </c>
      <c r="O40" s="35">
        <f>'7_비용인력'!O29</f>
        <v>31866.125</v>
      </c>
      <c r="P40" s="18">
        <f>'7_비용인력'!P29</f>
        <v>20489.25</v>
      </c>
      <c r="Q40" s="18">
        <f>'7_비용인력'!Q29</f>
        <v>24863.25</v>
      </c>
      <c r="R40" s="18">
        <f>'7_비용인력'!R29</f>
        <v>23537.25</v>
      </c>
      <c r="S40" s="18">
        <f>'7_비용인력'!S29</f>
        <v>23711.25</v>
      </c>
      <c r="T40" s="18">
        <f>'7_비용인력'!T29</f>
        <v>22685.25</v>
      </c>
      <c r="U40" s="18">
        <f>'7_비용인력'!U29</f>
        <v>27533.25</v>
      </c>
      <c r="V40" s="18">
        <f>'7_비용인력'!V29</f>
        <v>24407.25</v>
      </c>
      <c r="W40" s="18">
        <f>'7_비용인력'!W29</f>
        <v>23807.25</v>
      </c>
      <c r="X40" s="18">
        <f>'7_비용인력'!X29</f>
        <v>24581.25</v>
      </c>
      <c r="Y40" s="18">
        <f>'7_비용인력'!Y29</f>
        <v>29231.25</v>
      </c>
      <c r="Z40" s="18">
        <f>'7_비용인력'!Z29</f>
        <v>27005.25</v>
      </c>
      <c r="AA40" s="18">
        <f>'7_비용인력'!AA29</f>
        <v>28298.25</v>
      </c>
      <c r="AB40" s="35">
        <f>'7_비용인력'!AB29</f>
        <v>300150</v>
      </c>
      <c r="AC40" s="24">
        <f>'7_비용인력'!AC29</f>
        <v>858000</v>
      </c>
      <c r="AD40" s="24">
        <f>'7_비용인력'!AD29</f>
        <v>1540000</v>
      </c>
      <c r="AE40" s="24">
        <f>'7_비용인력'!AE29</f>
        <v>3744000</v>
      </c>
      <c r="AF40" s="36">
        <f>'7_비용인력'!AF29</f>
        <v>6474016.125</v>
      </c>
    </row>
    <row r="41">
      <c r="A41" s="12" t="inlineStr">
        <is>
          <t>판매비와관리비</t>
        </is>
      </c>
      <c r="C41" s="26">
        <f>SUM(C30:C40)</f>
        <v>44875.688</v>
      </c>
      <c r="D41" s="26">
        <f>SUM(D30:D40)</f>
        <v>43463.62</v>
      </c>
      <c r="E41" s="26">
        <f>SUM(E30:E40)</f>
        <v>46297.268</v>
      </c>
      <c r="F41" s="26">
        <f>SUM(F30:F40)</f>
        <v>41009.64</v>
      </c>
      <c r="G41" s="26">
        <f>SUM(G30:G40)</f>
        <v>41900.172</v>
      </c>
      <c r="H41" s="26">
        <f>SUM(H30:H40)</f>
        <v>45581.084</v>
      </c>
      <c r="I41" s="26">
        <f>SUM(I30:I40)</f>
        <v>41405.2</v>
      </c>
      <c r="J41" s="26">
        <f>SUM(J30:J40)</f>
        <v>40443.328</v>
      </c>
      <c r="K41" s="26">
        <f>SUM(K30:K40)</f>
        <v>43937.132</v>
      </c>
      <c r="L41" s="26">
        <f>SUM(L30:L40)</f>
        <v>46798.736</v>
      </c>
      <c r="M41" s="26">
        <f>SUM(M30:M40)</f>
        <v>67541.856</v>
      </c>
      <c r="N41" s="26">
        <f>SUM(N30:N40)</f>
        <v>107531.928</v>
      </c>
      <c r="O41" s="27">
        <f>SUM(O30:O40)</f>
        <v>610785.652</v>
      </c>
      <c r="P41" s="26">
        <f>SUM(P30:P40)</f>
        <v>210558.821546667</v>
      </c>
      <c r="Q41" s="26">
        <f>SUM(Q30:Q40)</f>
        <v>236663.685546667</v>
      </c>
      <c r="R41" s="26">
        <f>SUM(R30:R40)</f>
        <v>234268.549546667</v>
      </c>
      <c r="S41" s="26">
        <f>SUM(S30:S40)</f>
        <v>239373.413546667</v>
      </c>
      <c r="T41" s="26">
        <f>SUM(T30:T40)</f>
        <v>238478.277546667</v>
      </c>
      <c r="U41" s="26">
        <f>SUM(U30:U40)</f>
        <v>266953.141546667</v>
      </c>
      <c r="V41" s="26">
        <f>SUM(V30:V40)</f>
        <v>255558.005546667</v>
      </c>
      <c r="W41" s="26">
        <f>SUM(W30:W40)</f>
        <v>256792.869546667</v>
      </c>
      <c r="X41" s="26">
        <f>SUM(X30:X40)</f>
        <v>264897.733546667</v>
      </c>
      <c r="Y41" s="26">
        <f>SUM(Y30:Y40)</f>
        <v>296617.461546667</v>
      </c>
      <c r="Z41" s="26">
        <f>SUM(Z30:Z40)</f>
        <v>293957.189546667</v>
      </c>
      <c r="AA41" s="26">
        <f>SUM(AA30:AA40)</f>
        <v>308891.917546667</v>
      </c>
      <c r="AB41" s="27">
        <f>SUM(AB30:AB40)</f>
        <v>3103011.06656</v>
      </c>
      <c r="AC41" s="28">
        <f>SUM(AC30:AC40)</f>
        <v>9343598.7026096</v>
      </c>
      <c r="AD41" s="28">
        <f>SUM(AD30:AD40)</f>
        <v>18308686.043434</v>
      </c>
      <c r="AE41" s="28">
        <f>SUM(AE30:AE40)</f>
        <v>38222595.3639206</v>
      </c>
      <c r="AF41" s="26">
        <f>SUM(AF30:AF40)</f>
        <v>69588676.8285242</v>
      </c>
    </row>
    <row r="42">
      <c r="A42" s="32" t="inlineStr">
        <is>
          <t>영업이익(손실)</t>
        </is>
      </c>
      <c r="C42" s="37">
        <f>C26-C41</f>
        <v>-17740.4206</v>
      </c>
      <c r="D42" s="37">
        <f>D26-D41</f>
        <v>-22698.9946</v>
      </c>
      <c r="E42" s="37">
        <f>E26-E41</f>
        <v>-13670.4308</v>
      </c>
      <c r="F42" s="37">
        <f>F26-F41</f>
        <v>-30877.151</v>
      </c>
      <c r="G42" s="37">
        <f>G26-G41</f>
        <v>-28054.9632</v>
      </c>
      <c r="H42" s="37">
        <f>H26-H41</f>
        <v>-16408.4636</v>
      </c>
      <c r="I42" s="37">
        <f>I26-I41</f>
        <v>-29602.8466</v>
      </c>
      <c r="J42" s="37">
        <f>J26-J41</f>
        <v>-32666.9866</v>
      </c>
      <c r="K42" s="37">
        <f>K26-K41</f>
        <v>-21005.0096</v>
      </c>
      <c r="L42" s="37">
        <f>L26-L41</f>
        <v>-14399.411</v>
      </c>
      <c r="M42" s="37">
        <f>M26-M41</f>
        <v>55575.373</v>
      </c>
      <c r="N42" s="37">
        <f>N26-N41</f>
        <v>193691.5565</v>
      </c>
      <c r="O42" s="38">
        <f>O26-O41</f>
        <v>22142.2519000002</v>
      </c>
      <c r="P42" s="37">
        <f>P26-P41</f>
        <v>60535.3384533333</v>
      </c>
      <c r="Q42" s="37">
        <f>Q26-Q41</f>
        <v>91967.3544533333</v>
      </c>
      <c r="R42" s="37">
        <f>R26-R41</f>
        <v>78445.3704533333</v>
      </c>
      <c r="S42" s="37">
        <f>S26-S41</f>
        <v>75877.3864533333</v>
      </c>
      <c r="T42" s="37">
        <f>T26-T41</f>
        <v>61741.4024533333</v>
      </c>
      <c r="U42" s="37">
        <f>U26-U41</f>
        <v>97022.2984533334</v>
      </c>
      <c r="V42" s="37">
        <f>V26-V41</f>
        <v>67380.3144533333</v>
      </c>
      <c r="W42" s="37">
        <f>W26-W41</f>
        <v>58213.4504533333</v>
      </c>
      <c r="X42" s="37">
        <f>X26-X41</f>
        <v>60197.4664533333</v>
      </c>
      <c r="Y42" s="37">
        <f>Y26-Y41</f>
        <v>89635.7384533334</v>
      </c>
      <c r="Z42" s="37">
        <f>Z26-Z41</f>
        <v>64278.8904533334</v>
      </c>
      <c r="AA42" s="37">
        <f>AA26-AA41</f>
        <v>67795.5924533333</v>
      </c>
      <c r="AB42" s="38">
        <f>AB26-AB41</f>
        <v>873090.60344</v>
      </c>
      <c r="AC42" s="39">
        <f>AC26-AC41</f>
        <v>3734769.5555904</v>
      </c>
      <c r="AD42" s="39">
        <f>AD26-AD41</f>
        <v>9624360.59920603</v>
      </c>
      <c r="AE42" s="39">
        <f>AE26-AE41</f>
        <v>25529840.0652198</v>
      </c>
      <c r="AF42" s="37">
        <f>AF26-AF41</f>
        <v>39784203.0753562</v>
      </c>
    </row>
    <row r="43">
      <c r="A43" s="15" t="inlineStr">
        <is>
          <t xml:space="preserve">  영업이익률</t>
        </is>
      </c>
      <c r="C43" s="14">
        <f>IFERROR(C42/C14,0)</f>
        <v>-0.326729296277879</v>
      </c>
      <c r="D43" s="14">
        <f>IFERROR(D42/D14,0)</f>
        <v>-0.538861328458836</v>
      </c>
      <c r="E43" s="14">
        <f>IFERROR(E42/E14,0)</f>
        <v>-0.205409766798894</v>
      </c>
      <c r="F43" s="14">
        <f>IFERROR(F42/F14,0)</f>
        <v>-1.47251423529973</v>
      </c>
      <c r="G43" s="14">
        <f>IFERROR(G42/G14,0)</f>
        <v>-0.979367562661454</v>
      </c>
      <c r="H43" s="14">
        <f>IFERROR(H42/H14,0)</f>
        <v>-0.271762290900659</v>
      </c>
      <c r="I43" s="14">
        <f>IFERROR(I42/I14,0)</f>
        <v>-1.21427649206284</v>
      </c>
      <c r="J43" s="14">
        <f>IFERROR(J42/J14,0)</f>
        <v>-2.03064503014857</v>
      </c>
      <c r="K43" s="14">
        <f>IFERROR(K42/K14,0)</f>
        <v>-0.45459484915379</v>
      </c>
      <c r="L43" s="14">
        <f>IFERROR(L42/L14,0)</f>
        <v>-0.203166292768959</v>
      </c>
      <c r="M43" s="14">
        <f>IFERROR(M42/M14,0)</f>
        <v>0.222573031097939</v>
      </c>
      <c r="N43" s="14">
        <f>IFERROR(N42/N14,0)</f>
        <v>0.325840343888419</v>
      </c>
      <c r="O43" s="30">
        <f>IFERROR(O42/O14,0)</f>
        <v>0.0173713087957825</v>
      </c>
      <c r="P43" s="14">
        <f>IFERROR(P42/P14,0)</f>
        <v>0.0886347793891918</v>
      </c>
      <c r="Q43" s="14">
        <f>IFERROR(Q42/Q14,0)</f>
        <v>0.110967819315657</v>
      </c>
      <c r="R43" s="14">
        <f>IFERROR(R42/R14,0)</f>
        <v>0.0999845399781198</v>
      </c>
      <c r="S43" s="14">
        <f>IFERROR(S42/S14,0)</f>
        <v>0.096001754171543</v>
      </c>
      <c r="T43" s="14">
        <f>IFERROR(T42/T14,0)</f>
        <v>0.081649621388347</v>
      </c>
      <c r="U43" s="14">
        <f>IFERROR(U42/U14,0)</f>
        <v>0.10571468873453</v>
      </c>
      <c r="V43" s="14">
        <f>IFERROR(V42/V14,0)</f>
        <v>0.0828200405043583</v>
      </c>
      <c r="W43" s="14">
        <f>IFERROR(W42/W14,0)</f>
        <v>0.0733559530647177</v>
      </c>
      <c r="X43" s="14">
        <f>IFERROR(X42/X14,0)</f>
        <v>0.0734675410566997</v>
      </c>
      <c r="Y43" s="14">
        <f>IFERROR(Y42/Y14,0)</f>
        <v>0.0919930606320291</v>
      </c>
      <c r="Z43" s="14">
        <f>IFERROR(Z42/Z14,0)</f>
        <v>0.0714071046777942</v>
      </c>
      <c r="AA43" s="14">
        <f>IFERROR(AA42/AA14,0)</f>
        <v>0.0718725636249591</v>
      </c>
      <c r="AB43" s="30">
        <f>IFERROR(AB42/AB14,0)</f>
        <v>0.0872654276301849</v>
      </c>
      <c r="AC43" s="31">
        <f>IFERROR(AC42/AC14,0)</f>
        <v>0.113174835017891</v>
      </c>
      <c r="AD43" s="31">
        <f>IFERROR(AD42/AD14,0)</f>
        <v>0.137490865702943</v>
      </c>
      <c r="AE43" s="31">
        <f>IFERROR(AE42/AE14,0)</f>
        <v>0.163652820930896</v>
      </c>
      <c r="AF43" s="14">
        <f>IFERROR(AF42/AF14,0)</f>
        <v>0.147196445649306</v>
      </c>
    </row>
    <row r="44"/>
    <row r="45">
      <c r="A45" s="3" t="inlineStr">
        <is>
          <t>Ⅳ. 영업외손익 · 법인세</t>
        </is>
      </c>
    </row>
    <row r="46">
      <c r="A46" s="12" t="inlineStr">
        <is>
          <t>영업외수익</t>
        </is>
      </c>
      <c r="C46" s="25">
        <f>C47</f>
        <v>6634.38125</v>
      </c>
      <c r="D46" s="25">
        <f>D47</f>
        <v>6634.38125</v>
      </c>
      <c r="E46" s="25">
        <f>E47</f>
        <v>6634.38125</v>
      </c>
      <c r="F46" s="25">
        <f>F47</f>
        <v>6634.38125</v>
      </c>
      <c r="G46" s="25">
        <f>G47</f>
        <v>6634.38125</v>
      </c>
      <c r="H46" s="25">
        <f>H47</f>
        <v>6634.38125</v>
      </c>
      <c r="I46" s="25">
        <f>I47</f>
        <v>6634.38125</v>
      </c>
      <c r="J46" s="25">
        <f>J47</f>
        <v>6634.38125</v>
      </c>
      <c r="K46" s="25">
        <f>K47</f>
        <v>6634.38125</v>
      </c>
      <c r="L46" s="25">
        <f>L47</f>
        <v>6634.38125</v>
      </c>
      <c r="M46" s="25">
        <f>M47</f>
        <v>6634.38125</v>
      </c>
      <c r="N46" s="25">
        <f>N47</f>
        <v>6634.38125</v>
      </c>
      <c r="O46" s="23">
        <f>O47</f>
        <v>79612.575</v>
      </c>
      <c r="P46" s="25">
        <f>P47</f>
        <v>25000</v>
      </c>
      <c r="Q46" s="25">
        <f>Q47</f>
        <v>25000</v>
      </c>
      <c r="R46" s="25">
        <f>R47</f>
        <v>25000</v>
      </c>
      <c r="S46" s="25">
        <f>S47</f>
        <v>25000</v>
      </c>
      <c r="T46" s="25">
        <f>T47</f>
        <v>25000</v>
      </c>
      <c r="U46" s="25">
        <f>U47</f>
        <v>25000</v>
      </c>
      <c r="V46" s="25">
        <f>V47</f>
        <v>25000</v>
      </c>
      <c r="W46" s="25">
        <f>W47</f>
        <v>25000</v>
      </c>
      <c r="X46" s="25">
        <f>X47</f>
        <v>25000</v>
      </c>
      <c r="Y46" s="25">
        <f>Y47</f>
        <v>25000</v>
      </c>
      <c r="Z46" s="25">
        <f>Z47</f>
        <v>25000</v>
      </c>
      <c r="AA46" s="25">
        <f>AA47</f>
        <v>25000</v>
      </c>
      <c r="AB46" s="23">
        <f>AB47</f>
        <v>300000</v>
      </c>
      <c r="AC46" s="34">
        <f>AC47</f>
        <v>100000</v>
      </c>
      <c r="AD46" s="34">
        <f>AD47</f>
        <v>100000</v>
      </c>
      <c r="AE46" s="34">
        <f>AE47</f>
        <v>100000</v>
      </c>
      <c r="AF46" s="25">
        <f>AF47</f>
        <v>679612.575</v>
      </c>
    </row>
    <row r="47">
      <c r="A47" s="15" t="inlineStr">
        <is>
          <t xml:space="preserve">  (정부보조금수익)</t>
        </is>
      </c>
      <c r="C47" s="40">
        <f>'7_비용인력'!C33</f>
        <v>6634.38125</v>
      </c>
      <c r="D47" s="40">
        <f>'7_비용인력'!D33</f>
        <v>6634.38125</v>
      </c>
      <c r="E47" s="40">
        <f>'7_비용인력'!E33</f>
        <v>6634.38125</v>
      </c>
      <c r="F47" s="40">
        <f>'7_비용인력'!F33</f>
        <v>6634.38125</v>
      </c>
      <c r="G47" s="40">
        <f>'7_비용인력'!G33</f>
        <v>6634.38125</v>
      </c>
      <c r="H47" s="40">
        <f>'7_비용인력'!H33</f>
        <v>6634.38125</v>
      </c>
      <c r="I47" s="40">
        <f>'7_비용인력'!I33</f>
        <v>6634.38125</v>
      </c>
      <c r="J47" s="40">
        <f>'7_비용인력'!J33</f>
        <v>6634.38125</v>
      </c>
      <c r="K47" s="40">
        <f>'7_비용인력'!K33</f>
        <v>6634.38125</v>
      </c>
      <c r="L47" s="40">
        <f>'7_비용인력'!L33</f>
        <v>6634.38125</v>
      </c>
      <c r="M47" s="40">
        <f>'7_비용인력'!M33</f>
        <v>6634.38125</v>
      </c>
      <c r="N47" s="40">
        <f>'7_비용인력'!N33</f>
        <v>6634.38125</v>
      </c>
      <c r="O47" s="41">
        <f>'7_비용인력'!O33</f>
        <v>79612.575</v>
      </c>
      <c r="P47" s="40">
        <f>'7_비용인력'!P33</f>
        <v>25000</v>
      </c>
      <c r="Q47" s="40">
        <f>'7_비용인력'!Q33</f>
        <v>25000</v>
      </c>
      <c r="R47" s="40">
        <f>'7_비용인력'!R33</f>
        <v>25000</v>
      </c>
      <c r="S47" s="40">
        <f>'7_비용인력'!S33</f>
        <v>25000</v>
      </c>
      <c r="T47" s="40">
        <f>'7_비용인력'!T33</f>
        <v>25000</v>
      </c>
      <c r="U47" s="40">
        <f>'7_비용인력'!U33</f>
        <v>25000</v>
      </c>
      <c r="V47" s="40">
        <f>'7_비용인력'!V33</f>
        <v>25000</v>
      </c>
      <c r="W47" s="40">
        <f>'7_비용인력'!W33</f>
        <v>25000</v>
      </c>
      <c r="X47" s="40">
        <f>'7_비용인력'!X33</f>
        <v>25000</v>
      </c>
      <c r="Y47" s="40">
        <f>'7_비용인력'!Y33</f>
        <v>25000</v>
      </c>
      <c r="Z47" s="40">
        <f>'7_비용인력'!Z33</f>
        <v>25000</v>
      </c>
      <c r="AA47" s="40">
        <f>'7_비용인력'!AA33</f>
        <v>25000</v>
      </c>
      <c r="AB47" s="41">
        <f>'7_비용인력'!AB33</f>
        <v>300000</v>
      </c>
      <c r="AC47" s="42">
        <f>'7_비용인력'!AC33</f>
        <v>100000</v>
      </c>
      <c r="AD47" s="42">
        <f>'7_비용인력'!AD33</f>
        <v>100000</v>
      </c>
      <c r="AE47" s="42">
        <f>'7_비용인력'!AE33</f>
        <v>100000</v>
      </c>
      <c r="AF47" s="40">
        <f>'7_비용인력'!AF33</f>
        <v>679612.575</v>
      </c>
    </row>
    <row r="48">
      <c r="A48" s="12" t="inlineStr">
        <is>
          <t>영업외비용</t>
        </is>
      </c>
      <c r="C48" s="25">
        <f>C49</f>
        <v>4799.086</v>
      </c>
      <c r="D48" s="25">
        <f>D49</f>
        <v>4799.086</v>
      </c>
      <c r="E48" s="25">
        <f>E49</f>
        <v>4799.086</v>
      </c>
      <c r="F48" s="25">
        <f>F49</f>
        <v>4799.086</v>
      </c>
      <c r="G48" s="25">
        <f>G49</f>
        <v>4799.086</v>
      </c>
      <c r="H48" s="25">
        <f>H49</f>
        <v>4799.086</v>
      </c>
      <c r="I48" s="25">
        <f>I49</f>
        <v>4799.086</v>
      </c>
      <c r="J48" s="25">
        <f>J49</f>
        <v>4799.086</v>
      </c>
      <c r="K48" s="25">
        <f>K49</f>
        <v>4799.086</v>
      </c>
      <c r="L48" s="25">
        <f>L49</f>
        <v>4799.086</v>
      </c>
      <c r="M48" s="25">
        <f>M49</f>
        <v>4799.086</v>
      </c>
      <c r="N48" s="25">
        <f>N49</f>
        <v>4799.086</v>
      </c>
      <c r="O48" s="23">
        <f>O49</f>
        <v>57589.032</v>
      </c>
      <c r="P48" s="25">
        <f>P49</f>
        <v>6400</v>
      </c>
      <c r="Q48" s="25">
        <f>Q49</f>
        <v>6400</v>
      </c>
      <c r="R48" s="25">
        <f>R49</f>
        <v>6400</v>
      </c>
      <c r="S48" s="25">
        <f>S49</f>
        <v>6400</v>
      </c>
      <c r="T48" s="25">
        <f>T49</f>
        <v>6400</v>
      </c>
      <c r="U48" s="25">
        <f>U49</f>
        <v>6400</v>
      </c>
      <c r="V48" s="25">
        <f>V49</f>
        <v>6400</v>
      </c>
      <c r="W48" s="25">
        <f>W49</f>
        <v>6400</v>
      </c>
      <c r="X48" s="25">
        <f>X49</f>
        <v>6400</v>
      </c>
      <c r="Y48" s="25">
        <f>Y49</f>
        <v>6400</v>
      </c>
      <c r="Z48" s="25">
        <f>Z49</f>
        <v>6400</v>
      </c>
      <c r="AA48" s="25">
        <f>AA49</f>
        <v>6400</v>
      </c>
      <c r="AB48" s="23">
        <f>AB49</f>
        <v>76800</v>
      </c>
      <c r="AC48" s="34">
        <f>AC49</f>
        <v>192000</v>
      </c>
      <c r="AD48" s="34">
        <f>AD49</f>
        <v>384000</v>
      </c>
      <c r="AE48" s="34">
        <f>AE49</f>
        <v>528000</v>
      </c>
      <c r="AF48" s="25">
        <f>AF49</f>
        <v>1238389.032</v>
      </c>
    </row>
    <row r="49">
      <c r="A49" s="15" t="inlineStr">
        <is>
          <t xml:space="preserve">  (이자비용)</t>
        </is>
      </c>
      <c r="C49" s="40">
        <f>'7_비용인력'!C34</f>
        <v>4799.086</v>
      </c>
      <c r="D49" s="40">
        <f>'7_비용인력'!D34</f>
        <v>4799.086</v>
      </c>
      <c r="E49" s="40">
        <f>'7_비용인력'!E34</f>
        <v>4799.086</v>
      </c>
      <c r="F49" s="40">
        <f>'7_비용인력'!F34</f>
        <v>4799.086</v>
      </c>
      <c r="G49" s="40">
        <f>'7_비용인력'!G34</f>
        <v>4799.086</v>
      </c>
      <c r="H49" s="40">
        <f>'7_비용인력'!H34</f>
        <v>4799.086</v>
      </c>
      <c r="I49" s="40">
        <f>'7_비용인력'!I34</f>
        <v>4799.086</v>
      </c>
      <c r="J49" s="40">
        <f>'7_비용인력'!J34</f>
        <v>4799.086</v>
      </c>
      <c r="K49" s="40">
        <f>'7_비용인력'!K34</f>
        <v>4799.086</v>
      </c>
      <c r="L49" s="40">
        <f>'7_비용인력'!L34</f>
        <v>4799.086</v>
      </c>
      <c r="M49" s="40">
        <f>'7_비용인력'!M34</f>
        <v>4799.086</v>
      </c>
      <c r="N49" s="40">
        <f>'7_비용인력'!N34</f>
        <v>4799.086</v>
      </c>
      <c r="O49" s="41">
        <f>'7_비용인력'!O34</f>
        <v>57589.032</v>
      </c>
      <c r="P49" s="40">
        <f>'7_비용인력'!P34</f>
        <v>6400</v>
      </c>
      <c r="Q49" s="40">
        <f>'7_비용인력'!Q34</f>
        <v>6400</v>
      </c>
      <c r="R49" s="40">
        <f>'7_비용인력'!R34</f>
        <v>6400</v>
      </c>
      <c r="S49" s="40">
        <f>'7_비용인력'!S34</f>
        <v>6400</v>
      </c>
      <c r="T49" s="40">
        <f>'7_비용인력'!T34</f>
        <v>6400</v>
      </c>
      <c r="U49" s="40">
        <f>'7_비용인력'!U34</f>
        <v>6400</v>
      </c>
      <c r="V49" s="40">
        <f>'7_비용인력'!V34</f>
        <v>6400</v>
      </c>
      <c r="W49" s="40">
        <f>'7_비용인력'!W34</f>
        <v>6400</v>
      </c>
      <c r="X49" s="40">
        <f>'7_비용인력'!X34</f>
        <v>6400</v>
      </c>
      <c r="Y49" s="40">
        <f>'7_비용인력'!Y34</f>
        <v>6400</v>
      </c>
      <c r="Z49" s="40">
        <f>'7_비용인력'!Z34</f>
        <v>6400</v>
      </c>
      <c r="AA49" s="40">
        <f>'7_비용인력'!AA34</f>
        <v>6400</v>
      </c>
      <c r="AB49" s="41">
        <f>'7_비용인력'!AB34</f>
        <v>76800</v>
      </c>
      <c r="AC49" s="42">
        <f>'7_비용인력'!AC34</f>
        <v>192000</v>
      </c>
      <c r="AD49" s="42">
        <f>'7_비용인력'!AD34</f>
        <v>384000</v>
      </c>
      <c r="AE49" s="42">
        <f>'7_비용인력'!AE34</f>
        <v>528000</v>
      </c>
      <c r="AF49" s="40">
        <f>'7_비용인력'!AF34</f>
        <v>1238389.032</v>
      </c>
    </row>
    <row r="50">
      <c r="A50" s="12" t="inlineStr">
        <is>
          <t>법인세차감전순이익</t>
        </is>
      </c>
      <c r="C50" s="26">
        <f>C42+C46-C48</f>
        <v>-15905.12535</v>
      </c>
      <c r="D50" s="26">
        <f>D42+D46-D48</f>
        <v>-20863.69935</v>
      </c>
      <c r="E50" s="26">
        <f>E42+E46-E48</f>
        <v>-11835.13555</v>
      </c>
      <c r="F50" s="26">
        <f>F42+F46-F48</f>
        <v>-29041.85575</v>
      </c>
      <c r="G50" s="26">
        <f>G42+G46-G48</f>
        <v>-26219.66795</v>
      </c>
      <c r="H50" s="26">
        <f>H42+H46-H48</f>
        <v>-14573.16835</v>
      </c>
      <c r="I50" s="26">
        <f>I42+I46-I48</f>
        <v>-27767.55135</v>
      </c>
      <c r="J50" s="26">
        <f>J42+J46-J48</f>
        <v>-30831.69135</v>
      </c>
      <c r="K50" s="26">
        <f>K42+K46-K48</f>
        <v>-19169.71435</v>
      </c>
      <c r="L50" s="26">
        <f>L42+L46-L48</f>
        <v>-12564.11575</v>
      </c>
      <c r="M50" s="26">
        <f>M42+M46-M48</f>
        <v>57410.66825</v>
      </c>
      <c r="N50" s="26">
        <f>N42+N46-N48</f>
        <v>195526.85175</v>
      </c>
      <c r="O50" s="27">
        <f>O42+O46-O48</f>
        <v>44165.7949000002</v>
      </c>
      <c r="P50" s="26">
        <f>P42+P46-P48</f>
        <v>79135.3384533333</v>
      </c>
      <c r="Q50" s="26">
        <f>Q42+Q46-Q48</f>
        <v>110567.354453333</v>
      </c>
      <c r="R50" s="26">
        <f>R42+R46-R48</f>
        <v>97045.3704533333</v>
      </c>
      <c r="S50" s="26">
        <f>S42+S46-S48</f>
        <v>94477.3864533333</v>
      </c>
      <c r="T50" s="26">
        <f>T42+T46-T48</f>
        <v>80341.4024533333</v>
      </c>
      <c r="U50" s="26">
        <f>U42+U46-U48</f>
        <v>115622.298453333</v>
      </c>
      <c r="V50" s="26">
        <f>V42+V46-V48</f>
        <v>85980.3144533333</v>
      </c>
      <c r="W50" s="26">
        <f>W42+W46-W48</f>
        <v>76813.4504533333</v>
      </c>
      <c r="X50" s="26">
        <f>X42+X46-X48</f>
        <v>78797.4664533333</v>
      </c>
      <c r="Y50" s="26">
        <f>Y42+Y46-Y48</f>
        <v>108235.738453333</v>
      </c>
      <c r="Z50" s="26">
        <f>Z42+Z46-Z48</f>
        <v>82878.8904533334</v>
      </c>
      <c r="AA50" s="26">
        <f>AA42+AA46-AA48</f>
        <v>86395.5924533333</v>
      </c>
      <c r="AB50" s="27">
        <f>AB42+AB46-AB48</f>
        <v>1096290.60344</v>
      </c>
      <c r="AC50" s="28">
        <f>AC42+AC46-AC48</f>
        <v>3642769.5555904</v>
      </c>
      <c r="AD50" s="28">
        <f>AD42+AD46-AD48</f>
        <v>9340360.59920603</v>
      </c>
      <c r="AE50" s="28">
        <f>AE42+AE46-AE48</f>
        <v>25101840.0652198</v>
      </c>
      <c r="AF50" s="26">
        <f>AF42+AF46-AF48</f>
        <v>39225426.6183562</v>
      </c>
    </row>
    <row r="51">
      <c r="A51" s="15" t="inlineStr">
        <is>
          <t>법인세등</t>
        </is>
      </c>
      <c r="B51" s="29" t="inlineStr">
        <is>
          <t>이월결손금 공제 후 산출(7_비용인력)</t>
        </is>
      </c>
      <c r="C51" s="18">
        <f>'7_비용인력'!C49</f>
        <v>0</v>
      </c>
      <c r="D51" s="18">
        <f>'7_비용인력'!D49</f>
        <v>0</v>
      </c>
      <c r="E51" s="18">
        <f>'7_비용인력'!E49</f>
        <v>0</v>
      </c>
      <c r="F51" s="18">
        <f>'7_비용인력'!F49</f>
        <v>0</v>
      </c>
      <c r="G51" s="18">
        <f>'7_비용인력'!G49</f>
        <v>0</v>
      </c>
      <c r="H51" s="18">
        <f>'7_비용인력'!H49</f>
        <v>0</v>
      </c>
      <c r="I51" s="18">
        <f>'7_비용인력'!I49</f>
        <v>0</v>
      </c>
      <c r="J51" s="18">
        <f>'7_비용인력'!J49</f>
        <v>0</v>
      </c>
      <c r="K51" s="18">
        <f>'7_비용인력'!K49</f>
        <v>0</v>
      </c>
      <c r="L51" s="18">
        <f>'7_비용인력'!L49</f>
        <v>0</v>
      </c>
      <c r="M51" s="18">
        <f>'7_비용인력'!M49</f>
        <v>0</v>
      </c>
      <c r="N51" s="18">
        <f>'7_비용인력'!N49</f>
        <v>0</v>
      </c>
      <c r="O51" s="23">
        <f>SUM(C51:N51)</f>
        <v>0</v>
      </c>
      <c r="P51" s="18">
        <f>'7_비용인력'!P49</f>
        <v>0</v>
      </c>
      <c r="Q51" s="18">
        <f>'7_비용인력'!Q49</f>
        <v>0</v>
      </c>
      <c r="R51" s="18">
        <f>'7_비용인력'!R49</f>
        <v>0</v>
      </c>
      <c r="S51" s="18">
        <f>'7_비용인력'!S49</f>
        <v>0</v>
      </c>
      <c r="T51" s="18">
        <f>'7_비용인력'!T49</f>
        <v>0</v>
      </c>
      <c r="U51" s="18">
        <f>'7_비용인력'!U49</f>
        <v>0</v>
      </c>
      <c r="V51" s="18">
        <f>'7_비용인력'!V49</f>
        <v>0</v>
      </c>
      <c r="W51" s="18">
        <f>'7_비용인력'!W49</f>
        <v>0</v>
      </c>
      <c r="X51" s="18">
        <f>'7_비용인력'!X49</f>
        <v>0</v>
      </c>
      <c r="Y51" s="18">
        <f>'7_비용인력'!Y49</f>
        <v>0</v>
      </c>
      <c r="Z51" s="18">
        <f>'7_비용인력'!Z49</f>
        <v>0</v>
      </c>
      <c r="AA51" s="18">
        <f>'7_비용인력'!AA49</f>
        <v>0</v>
      </c>
      <c r="AB51" s="23">
        <f>SUM(P51:AA51)</f>
        <v>0</v>
      </c>
      <c r="AC51" s="24">
        <f>'7_비용인력'!AC49</f>
        <v>363251.669864688</v>
      </c>
      <c r="AD51" s="24">
        <f>'7_비용인력'!AD49</f>
        <v>2032879.33182533</v>
      </c>
      <c r="AE51" s="24">
        <f>'7_비용인력'!AE49</f>
        <v>5612645.29578318</v>
      </c>
      <c r="AF51" s="25">
        <f>O51+AB51+AC51+AD51+AE51</f>
        <v>8008776.2974732</v>
      </c>
    </row>
    <row r="52">
      <c r="A52" s="32" t="inlineStr">
        <is>
          <t>당기순이익(손실)</t>
        </is>
      </c>
      <c r="C52" s="37">
        <f>C50-C51</f>
        <v>-15905.12535</v>
      </c>
      <c r="D52" s="37">
        <f>D50-D51</f>
        <v>-20863.69935</v>
      </c>
      <c r="E52" s="37">
        <f>E50-E51</f>
        <v>-11835.13555</v>
      </c>
      <c r="F52" s="37">
        <f>F50-F51</f>
        <v>-29041.85575</v>
      </c>
      <c r="G52" s="37">
        <f>G50-G51</f>
        <v>-26219.66795</v>
      </c>
      <c r="H52" s="37">
        <f>H50-H51</f>
        <v>-14573.16835</v>
      </c>
      <c r="I52" s="37">
        <f>I50-I51</f>
        <v>-27767.55135</v>
      </c>
      <c r="J52" s="37">
        <f>J50-J51</f>
        <v>-30831.69135</v>
      </c>
      <c r="K52" s="37">
        <f>K50-K51</f>
        <v>-19169.71435</v>
      </c>
      <c r="L52" s="37">
        <f>L50-L51</f>
        <v>-12564.11575</v>
      </c>
      <c r="M52" s="37">
        <f>M50-M51</f>
        <v>57410.66825</v>
      </c>
      <c r="N52" s="37">
        <f>N50-N51</f>
        <v>195526.85175</v>
      </c>
      <c r="O52" s="38">
        <f>O50-O51</f>
        <v>44165.7949000002</v>
      </c>
      <c r="P52" s="37">
        <f>P50-P51</f>
        <v>79135.3384533333</v>
      </c>
      <c r="Q52" s="37">
        <f>Q50-Q51</f>
        <v>110567.354453333</v>
      </c>
      <c r="R52" s="37">
        <f>R50-R51</f>
        <v>97045.3704533333</v>
      </c>
      <c r="S52" s="37">
        <f>S50-S51</f>
        <v>94477.3864533333</v>
      </c>
      <c r="T52" s="37">
        <f>T50-T51</f>
        <v>80341.4024533333</v>
      </c>
      <c r="U52" s="37">
        <f>U50-U51</f>
        <v>115622.298453333</v>
      </c>
      <c r="V52" s="37">
        <f>V50-V51</f>
        <v>85980.3144533333</v>
      </c>
      <c r="W52" s="37">
        <f>W50-W51</f>
        <v>76813.4504533333</v>
      </c>
      <c r="X52" s="37">
        <f>X50-X51</f>
        <v>78797.4664533333</v>
      </c>
      <c r="Y52" s="37">
        <f>Y50-Y51</f>
        <v>108235.738453333</v>
      </c>
      <c r="Z52" s="37">
        <f>Z50-Z51</f>
        <v>82878.8904533334</v>
      </c>
      <c r="AA52" s="37">
        <f>AA50-AA51</f>
        <v>86395.5924533333</v>
      </c>
      <c r="AB52" s="38">
        <f>AB50-AB51</f>
        <v>1096290.60344</v>
      </c>
      <c r="AC52" s="39">
        <f>AC50-AC51</f>
        <v>3279517.88572571</v>
      </c>
      <c r="AD52" s="39">
        <f>AD50-AD51</f>
        <v>7307481.2673807</v>
      </c>
      <c r="AE52" s="39">
        <f>AE50-AE51</f>
        <v>19489194.7694366</v>
      </c>
      <c r="AF52" s="37">
        <f>AF50-AF51</f>
        <v>31216650.320883</v>
      </c>
    </row>
    <row r="53">
      <c r="A53" s="15" t="inlineStr">
        <is>
          <t xml:space="preserve">  순이익률</t>
        </is>
      </c>
      <c r="C53" s="14">
        <f>IFERROR(C52/C14,0)</f>
        <v>-0.292928252942152</v>
      </c>
      <c r="D53" s="14">
        <f>IFERROR(D52/D14,0)</f>
        <v>-0.495292454420283</v>
      </c>
      <c r="E53" s="14">
        <f>IFERROR(E52/E14,0)</f>
        <v>-0.177832905848059</v>
      </c>
      <c r="F53" s="14">
        <f>IFERROR(F52/F14,0)</f>
        <v>-1.38499002098336</v>
      </c>
      <c r="G53" s="14">
        <f>IFERROR(G52/G14,0)</f>
        <v>-0.915299446694128</v>
      </c>
      <c r="H53" s="14">
        <f>IFERROR(H52/H14,0)</f>
        <v>-0.241365536288052</v>
      </c>
      <c r="I53" s="14">
        <f>IFERROR(I52/I14,0)</f>
        <v>-1.13899468189836</v>
      </c>
      <c r="J53" s="14">
        <f>IFERROR(J52/J14,0)</f>
        <v>-1.91655941754212</v>
      </c>
      <c r="K53" s="14">
        <f>IFERROR(K52/K14,0)</f>
        <v>-0.414875002164221</v>
      </c>
      <c r="L53" s="14">
        <f>IFERROR(L52/L14,0)</f>
        <v>-0.177271474426808</v>
      </c>
      <c r="M53" s="14">
        <f>IFERROR(M52/M14,0)</f>
        <v>0.22992317927872</v>
      </c>
      <c r="N53" s="14">
        <f>IFERROR(N52/N14,0)</f>
        <v>0.328927795123789</v>
      </c>
      <c r="O53" s="30">
        <f>IFERROR(O52/O14,0)</f>
        <v>0.0346494866413787</v>
      </c>
      <c r="P53" s="14">
        <f>IFERROR(P52/P14,0)</f>
        <v>0.115868572719841</v>
      </c>
      <c r="Q53" s="14">
        <f>IFERROR(Q52/Q14,0)</f>
        <v>0.133410581223291</v>
      </c>
      <c r="R53" s="14">
        <f>IFERROR(R52/R14,0)</f>
        <v>0.123691642549576</v>
      </c>
      <c r="S53" s="14">
        <f>IFERROR(S52/S14,0)</f>
        <v>0.119534887178027</v>
      </c>
      <c r="T53" s="14">
        <f>IFERROR(T52/T14,0)</f>
        <v>0.106247102130239</v>
      </c>
      <c r="U53" s="14">
        <f>IFERROR(U52/U14,0)</f>
        <v>0.125981093899195</v>
      </c>
      <c r="V53" s="14">
        <f>IFERROR(V52/V14,0)</f>
        <v>0.105682099933421</v>
      </c>
      <c r="W53" s="14">
        <f>IFERROR(W52/W14,0)</f>
        <v>0.0967941914164803</v>
      </c>
      <c r="X53" s="14">
        <f>IFERROR(X52/X14,0)</f>
        <v>0.0961677698896517</v>
      </c>
      <c r="Y53" s="14">
        <f>IFERROR(Y52/Y14,0)</f>
        <v>0.111082220349797</v>
      </c>
      <c r="Z53" s="14">
        <f>IFERROR(Z52/Z14,0)</f>
        <v>0.092069753607169</v>
      </c>
      <c r="AA53" s="14">
        <f>IFERROR(AA52/AA14,0)</f>
        <v>0.0915910974565565</v>
      </c>
      <c r="AB53" s="30">
        <f>IFERROR(AB52/AB14,0)</f>
        <v>0.109574273207396</v>
      </c>
      <c r="AC53" s="31">
        <f>IFERROR(AC52/AC14,0)</f>
        <v>0.0993793298704761</v>
      </c>
      <c r="AD53" s="31">
        <f>IFERROR(AD52/AD14,0)</f>
        <v>0.10439258953401</v>
      </c>
      <c r="AE53" s="31">
        <f>IFERROR(AE52/AE14,0)</f>
        <v>0.124930735701517</v>
      </c>
      <c r="AF53" s="14">
        <f>IFERROR(AF52/AF14,0)</f>
        <v>0.115497599979765</v>
      </c>
    </row>
    <row r="54"/>
    <row r="55">
      <c r="A55" s="3" t="inlineStr">
        <is>
          <t>참고 지표</t>
        </is>
      </c>
    </row>
    <row r="56">
      <c r="A56" s="15" t="inlineStr">
        <is>
          <t>EBITDA(영업이익 + 감가·상각)</t>
        </is>
      </c>
      <c r="C56" s="43">
        <f>C42+C38</f>
        <v>-16240.4206</v>
      </c>
      <c r="D56" s="43">
        <f>D42+D38</f>
        <v>-21198.9946</v>
      </c>
      <c r="E56" s="43">
        <f>E42+E38</f>
        <v>-12170.4308</v>
      </c>
      <c r="F56" s="43">
        <f>F42+F38</f>
        <v>-29377.151</v>
      </c>
      <c r="G56" s="43">
        <f>G42+G38</f>
        <v>-26554.9632</v>
      </c>
      <c r="H56" s="43">
        <f>H42+H38</f>
        <v>-14908.4636</v>
      </c>
      <c r="I56" s="43">
        <f>I42+I38</f>
        <v>-28102.8466</v>
      </c>
      <c r="J56" s="43">
        <f>J42+J38</f>
        <v>-31166.9866</v>
      </c>
      <c r="K56" s="43">
        <f>K42+K38</f>
        <v>-19505.0096</v>
      </c>
      <c r="L56" s="43">
        <f>L42+L38</f>
        <v>-12899.411</v>
      </c>
      <c r="M56" s="43">
        <f>M42+M38</f>
        <v>57075.373</v>
      </c>
      <c r="N56" s="43">
        <f>N42+N38</f>
        <v>195191.5565</v>
      </c>
      <c r="O56" s="44">
        <f>O42+O38</f>
        <v>40142.2519000002</v>
      </c>
      <c r="P56" s="43">
        <f>P42+P38</f>
        <v>96864.75512</v>
      </c>
      <c r="Q56" s="43">
        <f>Q42+Q38</f>
        <v>128296.77112</v>
      </c>
      <c r="R56" s="43">
        <f>R42+R38</f>
        <v>114774.78712</v>
      </c>
      <c r="S56" s="43">
        <f>S42+S38</f>
        <v>112206.80312</v>
      </c>
      <c r="T56" s="43">
        <f>T42+T38</f>
        <v>98070.81912</v>
      </c>
      <c r="U56" s="43">
        <f>U42+U38</f>
        <v>133351.71512</v>
      </c>
      <c r="V56" s="43">
        <f>V42+V38</f>
        <v>103709.73112</v>
      </c>
      <c r="W56" s="43">
        <f>W42+W38</f>
        <v>94542.86712</v>
      </c>
      <c r="X56" s="43">
        <f>X42+X38</f>
        <v>96526.88312</v>
      </c>
      <c r="Y56" s="43">
        <f>Y42+Y38</f>
        <v>125965.15512</v>
      </c>
      <c r="Z56" s="43">
        <f>Z42+Z38</f>
        <v>100608.30712</v>
      </c>
      <c r="AA56" s="43">
        <f>AA42+AA38</f>
        <v>104125.00912</v>
      </c>
      <c r="AB56" s="44">
        <f>AB42+AB38</f>
        <v>1309043.60344</v>
      </c>
      <c r="AC56" s="45">
        <f>AC42+AC38</f>
        <v>4262837.9589184</v>
      </c>
      <c r="AD56" s="45">
        <f>AD42+AD38</f>
        <v>10314240.7869625</v>
      </c>
      <c r="AE56" s="45">
        <f>AE42+AE38</f>
        <v>26410233.9988255</v>
      </c>
      <c r="AF56" s="43">
        <f>AF42+AF38</f>
        <v>42336498.6000464</v>
      </c>
    </row>
    <row r="57">
      <c r="A57" s="15" t="inlineStr">
        <is>
          <t xml:space="preserve">  EBITDA 마진</t>
        </is>
      </c>
      <c r="C57" s="14">
        <f>IFERROR(C56/C14,0)</f>
        <v>-0.29910346059635</v>
      </c>
      <c r="D57" s="14">
        <f>IFERROR(D56/D14,0)</f>
        <v>-0.503252174532333</v>
      </c>
      <c r="E57" s="14">
        <f>IFERROR(E56/E14,0)</f>
        <v>-0.182871000120207</v>
      </c>
      <c r="F57" s="14">
        <f>IFERROR(F56/F14,0)</f>
        <v>-1.40098006581144</v>
      </c>
      <c r="G57" s="14">
        <f>IFERROR(G56/G14,0)</f>
        <v>-0.927004230957202</v>
      </c>
      <c r="H57" s="14">
        <f>IFERROR(H56/H14,0)</f>
        <v>-0.246918804862698</v>
      </c>
      <c r="I57" s="14">
        <f>IFERROR(I56/I14,0)</f>
        <v>-1.15274812748677</v>
      </c>
      <c r="J57" s="14">
        <f>IFERROR(J56/J14,0)</f>
        <v>-1.93740203891341</v>
      </c>
      <c r="K57" s="14">
        <f>IFERROR(K56/K14,0)</f>
        <v>-0.422131532701381</v>
      </c>
      <c r="L57" s="14">
        <f>IFERROR(L56/L14,0)</f>
        <v>-0.182002271604938</v>
      </c>
      <c r="M57" s="14">
        <f>IFERROR(M56/M14,0)</f>
        <v>0.228580360039248</v>
      </c>
      <c r="N57" s="14">
        <f>IFERROR(N56/N14,0)</f>
        <v>0.328363739975809</v>
      </c>
      <c r="O57" s="30">
        <f>IFERROR(O56/O14,0)</f>
        <v>0.0314928877452154</v>
      </c>
      <c r="P57" s="14">
        <f>IFERROR(P56/P14,0)</f>
        <v>0.141827673223764</v>
      </c>
      <c r="Q57" s="14">
        <f>IFERROR(Q56/Q14,0)</f>
        <v>0.154802897191638</v>
      </c>
      <c r="R57" s="14">
        <f>IFERROR(R56/R14,0)</f>
        <v>0.146289121014562</v>
      </c>
      <c r="S57" s="14">
        <f>IFERROR(S56/S14,0)</f>
        <v>0.14196653882018</v>
      </c>
      <c r="T57" s="14">
        <f>IFERROR(T56/T14,0)</f>
        <v>0.129693284120739</v>
      </c>
      <c r="U57" s="14">
        <f>IFERROR(U56/U14,0)</f>
        <v>0.145298918711013</v>
      </c>
      <c r="V57" s="14">
        <f>IFERROR(V56/V14,0)</f>
        <v>0.127474087969763</v>
      </c>
      <c r="W57" s="14">
        <f>IFERROR(W56/W14,0)</f>
        <v>0.119135390000945</v>
      </c>
      <c r="X57" s="14">
        <f>IFERROR(X56/X14,0)</f>
        <v>0.117805501900839</v>
      </c>
      <c r="Y57" s="14">
        <f>IFERROR(Y56/Y14,0)</f>
        <v>0.129277901341886</v>
      </c>
      <c r="Z57" s="14">
        <f>IFERROR(Z56/Z14,0)</f>
        <v>0.111765275774155</v>
      </c>
      <c r="AA57" s="14">
        <f>IFERROR(AA56/AA14,0)</f>
        <v>0.110386694357425</v>
      </c>
      <c r="AB57" s="30">
        <f>IFERROR(AB56/AB14,0)</f>
        <v>0.130838940873563</v>
      </c>
      <c r="AC57" s="31">
        <f>IFERROR(AC56/AC14,0)</f>
        <v>0.129176907846012</v>
      </c>
      <c r="AD57" s="31">
        <f>IFERROR(AD56/AD14,0)</f>
        <v>0.147346296956607</v>
      </c>
      <c r="AE57" s="31">
        <f>IFERROR(AE56/AE14,0)</f>
        <v>0.169296371787343</v>
      </c>
      <c r="AF57" s="14">
        <f>IFERROR(AF56/AF14,0)</f>
        <v>0.156639611540286</v>
      </c>
    </row>
    <row r="58">
      <c r="A58" s="15" t="inlineStr">
        <is>
          <t>인원(기말, 명)</t>
        </is>
      </c>
      <c r="B58" s="29" t="inlineStr">
        <is>
          <t>7_비용인력</t>
        </is>
      </c>
      <c r="C58" s="17">
        <f>'7_비용인력'!C14</f>
        <v>7</v>
      </c>
      <c r="D58" s="17">
        <f>'7_비용인력'!D14</f>
        <v>7</v>
      </c>
      <c r="E58" s="17">
        <f>'7_비용인력'!E14</f>
        <v>7</v>
      </c>
      <c r="F58" s="17">
        <f>'7_비용인력'!F14</f>
        <v>7</v>
      </c>
      <c r="G58" s="17">
        <f>'7_비용인력'!G14</f>
        <v>7</v>
      </c>
      <c r="H58" s="17">
        <f>'7_비용인력'!H14</f>
        <v>7</v>
      </c>
      <c r="I58" s="17">
        <f>'7_비용인력'!I14</f>
        <v>7</v>
      </c>
      <c r="J58" s="17">
        <f>'7_비용인력'!J14</f>
        <v>7</v>
      </c>
      <c r="K58" s="17">
        <f>'7_비용인력'!K14</f>
        <v>7</v>
      </c>
      <c r="L58" s="17">
        <f>'7_비용인력'!L14</f>
        <v>7</v>
      </c>
      <c r="M58" s="17">
        <f>'7_비용인력'!M14</f>
        <v>7</v>
      </c>
      <c r="N58" s="17">
        <f>'7_비용인력'!N14</f>
        <v>7</v>
      </c>
      <c r="O58" s="46">
        <f>'7_비용인력'!O14</f>
        <v>7</v>
      </c>
      <c r="P58" s="17">
        <f>'7_비용인력'!P14</f>
        <v>8</v>
      </c>
      <c r="Q58" s="17">
        <f>'7_비용인력'!Q14</f>
        <v>9</v>
      </c>
      <c r="R58" s="17">
        <f>'7_비용인력'!R14</f>
        <v>10</v>
      </c>
      <c r="S58" s="17">
        <f>'7_비용인력'!S14</f>
        <v>11</v>
      </c>
      <c r="T58" s="17">
        <f>'7_비용인력'!T14</f>
        <v>12</v>
      </c>
      <c r="U58" s="17">
        <f>'7_비용인력'!U14</f>
        <v>13</v>
      </c>
      <c r="V58" s="17">
        <f>'7_비용인력'!V14</f>
        <v>14</v>
      </c>
      <c r="W58" s="17">
        <f>'7_비용인력'!W14</f>
        <v>15</v>
      </c>
      <c r="X58" s="17">
        <f>'7_비용인력'!X14</f>
        <v>16</v>
      </c>
      <c r="Y58" s="17">
        <f>'7_비용인력'!Y14</f>
        <v>18</v>
      </c>
      <c r="Z58" s="17">
        <f>'7_비용인력'!Z14</f>
        <v>20</v>
      </c>
      <c r="AA58" s="17">
        <f>'7_비용인력'!AA14</f>
        <v>22</v>
      </c>
      <c r="AB58" s="46">
        <f>'7_비용인력'!AB14</f>
        <v>22</v>
      </c>
      <c r="AC58" s="47">
        <f>'7_비용인력'!AC14</f>
        <v>85</v>
      </c>
      <c r="AD58" s="47">
        <f>'7_비용인력'!AD14</f>
        <v>130</v>
      </c>
      <c r="AE58" s="47">
        <f>'7_비용인력'!AE14</f>
        <v>260</v>
      </c>
    </row>
    <row r="59">
      <c r="A59" s="15" t="inlineStr">
        <is>
          <t>인당 매출(백만원, 연환산)</t>
        </is>
      </c>
      <c r="B59" s="29" t="inlineStr">
        <is>
          <t>매출 ÷ 평균 인원</t>
        </is>
      </c>
      <c r="O59" s="46">
        <f>IFERROR(O14/1000/'7_비용인력'!O15,0)</f>
        <v>182.092142857143</v>
      </c>
      <c r="AB59" s="46">
        <f>IFERROR(AB14/1000/'7_비용인력'!AB15,0)</f>
        <v>714.642857142857</v>
      </c>
      <c r="AC59" s="47">
        <f>IFERROR(AC14/1000/'7_비용인력'!AC15,0)</f>
        <v>616.822429906542</v>
      </c>
      <c r="AD59" s="47">
        <f>IFERROR(AD14/1000/'7_비용인력'!AD15,0)</f>
        <v>651.162790697674</v>
      </c>
      <c r="AE59" s="47">
        <f>IFERROR(AE14/1000/'7_비용인력'!AE15,0)</f>
        <v>800</v>
      </c>
    </row>
    <row r="60">
      <c r="A60" s="15" t="inlineStr">
        <is>
          <t>추정 유료 이용자(명, 평균)</t>
        </is>
      </c>
      <c r="B60" s="29" t="inlineStr">
        <is>
          <t>구독형 매출 ÷ ARPU(120만원)</t>
        </is>
      </c>
      <c r="C60" s="18">
        <f>'5_매출_제품지역'!C51</f>
        <v>542.97</v>
      </c>
      <c r="D60" s="18">
        <f>'5_매출_제품지역'!D51</f>
        <v>421.24</v>
      </c>
      <c r="E60" s="18">
        <f>'5_매출_제품지역'!E51</f>
        <v>665.52</v>
      </c>
      <c r="F60" s="18">
        <f>'5_매출_제품지역'!F51</f>
        <v>209.69</v>
      </c>
      <c r="G60" s="18">
        <f>'5_매출_제품지역'!G51</f>
        <v>286.46</v>
      </c>
      <c r="H60" s="18">
        <f>'5_매출_제품지역'!H51</f>
        <v>603.78</v>
      </c>
      <c r="I60" s="18">
        <f>'5_매출_제품지역'!I51</f>
        <v>243.79</v>
      </c>
      <c r="J60" s="18">
        <f>'5_매출_제품지역'!J51</f>
        <v>160.87</v>
      </c>
      <c r="K60" s="18">
        <f>'5_매출_제품지역'!K51</f>
        <v>462.06</v>
      </c>
      <c r="L60" s="18">
        <f>'5_매출_제품지역'!L51</f>
        <v>236.25</v>
      </c>
      <c r="M60" s="18">
        <f>'5_매출_제품지역'!M51</f>
        <v>2496.95</v>
      </c>
      <c r="N60" s="18">
        <f>'5_매출_제품지역'!N51</f>
        <v>5310.9345</v>
      </c>
      <c r="O60" s="48">
        <f>'5_매출_제품지역'!AA51</f>
        <v>970.042875</v>
      </c>
      <c r="P60" s="18">
        <f>'5_매출_제품지역'!O51</f>
        <v>6670.7575</v>
      </c>
      <c r="Q60" s="18">
        <f>'5_매출_제품지역'!P51</f>
        <v>8085.0175</v>
      </c>
      <c r="R60" s="18">
        <f>'5_매출_제품지역'!Q51</f>
        <v>7171.2775</v>
      </c>
      <c r="S60" s="18">
        <f>'5_매출_제품지역'!R51</f>
        <v>7130.5375</v>
      </c>
      <c r="T60" s="18">
        <f>'5_매출_제품지역'!S51</f>
        <v>7283.7975</v>
      </c>
      <c r="U60" s="18">
        <f>'5_매출_제품지역'!T51</f>
        <v>8851.3175</v>
      </c>
      <c r="V60" s="18">
        <f>'5_매출_제품지역'!U51</f>
        <v>7837.5775</v>
      </c>
      <c r="W60" s="18">
        <f>'5_매출_제품지역'!V51</f>
        <v>7643.5775</v>
      </c>
      <c r="X60" s="18">
        <f>'5_매출_제품지역'!W51</f>
        <v>7896.8375</v>
      </c>
      <c r="Y60" s="18">
        <f>'5_매출_제품지역'!X51</f>
        <v>9400.3375</v>
      </c>
      <c r="Z60" s="18">
        <f>'5_매출_제품지역'!Y51</f>
        <v>8656.5975</v>
      </c>
      <c r="AA60" s="18">
        <f>'5_매출_제품지역'!Z51</f>
        <v>8688.8575</v>
      </c>
      <c r="AB60" s="48">
        <f>'5_매출_제품지역'!AB51</f>
        <v>7943.04083333333</v>
      </c>
      <c r="AC60" s="24">
        <f>'5_매출_제품지역'!AC51</f>
        <v>25179.2540666667</v>
      </c>
      <c r="AD60" s="24">
        <f>'5_매출_제품지역'!AD51</f>
        <v>50559.3370183333</v>
      </c>
      <c r="AE60" s="24">
        <f>'5_매출_제품지역'!AE51</f>
        <v>106269.147243867</v>
      </c>
    </row>
    <row r="61">
      <c r="A61" s="15" t="inlineStr">
        <is>
          <t>IR 매출 목표</t>
        </is>
      </c>
      <c r="B61" s="29" t="inlineStr">
        <is>
          <t>IR p.24</t>
        </is>
      </c>
      <c r="O61" s="48">
        <f>'8_가정'!$C$6</f>
        <v>1200000</v>
      </c>
      <c r="AB61" s="48">
        <f>'8_가정'!$D$6</f>
        <v>10005000</v>
      </c>
      <c r="AC61" s="24">
        <f>'8_가정'!$E$6</f>
        <v>33000000</v>
      </c>
      <c r="AD61" s="24">
        <f>'8_가정'!$F$6</f>
        <v>70000000</v>
      </c>
      <c r="AE61" s="24">
        <f>'8_가정'!$G$6</f>
        <v>156000000</v>
      </c>
      <c r="AF61" s="25">
        <f>O61+AB61+AC61+AD61+AE61</f>
        <v>270205000</v>
      </c>
    </row>
    <row r="62">
      <c r="A62" s="15" t="inlineStr">
        <is>
          <t>IR 대비 달성률</t>
        </is>
      </c>
      <c r="O62" s="49">
        <f>IFERROR(O14/O61,0)</f>
        <v>1.06220416666667</v>
      </c>
      <c r="AB62" s="49">
        <f>IFERROR(AB14/AB61,0)</f>
        <v>1</v>
      </c>
      <c r="AC62" s="50">
        <f>IFERROR(AC14/AC61,0)</f>
        <v>1</v>
      </c>
      <c r="AD62" s="50">
        <f>IFERROR(AD14/AD61,0)</f>
        <v>1</v>
      </c>
      <c r="AE62" s="50">
        <f>IFERROR(AE14/AE61,0)</f>
        <v>1</v>
      </c>
      <c r="AF62" s="51">
        <f>IFERROR(AF14/AF61,0)</f>
        <v>1.00027625321515</v>
      </c>
    </row>
    <row r="63"/>
    <row r="64">
      <c r="A64" s="52" t="inlineStr">
        <is>
          <t>※ 매출은 거래처별 빌드(4_매출_거래처)에서 제품 믹스(8_가정)로 배분되며, 2026~27 월별은 거래처별 시작월·램프, 2028~30은 연간 성장·신규 파이프라인으로 산출합니다.</t>
        </is>
      </c>
    </row>
    <row r="65">
      <c r="A65" s="52" t="inlineStr">
        <is>
          <t>※ 2026-01~09는 회계 확정 전 추정치입니다(실적 자료 없음). 확정되면 해당 월 셀을 실적 값으로 덮어쓰세요.</t>
        </is>
      </c>
    </row>
    <row r="66">
      <c r="A66" s="52" t="inlineStr">
        <is>
          <t>※ 매출원가는 제품별 원가율 + 운영성 원가, 판관비는 인원·변동비율·고정비로 산출(7_비용인력·8_가정).</t>
        </is>
      </c>
    </row>
  </sheetData>
  <pageMargins left="0.75" right="0.75" top="1" bottom="1" header="0.5" footer="0.5"/>
  <pageSetup orientation="landscape" fitToHeight="0" fitToWidth="1"/>
</worksheet>
</file>

<file path=xl/worksheets/sheet3.xml><?xml version="1.0" encoding="utf-8"?>
<worksheet xmlns="http://schemas.openxmlformats.org/spreadsheetml/2006/main">
  <sheetPr>
    <tabColor rgb="001F3864"/>
    <outlinePr summaryBelow="1" summaryRight="1"/>
    <pageSetUpPr fitToPage="1"/>
  </sheetPr>
  <dimension ref="A1:I68"/>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3_연간손익 — 2024A~2030E 연간 요약</t>
        </is>
      </c>
    </row>
    <row r="2">
      <c r="A2" s="2" t="inlineStr">
        <is>
          <t>단위: 천원. 2024·2025 = 투자사 양식 IS(2025 감사보고서, 효림회계법인 적정의견), 2026E~ = 손익계산서 시트(선택 시나리오).</t>
        </is>
      </c>
    </row>
    <row r="3"/>
    <row r="4"/>
    <row r="5">
      <c r="A5" s="21" t="inlineStr">
        <is>
          <t>구분</t>
        </is>
      </c>
      <c r="B5" s="11" t="inlineStr">
        <is>
          <t>2024A</t>
        </is>
      </c>
      <c r="C5" s="11" t="inlineStr">
        <is>
          <t>2025A</t>
        </is>
      </c>
      <c r="D5" s="11" t="inlineStr">
        <is>
          <t>2026E</t>
        </is>
      </c>
      <c r="E5" s="11" t="inlineStr">
        <is>
          <t>2027E</t>
        </is>
      </c>
      <c r="F5" s="11" t="inlineStr">
        <is>
          <t>2028E</t>
        </is>
      </c>
      <c r="G5" s="11" t="inlineStr">
        <is>
          <t>2029E</t>
        </is>
      </c>
      <c r="H5" s="11" t="inlineStr">
        <is>
          <t>2030E</t>
        </is>
      </c>
      <c r="I5" s="11" t="inlineStr">
        <is>
          <t>CAGR('25~'30)</t>
        </is>
      </c>
    </row>
    <row r="6">
      <c r="A6" s="22" t="inlineStr"/>
      <c r="B6" s="22" t="inlineStr">
        <is>
          <t>실적</t>
        </is>
      </c>
      <c r="C6" s="22" t="inlineStr">
        <is>
          <t>실적</t>
        </is>
      </c>
      <c r="D6" s="22" t="inlineStr">
        <is>
          <t>추정+계획</t>
        </is>
      </c>
      <c r="E6" s="22" t="inlineStr">
        <is>
          <t>계획</t>
        </is>
      </c>
      <c r="F6" s="22" t="inlineStr">
        <is>
          <t>계획</t>
        </is>
      </c>
      <c r="G6" s="22" t="inlineStr">
        <is>
          <t>계획</t>
        </is>
      </c>
      <c r="H6" s="22" t="inlineStr">
        <is>
          <t>계획</t>
        </is>
      </c>
      <c r="I6" s="22" t="inlineStr"/>
    </row>
    <row r="7">
      <c r="A7" s="12" t="inlineStr">
        <is>
          <t>매출액</t>
        </is>
      </c>
      <c r="B7" s="53" t="n">
        <v>810523.323</v>
      </c>
      <c r="C7" s="53" t="n">
        <v>854163.091</v>
      </c>
      <c r="D7" s="36">
        <f>'2_손익계산서'!O14</f>
        <v>1274645</v>
      </c>
      <c r="E7" s="36">
        <f>'2_손익계산서'!AB14</f>
        <v>10005000</v>
      </c>
      <c r="F7" s="36">
        <f>'2_손익계산서'!AC14</f>
        <v>33000000</v>
      </c>
      <c r="G7" s="36">
        <f>'2_손익계산서'!AD14</f>
        <v>70000000</v>
      </c>
      <c r="H7" s="36">
        <f>'2_손익계산서'!AE14</f>
        <v>156000000</v>
      </c>
      <c r="I7" s="14">
        <f>IFERROR((H7/C7)^(1/5)-1,"n/a")</f>
        <v>1.83345786870168</v>
      </c>
    </row>
    <row r="8">
      <c r="A8" s="54" t="inlineStr">
        <is>
          <t xml:space="preserve">  전년 대비 성장률</t>
        </is>
      </c>
      <c r="C8" s="14">
        <f>C7/B7-1</f>
        <v>0.0538414710121797</v>
      </c>
      <c r="D8" s="14">
        <f>IFERROR(D7/C7-1,0)</f>
        <v>0.492273563948691</v>
      </c>
      <c r="E8" s="14">
        <f>IFERROR(E7/D7-1,0)</f>
        <v>6.84924429939316</v>
      </c>
      <c r="F8" s="14">
        <f>IFERROR(F7/E7-1,0)</f>
        <v>2.29835082458771</v>
      </c>
      <c r="G8" s="14">
        <f>IFERROR(G7/F7-1,0)</f>
        <v>1.12121212121212</v>
      </c>
      <c r="H8" s="14">
        <f>IFERROR(H7/G7-1,0)</f>
        <v>1.22857142857143</v>
      </c>
    </row>
    <row r="9">
      <c r="A9" s="15" t="inlineStr">
        <is>
          <t>매출원가</t>
        </is>
      </c>
      <c r="B9" s="55" t="n">
        <v>333442.717</v>
      </c>
      <c r="C9" s="55" t="n">
        <v>400727.704</v>
      </c>
      <c r="D9" s="18">
        <f>'2_손익계산서'!O25</f>
        <v>641717.0961</v>
      </c>
      <c r="E9" s="18">
        <f>'2_손익계산서'!AB25</f>
        <v>6028898.33</v>
      </c>
      <c r="F9" s="18">
        <f>'2_손익계산서'!AC25</f>
        <v>19921631.7418</v>
      </c>
      <c r="G9" s="18">
        <f>'2_손익계산서'!AD25</f>
        <v>42066953.35736</v>
      </c>
      <c r="H9" s="18">
        <f>'2_손익계산서'!AE25</f>
        <v>92247564.5708596</v>
      </c>
    </row>
    <row r="10">
      <c r="A10" s="32" t="inlineStr">
        <is>
          <t>매출총이익</t>
        </is>
      </c>
      <c r="B10" s="33">
        <f>B7-B9</f>
        <v>477080.606</v>
      </c>
      <c r="C10" s="33">
        <f>C7-C9</f>
        <v>453435.387</v>
      </c>
      <c r="D10" s="33">
        <f>D7-D9</f>
        <v>632927.9039</v>
      </c>
      <c r="E10" s="33">
        <f>E7-E9</f>
        <v>3976101.67</v>
      </c>
      <c r="F10" s="33">
        <f>F7-F9</f>
        <v>13078368.2582</v>
      </c>
      <c r="G10" s="33">
        <f>G7-G9</f>
        <v>27933046.64264</v>
      </c>
      <c r="H10" s="33">
        <f>H7-H9</f>
        <v>63752435.4291404</v>
      </c>
      <c r="I10" s="14">
        <f>IFERROR((H10/C10)^(1/5)-1,"n/a")</f>
        <v>1.68903387922472</v>
      </c>
    </row>
    <row r="11">
      <c r="A11" s="54" t="inlineStr">
        <is>
          <t xml:space="preserve">  매출총이익률</t>
        </is>
      </c>
      <c r="B11" s="14">
        <f>IFERROR(B10/B7,0)</f>
        <v>0.588608115845668</v>
      </c>
      <c r="C11" s="14">
        <f>IFERROR(C10/C7,0)</f>
        <v>0.530853407010535</v>
      </c>
      <c r="D11" s="14">
        <f>IFERROR(D10/D7,0)</f>
        <v>0.496552298012388</v>
      </c>
      <c r="E11" s="14">
        <f>IFERROR(E10/E7,0)</f>
        <v>0.397411461269365</v>
      </c>
      <c r="F11" s="14">
        <f>IFERROR(F10/F7,0)</f>
        <v>0.396314189642424</v>
      </c>
      <c r="G11" s="14">
        <f>IFERROR(G10/G7,0)</f>
        <v>0.399043523466286</v>
      </c>
      <c r="H11" s="14">
        <f>IFERROR(H10/H7,0)</f>
        <v>0.408669457879105</v>
      </c>
    </row>
    <row r="12">
      <c r="A12" s="15" t="inlineStr">
        <is>
          <t>판매비와관리비</t>
        </is>
      </c>
      <c r="B12" s="55" t="n">
        <v>506844.642</v>
      </c>
      <c r="C12" s="55" t="n">
        <v>426639.596</v>
      </c>
      <c r="D12" s="18">
        <f>'2_손익계산서'!O41</f>
        <v>610785.652</v>
      </c>
      <c r="E12" s="18">
        <f>'2_손익계산서'!AB41</f>
        <v>3103011.06656</v>
      </c>
      <c r="F12" s="18">
        <f>'2_손익계산서'!AC41</f>
        <v>9343598.7026096</v>
      </c>
      <c r="G12" s="18">
        <f>'2_손익계산서'!AD41</f>
        <v>18308686.043434</v>
      </c>
      <c r="H12" s="18">
        <f>'2_손익계산서'!AE41</f>
        <v>38222595.3639206</v>
      </c>
    </row>
    <row r="13">
      <c r="A13" s="32" t="inlineStr">
        <is>
          <t>영업이익(손실)</t>
        </is>
      </c>
      <c r="B13" s="37">
        <f>B10-B12</f>
        <v>-29764.036</v>
      </c>
      <c r="C13" s="37">
        <f>C10-C12</f>
        <v>26795.791</v>
      </c>
      <c r="D13" s="37">
        <f>D10-D12</f>
        <v>22142.2519000002</v>
      </c>
      <c r="E13" s="37">
        <f>E10-E12</f>
        <v>873090.60344</v>
      </c>
      <c r="F13" s="37">
        <f>F10-F12</f>
        <v>3734769.5555904</v>
      </c>
      <c r="G13" s="37">
        <f>G10-G12</f>
        <v>9624360.59920603</v>
      </c>
      <c r="H13" s="37">
        <f>H10-H12</f>
        <v>25529840.0652198</v>
      </c>
      <c r="I13" s="14">
        <f>IFERROR((H13/C13)^(1/5)-1,"n/a")</f>
        <v>2.94272332798748</v>
      </c>
    </row>
    <row r="14">
      <c r="A14" s="54" t="inlineStr">
        <is>
          <t xml:space="preserve">  영업이익률</t>
        </is>
      </c>
      <c r="B14" s="14">
        <f>IFERROR(B13/B7,0)</f>
        <v>-0.0367219981898041</v>
      </c>
      <c r="C14" s="14">
        <f>IFERROR(C13/C7,0)</f>
        <v>0.0313708134691575</v>
      </c>
      <c r="D14" s="14">
        <f>IFERROR(D13/D7,0)</f>
        <v>0.0173713087957825</v>
      </c>
      <c r="E14" s="14">
        <f>IFERROR(E13/E7,0)</f>
        <v>0.0872654276301849</v>
      </c>
      <c r="F14" s="14">
        <f>IFERROR(F13/F7,0)</f>
        <v>0.113174835017891</v>
      </c>
      <c r="G14" s="14">
        <f>IFERROR(G13/G7,0)</f>
        <v>0.137490865702943</v>
      </c>
      <c r="H14" s="14">
        <f>IFERROR(H13/H7,0)</f>
        <v>0.163652820930896</v>
      </c>
    </row>
    <row r="15">
      <c r="A15" s="15" t="inlineStr">
        <is>
          <t>영업외수익</t>
        </is>
      </c>
      <c r="B15" s="55" t="n">
        <v>99422.60000000001</v>
      </c>
      <c r="C15" s="55" t="n">
        <v>35830.08</v>
      </c>
      <c r="D15" s="18">
        <f>'2_손익계산서'!O46</f>
        <v>79612.575</v>
      </c>
      <c r="E15" s="18">
        <f>'2_손익계산서'!AB46</f>
        <v>300000</v>
      </c>
      <c r="F15" s="18">
        <f>'2_손익계산서'!AC46</f>
        <v>100000</v>
      </c>
      <c r="G15" s="18">
        <f>'2_손익계산서'!AD46</f>
        <v>100000</v>
      </c>
      <c r="H15" s="18">
        <f>'2_손익계산서'!AE46</f>
        <v>100000</v>
      </c>
    </row>
    <row r="16">
      <c r="A16" s="54" t="inlineStr">
        <is>
          <t xml:space="preserve">  (정부보조금수익)</t>
        </is>
      </c>
      <c r="B16" s="56" t="n">
        <v>88251.93799999999</v>
      </c>
      <c r="C16" s="56" t="n">
        <v>30520.905</v>
      </c>
      <c r="D16" s="40">
        <f>'2_손익계산서'!O47</f>
        <v>79612.575</v>
      </c>
      <c r="E16" s="40">
        <f>'2_손익계산서'!AB47</f>
        <v>300000</v>
      </c>
      <c r="F16" s="40">
        <f>'2_손익계산서'!AC47</f>
        <v>100000</v>
      </c>
      <c r="G16" s="40">
        <f>'2_손익계산서'!AD47</f>
        <v>100000</v>
      </c>
      <c r="H16" s="40">
        <f>'2_손익계산서'!AE47</f>
        <v>100000</v>
      </c>
    </row>
    <row r="17">
      <c r="A17" s="15" t="inlineStr">
        <is>
          <t>영업외비용</t>
        </is>
      </c>
      <c r="B17" s="55" t="n">
        <v>62966.483</v>
      </c>
      <c r="C17" s="55" t="n">
        <v>57458.686</v>
      </c>
      <c r="D17" s="18">
        <f>'2_손익계산서'!O48</f>
        <v>57589.032</v>
      </c>
      <c r="E17" s="18">
        <f>'2_손익계산서'!AB48</f>
        <v>76800</v>
      </c>
      <c r="F17" s="18">
        <f>'2_손익계산서'!AC48</f>
        <v>192000</v>
      </c>
      <c r="G17" s="18">
        <f>'2_손익계산서'!AD48</f>
        <v>384000</v>
      </c>
      <c r="H17" s="18">
        <f>'2_손익계산서'!AE48</f>
        <v>528000</v>
      </c>
    </row>
    <row r="18">
      <c r="A18" s="54" t="inlineStr">
        <is>
          <t xml:space="preserve">  (이자비용)</t>
        </is>
      </c>
      <c r="B18" s="56" t="n">
        <v>47544.865</v>
      </c>
      <c r="C18" s="56" t="n">
        <v>49788.161</v>
      </c>
      <c r="D18" s="40">
        <f>'2_손익계산서'!O49</f>
        <v>57589.032</v>
      </c>
      <c r="E18" s="40">
        <f>'2_손익계산서'!AB49</f>
        <v>76800</v>
      </c>
      <c r="F18" s="40">
        <f>'2_손익계산서'!AC49</f>
        <v>192000</v>
      </c>
      <c r="G18" s="40">
        <f>'2_손익계산서'!AD49</f>
        <v>384000</v>
      </c>
      <c r="H18" s="40">
        <f>'2_손익계산서'!AE49</f>
        <v>528000</v>
      </c>
    </row>
    <row r="19">
      <c r="A19" s="12" t="inlineStr">
        <is>
          <t>법인세차감전순이익</t>
        </is>
      </c>
      <c r="B19" s="25">
        <f>B13+B15-B17</f>
        <v>6692.08099999998</v>
      </c>
      <c r="C19" s="25">
        <f>C13+C15-C17</f>
        <v>5167.18499999997</v>
      </c>
      <c r="D19" s="25">
        <f>D13+D15-D17</f>
        <v>44165.7949000002</v>
      </c>
      <c r="E19" s="25">
        <f>E13+E15-E17</f>
        <v>1096290.60344</v>
      </c>
      <c r="F19" s="25">
        <f>F13+F15-F17</f>
        <v>3642769.5555904</v>
      </c>
      <c r="G19" s="25">
        <f>G13+G15-G17</f>
        <v>9340360.59920603</v>
      </c>
      <c r="H19" s="25">
        <f>H13+H15-H17</f>
        <v>25101840.0652198</v>
      </c>
    </row>
    <row r="20">
      <c r="A20" s="15" t="inlineStr">
        <is>
          <t>법인세등</t>
        </is>
      </c>
      <c r="B20" s="55" t="n">
        <v>0</v>
      </c>
      <c r="C20" s="55" t="n">
        <v>0</v>
      </c>
      <c r="D20" s="18">
        <f>'2_손익계산서'!O51</f>
        <v>0</v>
      </c>
      <c r="E20" s="18">
        <f>'2_손익계산서'!AB51</f>
        <v>0</v>
      </c>
      <c r="F20" s="18">
        <f>'2_손익계산서'!AC51</f>
        <v>363251.669864688</v>
      </c>
      <c r="G20" s="18">
        <f>'2_손익계산서'!AD51</f>
        <v>2032879.33182533</v>
      </c>
      <c r="H20" s="18">
        <f>'2_손익계산서'!AE51</f>
        <v>5612645.29578318</v>
      </c>
    </row>
    <row r="21">
      <c r="A21" s="32" t="inlineStr">
        <is>
          <t>당기순이익(손실)</t>
        </is>
      </c>
      <c r="B21" s="37">
        <f>B19-B20</f>
        <v>6692.08099999998</v>
      </c>
      <c r="C21" s="37">
        <f>C19-C20</f>
        <v>5167.18499999997</v>
      </c>
      <c r="D21" s="37">
        <f>D19-D20</f>
        <v>44165.7949000002</v>
      </c>
      <c r="E21" s="37">
        <f>E19-E20</f>
        <v>1096290.60344</v>
      </c>
      <c r="F21" s="37">
        <f>F19-F20</f>
        <v>3279517.88572571</v>
      </c>
      <c r="G21" s="37">
        <f>G19-G20</f>
        <v>7307481.2673807</v>
      </c>
      <c r="H21" s="37">
        <f>H19-H20</f>
        <v>19489194.7694366</v>
      </c>
      <c r="I21" s="14">
        <f>IFERROR((H21/C21)^(1/5)-1,"n/a")</f>
        <v>4.19168072961598</v>
      </c>
    </row>
    <row r="22">
      <c r="A22" s="54" t="inlineStr">
        <is>
          <t xml:space="preserve">  순이익률</t>
        </is>
      </c>
      <c r="B22" s="14">
        <f>IFERROR(B21/B7,0)</f>
        <v>0.00825649405772866</v>
      </c>
      <c r="C22" s="14">
        <f>IFERROR(C21/C7,0)</f>
        <v>0.00604941264079973</v>
      </c>
      <c r="D22" s="14">
        <f>IFERROR(D21/D7,0)</f>
        <v>0.0346494866413787</v>
      </c>
      <c r="E22" s="14">
        <f>IFERROR(E21/E7,0)</f>
        <v>0.109574273207396</v>
      </c>
      <c r="F22" s="14">
        <f>IFERROR(F21/F7,0)</f>
        <v>0.0993793298704761</v>
      </c>
      <c r="G22" s="14">
        <f>IFERROR(G21/G7,0)</f>
        <v>0.10439258953401</v>
      </c>
      <c r="H22" s="14">
        <f>IFERROR(H21/H7,0)</f>
        <v>0.124930735701517</v>
      </c>
    </row>
    <row r="23">
      <c r="A23" s="15" t="inlineStr">
        <is>
          <t>EBITDA</t>
        </is>
      </c>
      <c r="D23" s="18">
        <f>'2_손익계산서'!O56</f>
        <v>40142.2519000002</v>
      </c>
      <c r="E23" s="18">
        <f>'2_손익계산서'!AB56</f>
        <v>1309043.60344</v>
      </c>
      <c r="F23" s="18">
        <f>'2_손익계산서'!AC56</f>
        <v>4262837.9589184</v>
      </c>
      <c r="G23" s="18">
        <f>'2_손익계산서'!AD56</f>
        <v>10314240.7869625</v>
      </c>
      <c r="H23" s="18">
        <f>'2_손익계산서'!AE56</f>
        <v>26410233.9988255</v>
      </c>
    </row>
    <row r="24">
      <c r="A24" s="15" t="inlineStr">
        <is>
          <t>인원(기말, 명)</t>
        </is>
      </c>
      <c r="D24" s="17">
        <f>'2_손익계산서'!O58</f>
        <v>7</v>
      </c>
      <c r="E24" s="17">
        <f>'2_손익계산서'!AB58</f>
        <v>22</v>
      </c>
      <c r="F24" s="17">
        <f>'2_손익계산서'!AC58</f>
        <v>85</v>
      </c>
      <c r="G24" s="17">
        <f>'2_손익계산서'!AD58</f>
        <v>130</v>
      </c>
      <c r="H24" s="17">
        <f>'2_손익계산서'!AE58</f>
        <v>260</v>
      </c>
    </row>
    <row r="25">
      <c r="A25" s="15" t="inlineStr">
        <is>
          <t>인당 매출(백만원)</t>
        </is>
      </c>
      <c r="D25" s="17">
        <f>'2_손익계산서'!O59</f>
        <v>182.092142857143</v>
      </c>
      <c r="E25" s="17">
        <f>'2_손익계산서'!AB59</f>
        <v>714.642857142857</v>
      </c>
      <c r="F25" s="17">
        <f>'2_손익계산서'!AC59</f>
        <v>616.822429906542</v>
      </c>
      <c r="G25" s="17">
        <f>'2_손익계산서'!AD59</f>
        <v>651.162790697674</v>
      </c>
      <c r="H25" s="17">
        <f>'2_손익계산서'!AE59</f>
        <v>800</v>
      </c>
    </row>
    <row r="26">
      <c r="A26" s="15" t="inlineStr">
        <is>
          <t>추정 유료 이용자(명, 평균)</t>
        </is>
      </c>
      <c r="D26" s="18">
        <f>'2_손익계산서'!O60</f>
        <v>970.042875</v>
      </c>
      <c r="E26" s="18">
        <f>'2_손익계산서'!AB60</f>
        <v>7943.04083333333</v>
      </c>
      <c r="F26" s="18">
        <f>'2_손익계산서'!AC60</f>
        <v>25179.2540666667</v>
      </c>
      <c r="G26" s="18">
        <f>'2_손익계산서'!AD60</f>
        <v>50559.3370183333</v>
      </c>
      <c r="H26" s="18">
        <f>'2_손익계산서'!AE60</f>
        <v>106269.147243867</v>
      </c>
    </row>
    <row r="27">
      <c r="A27" s="15" t="inlineStr">
        <is>
          <t>IR 매출 목표</t>
        </is>
      </c>
      <c r="D27" s="18">
        <f>'8_가정'!$C$6</f>
        <v>1200000</v>
      </c>
      <c r="E27" s="18">
        <f>'8_가정'!$D$6</f>
        <v>10005000</v>
      </c>
      <c r="F27" s="18">
        <f>'8_가정'!$E$6</f>
        <v>33000000</v>
      </c>
      <c r="G27" s="18">
        <f>'8_가정'!$F$6</f>
        <v>70000000</v>
      </c>
      <c r="H27" s="18">
        <f>'8_가정'!$G$6</f>
        <v>156000000</v>
      </c>
    </row>
    <row r="28">
      <c r="A28" s="15" t="inlineStr">
        <is>
          <t>IR 대비 달성률</t>
        </is>
      </c>
      <c r="D28" s="57">
        <f>IFERROR(D7/D27,0)</f>
        <v>1.06220416666667</v>
      </c>
      <c r="E28" s="57">
        <f>IFERROR(E7/E27,0)</f>
        <v>1</v>
      </c>
      <c r="F28" s="57">
        <f>IFERROR(F7/F27,0)</f>
        <v>1</v>
      </c>
      <c r="G28" s="57">
        <f>IFERROR(G7/G27,0)</f>
        <v>1</v>
      </c>
      <c r="H28" s="57">
        <f>IFERROR(H7/H27,0)</f>
        <v>1</v>
      </c>
    </row>
    <row r="29">
      <c r="A29" s="58" t="inlineStr">
        <is>
          <t>검증: 당기순이익 − 손익계산서(0이어야 함)</t>
        </is>
      </c>
      <c r="D29" s="59">
        <f>D21-'2_손익계산서'!O52</f>
        <v>0</v>
      </c>
      <c r="E29" s="59">
        <f>E21-'2_손익계산서'!AB52</f>
        <v>0</v>
      </c>
      <c r="F29" s="59">
        <f>F21-'2_손익계산서'!AC52</f>
        <v>0</v>
      </c>
      <c r="G29" s="59">
        <f>G21-'2_손익계산서'!AD52</f>
        <v>0</v>
      </c>
      <c r="H29" s="59">
        <f>H21-'2_손익계산서'!AE52</f>
        <v>0</v>
      </c>
    </row>
    <row r="30"/>
    <row r="31">
      <c r="A31" s="3" t="inlineStr">
        <is>
          <t>제품별 매출</t>
        </is>
      </c>
    </row>
    <row r="32">
      <c r="A32" s="15" t="inlineStr">
        <is>
          <t>스마트 기저귀(전용 기저귀·패드, 소모품)</t>
        </is>
      </c>
      <c r="D32" s="18">
        <f>'5_매출_제품지역'!AA9</f>
        <v>783549.81</v>
      </c>
      <c r="E32" s="18">
        <f>'5_매출_제품지역'!AB9</f>
        <v>7071681</v>
      </c>
      <c r="F32" s="18">
        <f>'5_매출_제품지역'!AC9</f>
        <v>22312286.68</v>
      </c>
      <c r="G32" s="18">
        <f>'5_매출_제품지역'!AD9</f>
        <v>44047862.48</v>
      </c>
      <c r="H32" s="18">
        <f>'5_매출_제품지역'!AE9</f>
        <v>91099614.74168</v>
      </c>
    </row>
    <row r="33">
      <c r="A33" s="15" t="inlineStr">
        <is>
          <t>센서·BLE 게이트웨이(하드웨어)</t>
        </is>
      </c>
      <c r="D33" s="18">
        <f>'5_매출_제품지역'!AA10</f>
        <v>240591.32</v>
      </c>
      <c r="E33" s="18">
        <f>'5_매출_제품지역'!AB10</f>
        <v>1405186</v>
      </c>
      <c r="F33" s="18">
        <f>'5_매출_제품지역'!AC10</f>
        <v>4109516.96</v>
      </c>
      <c r="G33" s="18">
        <f>'5_매출_제품지역'!AD10</f>
        <v>8490677.282</v>
      </c>
      <c r="H33" s="18">
        <f>'5_매출_제품지역'!AE10</f>
        <v>18067723.89576</v>
      </c>
    </row>
    <row r="34">
      <c r="A34" s="15" t="inlineStr">
        <is>
          <t>앱·웹 모니터링 구독(SW·AI)</t>
        </is>
      </c>
      <c r="D34" s="18">
        <f>'5_매출_제품지역'!AA11</f>
        <v>139910.32</v>
      </c>
      <c r="E34" s="18">
        <f>'5_매출_제품지역'!AB11</f>
        <v>1054782</v>
      </c>
      <c r="F34" s="18">
        <f>'5_매출_제품지역'!AC11</f>
        <v>3793301.24</v>
      </c>
      <c r="G34" s="18">
        <f>'5_매출_제품지역'!AD11</f>
        <v>8132664.66</v>
      </c>
      <c r="H34" s="18">
        <f>'5_매출_제품지역'!AE11</f>
        <v>18355638.0552</v>
      </c>
    </row>
    <row r="35">
      <c r="A35" s="15" t="inlineStr">
        <is>
          <t>바이탈 모니터링 센서(60GHz, 2026 Q4 출시)</t>
        </is>
      </c>
      <c r="D35" s="18">
        <f>'5_매출_제품지역'!AA12</f>
        <v>0</v>
      </c>
      <c r="E35" s="18">
        <f>'5_매출_제품지역'!AB12</f>
        <v>183351</v>
      </c>
      <c r="F35" s="18">
        <f>'5_매출_제품지역'!AC12</f>
        <v>1665697.4</v>
      </c>
      <c r="G35" s="18">
        <f>'5_매출_제품지역'!AD12</f>
        <v>5666438.436</v>
      </c>
      <c r="H35" s="18">
        <f>'5_매출_제품지역'!AE12</f>
        <v>17287571.29568</v>
      </c>
    </row>
    <row r="36">
      <c r="A36" s="15" t="inlineStr">
        <is>
          <t>스마트 욕창 케어(2027 Q4 출시)</t>
        </is>
      </c>
      <c r="D36" s="18">
        <f>'5_매출_제품지역'!AA13</f>
        <v>0</v>
      </c>
      <c r="E36" s="18">
        <f>'5_매출_제품지역'!AB13</f>
        <v>0</v>
      </c>
      <c r="F36" s="18">
        <f>'5_매출_제품지역'!AC13</f>
        <v>393883.96</v>
      </c>
      <c r="G36" s="18">
        <f>'5_매출_제품지역'!AD13</f>
        <v>2211255.194</v>
      </c>
      <c r="H36" s="18">
        <f>'5_매출_제품지역'!AE13</f>
        <v>8071639.57504</v>
      </c>
    </row>
    <row r="37">
      <c r="A37" s="15" t="inlineStr">
        <is>
          <t>R&amp;D·PoC 용역</t>
        </is>
      </c>
      <c r="D37" s="18">
        <f>'5_매출_제품지역'!AA14</f>
        <v>110593.55</v>
      </c>
      <c r="E37" s="18">
        <f>'5_매출_제품지역'!AB14</f>
        <v>290000</v>
      </c>
      <c r="F37" s="18">
        <f>'5_매출_제품지역'!AC14</f>
        <v>725313.76</v>
      </c>
      <c r="G37" s="18">
        <f>'5_매출_제품지역'!AD14</f>
        <v>1451101.948</v>
      </c>
      <c r="H37" s="18">
        <f>'5_매출_제품지역'!AE14</f>
        <v>3117812.43664</v>
      </c>
    </row>
    <row r="38">
      <c r="A38" s="12" t="inlineStr">
        <is>
          <t>합계</t>
        </is>
      </c>
      <c r="D38" s="26">
        <f>SUM(D32:D37)</f>
        <v>1274645</v>
      </c>
      <c r="E38" s="26">
        <f>SUM(E32:E37)</f>
        <v>10005000</v>
      </c>
      <c r="F38" s="26">
        <f>SUM(F32:F37)</f>
        <v>33000000</v>
      </c>
      <c r="G38" s="26">
        <f>SUM(G32:G37)</f>
        <v>70000000</v>
      </c>
      <c r="H38" s="26">
        <f>SUM(H32:H37)</f>
        <v>156000000</v>
      </c>
    </row>
    <row r="39"/>
    <row r="40">
      <c r="A40" s="3" t="inlineStr">
        <is>
          <t>지역별 매출</t>
        </is>
      </c>
    </row>
    <row r="41">
      <c r="A41" s="15" t="inlineStr">
        <is>
          <t>한국</t>
        </is>
      </c>
      <c r="D41" s="18">
        <f>'5_매출_제품지역'!AA19</f>
        <v>726728</v>
      </c>
      <c r="E41" s="18">
        <f>'5_매출_제품지역'!AB19</f>
        <v>7185000</v>
      </c>
      <c r="F41" s="18">
        <f>'5_매출_제품지역'!AC19</f>
        <v>14043112</v>
      </c>
      <c r="G41" s="18">
        <f>'5_매출_제품지역'!AD19</f>
        <v>21205622.6</v>
      </c>
      <c r="H41" s="18">
        <f>'5_매출_제품지역'!AE19</f>
        <v>27944491.768</v>
      </c>
    </row>
    <row r="42">
      <c r="A42" s="15" t="inlineStr">
        <is>
          <t>일본</t>
        </is>
      </c>
      <c r="D42" s="18">
        <f>'5_매출_제품지역'!AA20</f>
        <v>0</v>
      </c>
      <c r="E42" s="18">
        <f>'5_매출_제품지역'!AB20</f>
        <v>600000</v>
      </c>
      <c r="F42" s="18">
        <f>'5_매출_제품지역'!AC20</f>
        <v>5443200</v>
      </c>
      <c r="G42" s="18">
        <f>'5_매출_제품지역'!AD20</f>
        <v>14059680</v>
      </c>
      <c r="H42" s="18">
        <f>'5_매출_제품지역'!AE20</f>
        <v>35978310.4</v>
      </c>
    </row>
    <row r="43">
      <c r="A43" s="15" t="inlineStr">
        <is>
          <t>동남아·APAC</t>
        </is>
      </c>
      <c r="D43" s="18">
        <f>'5_매출_제품지역'!AA21</f>
        <v>446130</v>
      </c>
      <c r="E43" s="18">
        <f>'5_매출_제품지역'!AB21</f>
        <v>1770000</v>
      </c>
      <c r="F43" s="18">
        <f>'5_매출_제품지역'!AC21</f>
        <v>5978000</v>
      </c>
      <c r="G43" s="18">
        <f>'5_매출_제품지역'!AD21</f>
        <v>12633600</v>
      </c>
      <c r="H43" s="18">
        <f>'5_매출_제품지역'!AE21</f>
        <v>26448896</v>
      </c>
    </row>
    <row r="44">
      <c r="A44" s="15" t="inlineStr">
        <is>
          <t>유럽</t>
        </is>
      </c>
      <c r="D44" s="18">
        <f>'5_매출_제품지역'!AA22</f>
        <v>101787</v>
      </c>
      <c r="E44" s="18">
        <f>'5_매출_제품지역'!AB22</f>
        <v>450000</v>
      </c>
      <c r="F44" s="18">
        <f>'5_매출_제품지역'!AC22</f>
        <v>2370000</v>
      </c>
      <c r="G44" s="18">
        <f>'5_매출_제품지역'!AD22</f>
        <v>5406000</v>
      </c>
      <c r="H44" s="18">
        <f>'5_매출_제품지역'!AE22</f>
        <v>14116880</v>
      </c>
    </row>
    <row r="45">
      <c r="A45" s="15" t="inlineStr">
        <is>
          <t>미국</t>
        </is>
      </c>
      <c r="D45" s="18">
        <f>'5_매출_제품지역'!AA23</f>
        <v>0</v>
      </c>
      <c r="E45" s="18">
        <f>'5_매출_제품지역'!AB23</f>
        <v>0</v>
      </c>
      <c r="F45" s="18">
        <f>'5_매출_제품지역'!AC23</f>
        <v>1000000</v>
      </c>
      <c r="G45" s="18">
        <f>'5_매출_제품지역'!AD23</f>
        <v>7500000</v>
      </c>
      <c r="H45" s="18">
        <f>'5_매출_제품지역'!AE23</f>
        <v>30000000</v>
      </c>
    </row>
    <row r="46">
      <c r="A46" s="15" t="inlineStr">
        <is>
          <t>글로벌(삼성채널)</t>
        </is>
      </c>
      <c r="D46" s="18">
        <f>'5_매출_제품지역'!AA24</f>
        <v>0</v>
      </c>
      <c r="E46" s="18">
        <f>'5_매출_제품지역'!AB24</f>
        <v>0</v>
      </c>
      <c r="F46" s="18">
        <f>'5_매출_제품지역'!AC24</f>
        <v>4165688</v>
      </c>
      <c r="G46" s="18">
        <f>'5_매출_제품지역'!AD24</f>
        <v>9195097.4</v>
      </c>
      <c r="H46" s="18">
        <f>'5_매출_제품지역'!AE24</f>
        <v>21511421.832</v>
      </c>
    </row>
    <row r="47">
      <c r="A47" s="12" t="inlineStr">
        <is>
          <t>합계</t>
        </is>
      </c>
      <c r="D47" s="26">
        <f>SUM(D41:D46)</f>
        <v>1274645</v>
      </c>
      <c r="E47" s="26">
        <f>SUM(E41:E46)</f>
        <v>10005000</v>
      </c>
      <c r="F47" s="26">
        <f>SUM(F41:F46)</f>
        <v>33000000</v>
      </c>
      <c r="G47" s="26">
        <f>SUM(G41:G46)</f>
        <v>70000000</v>
      </c>
      <c r="H47" s="26">
        <f>SUM(H41:H46)</f>
        <v>156000000</v>
      </c>
    </row>
    <row r="48"/>
    <row r="49"/>
    <row r="50">
      <c r="A50" s="3" t="inlineStr">
        <is>
          <t>채널별 매출</t>
        </is>
      </c>
    </row>
    <row r="51">
      <c r="A51" s="15" t="inlineStr">
        <is>
          <t>온라인·B2C</t>
        </is>
      </c>
      <c r="D51" s="18">
        <f>'5_매출_제품지역'!AA30</f>
        <v>127351</v>
      </c>
      <c r="E51" s="18">
        <f>'5_매출_제품지역'!AB30</f>
        <v>1056000</v>
      </c>
      <c r="F51" s="18">
        <f>'5_매출_제품지역'!AC30</f>
        <v>1497600</v>
      </c>
      <c r="G51" s="18">
        <f>'5_매출_제품지역'!AD30</f>
        <v>1814880</v>
      </c>
      <c r="H51" s="18">
        <f>'5_매출_제품지역'!AE30</f>
        <v>2050425.6</v>
      </c>
    </row>
    <row r="52">
      <c r="A52" s="15" t="inlineStr">
        <is>
          <t>국내 B2B</t>
        </is>
      </c>
      <c r="D52" s="18">
        <f>'5_매출_제품지역'!AA31</f>
        <v>69582</v>
      </c>
      <c r="E52" s="18">
        <f>'5_매출_제품지역'!AB31</f>
        <v>220000</v>
      </c>
      <c r="F52" s="18">
        <f>'5_매출_제품지역'!AC31</f>
        <v>308000</v>
      </c>
      <c r="G52" s="18">
        <f>'5_매출_제품지역'!AD31</f>
        <v>369600</v>
      </c>
      <c r="H52" s="18">
        <f>'5_매출_제품지역'!AE31</f>
        <v>413952</v>
      </c>
    </row>
    <row r="53">
      <c r="A53" s="15" t="inlineStr">
        <is>
          <t>총판</t>
        </is>
      </c>
      <c r="D53" s="18">
        <f>'5_매출_제품지역'!AA32</f>
        <v>372365</v>
      </c>
      <c r="E53" s="18">
        <f>'5_매출_제품지역'!AB32</f>
        <v>4948000</v>
      </c>
      <c r="F53" s="18">
        <f>'5_매출_제품지역'!AC32</f>
        <v>12404320</v>
      </c>
      <c r="G53" s="18">
        <f>'5_매출_제품지역'!AD32</f>
        <v>21564584</v>
      </c>
      <c r="H53" s="18">
        <f>'5_매출_제품지역'!AE32</f>
        <v>30833176</v>
      </c>
    </row>
    <row r="54">
      <c r="A54" s="15" t="inlineStr">
        <is>
          <t>B2G·제도</t>
        </is>
      </c>
      <c r="D54" s="18">
        <f>'5_매출_제품지역'!AA33</f>
        <v>15795</v>
      </c>
      <c r="E54" s="18">
        <f>'5_매출_제품지역'!AB33</f>
        <v>727300</v>
      </c>
      <c r="F54" s="18">
        <f>'5_매출_제품지역'!AC33</f>
        <v>2347108</v>
      </c>
      <c r="G54" s="18">
        <f>'5_매출_제품지역'!AD33</f>
        <v>4495062</v>
      </c>
      <c r="H54" s="18">
        <f>'5_매출_제품지역'!AE33</f>
        <v>6913449.84</v>
      </c>
    </row>
    <row r="55">
      <c r="A55" s="15" t="inlineStr">
        <is>
          <t>파트너</t>
        </is>
      </c>
      <c r="D55" s="18">
        <f>'5_매출_제품지역'!AA34</f>
        <v>400000</v>
      </c>
      <c r="E55" s="18">
        <f>'5_매출_제품지역'!AB34</f>
        <v>2400000</v>
      </c>
      <c r="F55" s="18">
        <f>'5_매출_제품지역'!AC34</f>
        <v>8101688</v>
      </c>
      <c r="G55" s="18">
        <f>'5_매출_제품지역'!AD34</f>
        <v>14311897.4</v>
      </c>
      <c r="H55" s="18">
        <f>'5_매출_제품지역'!AE34</f>
        <v>27651581.832</v>
      </c>
    </row>
    <row r="56">
      <c r="A56" s="15" t="inlineStr">
        <is>
          <t>기관(직접)</t>
        </is>
      </c>
      <c r="D56" s="18">
        <f>'5_매출_제품지역'!AA35</f>
        <v>287007</v>
      </c>
      <c r="E56" s="18">
        <f>'5_매출_제품지역'!AB35</f>
        <v>653700</v>
      </c>
      <c r="F56" s="18">
        <f>'5_매출_제품지역'!AC35</f>
        <v>1141284</v>
      </c>
      <c r="G56" s="18">
        <f>'5_매출_제품지역'!AD35</f>
        <v>1643976.6</v>
      </c>
      <c r="H56" s="18">
        <f>'5_매출_제품지역'!AE35</f>
        <v>2137414.728</v>
      </c>
    </row>
    <row r="57">
      <c r="A57" s="15" t="inlineStr">
        <is>
          <t>신규 파이프라인</t>
        </is>
      </c>
      <c r="D57" s="18">
        <f>'5_매출_제품지역'!AA36</f>
        <v>0</v>
      </c>
      <c r="E57" s="18">
        <f>'5_매출_제품지역'!AB36</f>
        <v>0</v>
      </c>
      <c r="F57" s="18">
        <f>'5_매출_제품지역'!AC36</f>
        <v>7200000</v>
      </c>
      <c r="G57" s="18">
        <f>'5_매출_제품지역'!AD36</f>
        <v>25800000</v>
      </c>
      <c r="H57" s="18">
        <f>'5_매출_제품지역'!AE36</f>
        <v>86000000</v>
      </c>
    </row>
    <row r="58">
      <c r="A58" s="15" t="inlineStr">
        <is>
          <t>기타</t>
        </is>
      </c>
      <c r="D58" s="18">
        <f>'5_매출_제품지역'!AA37</f>
        <v>2545</v>
      </c>
      <c r="E58" s="18">
        <f>'5_매출_제품지역'!AB37</f>
        <v>0</v>
      </c>
      <c r="F58" s="18">
        <f>'5_매출_제품지역'!AC37</f>
        <v>0</v>
      </c>
      <c r="G58" s="18">
        <f>'5_매출_제품지역'!AD37</f>
        <v>0</v>
      </c>
      <c r="H58" s="18">
        <f>'5_매출_제품지역'!AE37</f>
        <v>0</v>
      </c>
    </row>
    <row r="59">
      <c r="A59" s="12" t="inlineStr">
        <is>
          <t>합계</t>
        </is>
      </c>
      <c r="D59" s="26">
        <f>SUM(D51:D58)</f>
        <v>1274645</v>
      </c>
      <c r="E59" s="26">
        <f>SUM(E51:E58)</f>
        <v>10005000</v>
      </c>
      <c r="F59" s="26">
        <f>SUM(F51:F58)</f>
        <v>33000000</v>
      </c>
      <c r="G59" s="26">
        <f>SUM(G51:G58)</f>
        <v>70000000</v>
      </c>
      <c r="H59" s="26">
        <f>SUM(H51:H58)</f>
        <v>156000000</v>
      </c>
    </row>
    <row r="60"/>
    <row r="61">
      <c r="A61" s="3" t="inlineStr">
        <is>
          <t>근거수준별 매출</t>
        </is>
      </c>
    </row>
    <row r="62">
      <c r="A62" s="15" t="inlineStr">
        <is>
          <t>A 계약·기존 거래</t>
        </is>
      </c>
      <c r="D62" s="18">
        <f>'5_매출_제품지역'!AA41</f>
        <v>1006693</v>
      </c>
      <c r="E62" s="18">
        <f>'5_매출_제품지역'!AB41</f>
        <v>5259700</v>
      </c>
      <c r="F62" s="18">
        <f>'5_매출_제품지역'!AC41</f>
        <v>9560084</v>
      </c>
      <c r="G62" s="18">
        <f>'5_매출_제품지역'!AD41</f>
        <v>13978536.6</v>
      </c>
      <c r="H62" s="18">
        <f>'5_매출_제품지역'!AE41</f>
        <v>18298534.728</v>
      </c>
    </row>
    <row r="63">
      <c r="A63" s="15" t="inlineStr">
        <is>
          <t>B 등록·입찰·협의 단계</t>
        </is>
      </c>
      <c r="D63" s="18">
        <f>'5_매출_제품지역'!AA42</f>
        <v>267952</v>
      </c>
      <c r="E63" s="18">
        <f>'5_매출_제품지역'!AB42</f>
        <v>4745300</v>
      </c>
      <c r="F63" s="18">
        <f>'5_매출_제품지역'!AC42</f>
        <v>12074228</v>
      </c>
      <c r="G63" s="18">
        <f>'5_매출_제품지역'!AD42</f>
        <v>21026366</v>
      </c>
      <c r="H63" s="18">
        <f>'5_매출_제품지역'!AE42</f>
        <v>30190043.44</v>
      </c>
    </row>
    <row r="64">
      <c r="A64" s="15" t="inlineStr">
        <is>
          <t>C 신규 파이프라인(미확정)</t>
        </is>
      </c>
      <c r="D64" s="18">
        <f>'5_매출_제품지역'!AA43</f>
        <v>0</v>
      </c>
      <c r="E64" s="18">
        <f>'5_매출_제품지역'!AB43</f>
        <v>0</v>
      </c>
      <c r="F64" s="18">
        <f>'5_매출_제품지역'!AC43</f>
        <v>11365688</v>
      </c>
      <c r="G64" s="18">
        <f>'5_매출_제품지역'!AD43</f>
        <v>34995097.4</v>
      </c>
      <c r="H64" s="18">
        <f>'5_매출_제품지역'!AE43</f>
        <v>107511421.832</v>
      </c>
    </row>
    <row r="65">
      <c r="A65" s="12" t="inlineStr">
        <is>
          <t>합계</t>
        </is>
      </c>
      <c r="D65" s="26">
        <f>SUM(D62:D64)</f>
        <v>1274645</v>
      </c>
      <c r="E65" s="26">
        <f>SUM(E62:E64)</f>
        <v>10005000</v>
      </c>
      <c r="F65" s="26">
        <f>SUM(F62:F64)</f>
        <v>33000000</v>
      </c>
      <c r="G65" s="26">
        <f>SUM(G62:G64)</f>
        <v>70000000</v>
      </c>
      <c r="H65" s="26">
        <f>SUM(H62:H64)</f>
        <v>156000000</v>
      </c>
    </row>
    <row r="66">
      <c r="A66" s="2" t="inlineStr">
        <is>
          <t xml:space="preserve">  비중 — A 계약·기존 거래</t>
        </is>
      </c>
      <c r="D66" s="14">
        <f>IFERROR(D62/D65,0)</f>
        <v>0.789783037630085</v>
      </c>
      <c r="E66" s="14">
        <f>IFERROR(E62/E65,0)</f>
        <v>0.525707146426787</v>
      </c>
      <c r="F66" s="14">
        <f>IFERROR(F62/F65,0)</f>
        <v>0.289699515151515</v>
      </c>
      <c r="G66" s="14">
        <f>IFERROR(G62/G65,0)</f>
        <v>0.19969338</v>
      </c>
      <c r="H66" s="14">
        <f>IFERROR(H62/H65,0)</f>
        <v>0.117298299538462</v>
      </c>
    </row>
    <row r="67">
      <c r="A67" s="2" t="inlineStr">
        <is>
          <t xml:space="preserve">  비중 — B 등록·입찰·협의 단계</t>
        </is>
      </c>
      <c r="D67" s="14">
        <f>IFERROR(D63/D65,0)</f>
        <v>0.210216962369915</v>
      </c>
      <c r="E67" s="14">
        <f>IFERROR(E63/E65,0)</f>
        <v>0.474292853573213</v>
      </c>
      <c r="F67" s="14">
        <f>IFERROR(F63/F65,0)</f>
        <v>0.365885696969697</v>
      </c>
      <c r="G67" s="14">
        <f>IFERROR(G63/G65,0)</f>
        <v>0.300376657142857</v>
      </c>
      <c r="H67" s="14">
        <f>IFERROR(H63/H65,0)</f>
        <v>0.193525919487179</v>
      </c>
    </row>
    <row r="68">
      <c r="A68" s="2" t="inlineStr">
        <is>
          <t xml:space="preserve">  비중 — C 신규 파이프라인(미확정)</t>
        </is>
      </c>
      <c r="D68" s="14">
        <f>IFERROR(D64/D65,0)</f>
        <v>0</v>
      </c>
      <c r="E68" s="14">
        <f>IFERROR(E64/E65,0)</f>
        <v>0</v>
      </c>
      <c r="F68" s="14">
        <f>IFERROR(F64/F65,0)</f>
        <v>0.344414787878788</v>
      </c>
      <c r="G68" s="14">
        <f>IFERROR(G64/G65,0)</f>
        <v>0.499929962857143</v>
      </c>
      <c r="H68" s="14">
        <f>IFERROR(H64/H65,0)</f>
        <v>0.689175780974359</v>
      </c>
    </row>
  </sheetData>
  <pageMargins left="0.75" right="0.75" top="1" bottom="1" header="0.5" footer="0.5"/>
  <pageSetup orientation="landscape" fitToHeight="0" fitToWidth="1"/>
</worksheet>
</file>

<file path=xl/worksheets/sheet4.xml><?xml version="1.0" encoding="utf-8"?>
<worksheet xmlns="http://schemas.openxmlformats.org/spreadsheetml/2006/main">
  <sheetPr>
    <tabColor rgb="002F5597"/>
    <outlinePr summaryBelow="1" summaryRight="1"/>
    <pageSetUpPr fitToPage="1"/>
  </sheetPr>
  <dimension ref="A1:BA91"/>
  <sheetViews>
    <sheetView zoomScale="85" workbookViewId="0">
      <pane xSplit="4" ySplit="7" topLeftCell="E8" activePane="bottomRight" state="frozen"/>
      <selection pane="topRight"/>
      <selection pane="bottomLeft"/>
      <selection pane="bottomRight" activeCell="A1" sqref="A1"/>
    </sheetView>
  </sheetViews>
  <sheetFormatPr baseColWidth="8" defaultRowHeight="15"/>
  <cols>
    <col width="4" customWidth="1" min="1" max="1"/>
    <col width="9" customWidth="1" min="2" max="2"/>
    <col width="11" customWidth="1" min="3" max="3"/>
    <col width="40" customWidth="1" min="4" max="4"/>
    <col hidden="1" outlineLevel="1" width="10" customWidth="1" min="5" max="22"/>
    <col width="1" customWidth="1" min="23" max="23"/>
    <col outlineLevel="1" width="10.5" customWidth="1" min="24" max="47"/>
    <col width="10.5" customWidth="1" min="48" max="48"/>
    <col width="10.5" customWidth="1" min="49" max="49"/>
    <col width="10.5" customWidth="1" min="50" max="50"/>
    <col width="10.5" customWidth="1" min="51" max="51"/>
    <col width="10.5" customWidth="1" min="52" max="52"/>
    <col width="10.5" customWidth="1" min="53" max="53"/>
  </cols>
  <sheetData>
    <row r="1">
      <c r="A1" s="1" t="inlineStr">
        <is>
          <t>4_매출_거래처 — 거래처별 월별(2026~27)·연간(2028~30) 매출</t>
        </is>
      </c>
    </row>
    <row r="2">
      <c r="A2" s="2" t="inlineStr">
        <is>
          <t>단위: 천원. A블록=기준안(S1, 확률 100%·지연 없음) / B블록=선택 시나리오 적용(손익계산서 연동). 파란색 = 입력.</t>
        </is>
      </c>
    </row>
    <row r="3">
      <c r="A3" s="2" t="str">
        <f>"현재 선택: "&amp;'1_요약'!$C$4&amp;"  |  R=반복매출(램프 후 run-rate) · P=프로젝트(N개월 분할) · X=기존 소액 조정 · C=신규 코호트 · S=삼성채널 잔차"</f>
        <v>현재 선택: S1 경영계획(IR 정합)  |  R=반복매출(램프 후 run-rate) · P=프로젝트(N개월 분할) · X=기존 소액 조정 · C=신규 코호트 · S=삼성채널 잔차</v>
      </c>
    </row>
    <row r="5">
      <c r="W5" s="60" t="inlineStr">
        <is>
          <t>연도</t>
        </is>
      </c>
      <c r="X5" s="61" t="n">
        <v>2026</v>
      </c>
      <c r="Y5" s="61" t="n">
        <v>2026</v>
      </c>
      <c r="Z5" s="61" t="n">
        <v>2026</v>
      </c>
      <c r="AA5" s="61" t="n">
        <v>2026</v>
      </c>
      <c r="AB5" s="61" t="n">
        <v>2026</v>
      </c>
      <c r="AC5" s="61" t="n">
        <v>2026</v>
      </c>
      <c r="AD5" s="61" t="n">
        <v>2026</v>
      </c>
      <c r="AE5" s="61" t="n">
        <v>2026</v>
      </c>
      <c r="AF5" s="61" t="n">
        <v>2026</v>
      </c>
      <c r="AG5" s="61" t="n">
        <v>2026</v>
      </c>
      <c r="AH5" s="61" t="n">
        <v>2026</v>
      </c>
      <c r="AI5" s="61" t="n">
        <v>2026</v>
      </c>
      <c r="AJ5" s="61" t="n">
        <v>2027</v>
      </c>
      <c r="AK5" s="61" t="n">
        <v>2027</v>
      </c>
      <c r="AL5" s="61" t="n">
        <v>2027</v>
      </c>
      <c r="AM5" s="61" t="n">
        <v>2027</v>
      </c>
      <c r="AN5" s="61" t="n">
        <v>2027</v>
      </c>
      <c r="AO5" s="61" t="n">
        <v>2027</v>
      </c>
      <c r="AP5" s="61" t="n">
        <v>2027</v>
      </c>
      <c r="AQ5" s="61" t="n">
        <v>2027</v>
      </c>
      <c r="AR5" s="61" t="n">
        <v>2027</v>
      </c>
      <c r="AS5" s="61" t="n">
        <v>2027</v>
      </c>
      <c r="AT5" s="61" t="n">
        <v>2027</v>
      </c>
      <c r="AU5" s="61" t="n">
        <v>2027</v>
      </c>
    </row>
    <row r="6">
      <c r="W6" s="60" t="inlineStr">
        <is>
          <t>월 인덱스(1=2026-01)</t>
        </is>
      </c>
      <c r="X6" s="61" t="n">
        <v>1</v>
      </c>
      <c r="Y6" s="61" t="n">
        <v>2</v>
      </c>
      <c r="Z6" s="61" t="n">
        <v>3</v>
      </c>
      <c r="AA6" s="61" t="n">
        <v>4</v>
      </c>
      <c r="AB6" s="61" t="n">
        <v>5</v>
      </c>
      <c r="AC6" s="61" t="n">
        <v>6</v>
      </c>
      <c r="AD6" s="61" t="n">
        <v>7</v>
      </c>
      <c r="AE6" s="61" t="n">
        <v>8</v>
      </c>
      <c r="AF6" s="61" t="n">
        <v>9</v>
      </c>
      <c r="AG6" s="61" t="n">
        <v>10</v>
      </c>
      <c r="AH6" s="61" t="n">
        <v>11</v>
      </c>
      <c r="AI6" s="61" t="n">
        <v>12</v>
      </c>
      <c r="AJ6" s="61" t="n">
        <v>13</v>
      </c>
      <c r="AK6" s="61" t="n">
        <v>14</v>
      </c>
      <c r="AL6" s="61" t="n">
        <v>15</v>
      </c>
      <c r="AM6" s="61" t="n">
        <v>16</v>
      </c>
      <c r="AN6" s="61" t="n">
        <v>17</v>
      </c>
      <c r="AO6" s="61" t="n">
        <v>18</v>
      </c>
      <c r="AP6" s="61" t="n">
        <v>19</v>
      </c>
      <c r="AQ6" s="61" t="n">
        <v>20</v>
      </c>
      <c r="AR6" s="61" t="n">
        <v>21</v>
      </c>
      <c r="AS6" s="61" t="n">
        <v>22</v>
      </c>
      <c r="AT6" s="61" t="n">
        <v>23</v>
      </c>
      <c r="AU6" s="61" t="n">
        <v>24</v>
      </c>
      <c r="AV6" s="61" t="n">
        <v>2026</v>
      </c>
      <c r="AW6" s="61" t="n">
        <v>2027</v>
      </c>
      <c r="AX6" s="61" t="n">
        <v>2028</v>
      </c>
      <c r="AY6" s="61" t="n">
        <v>2029</v>
      </c>
      <c r="AZ6" s="61" t="n">
        <v>2030</v>
      </c>
    </row>
    <row r="7">
      <c r="A7" s="11" t="inlineStr">
        <is>
          <t>No</t>
        </is>
      </c>
      <c r="B7" s="11" t="inlineStr">
        <is>
          <t>국가</t>
        </is>
      </c>
      <c r="C7" s="11" t="inlineStr">
        <is>
          <t>지역</t>
        </is>
      </c>
      <c r="D7" s="11" t="inlineStr">
        <is>
          <t>거래처</t>
        </is>
      </c>
      <c r="E7" s="11" t="inlineStr">
        <is>
          <t>거래형태</t>
        </is>
      </c>
      <c r="F7" s="11" t="inlineStr">
        <is>
          <t>IR 단계</t>
        </is>
      </c>
      <c r="G7" s="11" t="inlineStr">
        <is>
          <t>모델 단계</t>
        </is>
      </c>
      <c r="H7" s="11" t="inlineStr">
        <is>
          <t>근거수준</t>
        </is>
      </c>
      <c r="I7" s="11" t="inlineStr">
        <is>
          <t>믹스</t>
        </is>
      </c>
      <c r="J7" s="11" t="inlineStr">
        <is>
          <t>유형</t>
        </is>
      </c>
      <c r="K7" s="11" t="inlineStr">
        <is>
          <t>시작월</t>
        </is>
      </c>
      <c r="L7" s="11" t="inlineStr">
        <is>
          <t>램프·기간(월)</t>
        </is>
      </c>
      <c r="M7" s="11" t="inlineStr">
        <is>
          <t>2027 IR 매출</t>
        </is>
      </c>
      <c r="N7" s="11" t="inlineStr">
        <is>
          <t>Σ2027 램프</t>
        </is>
      </c>
      <c r="O7" s="11" t="inlineStr">
        <is>
          <t>연환산 R</t>
        </is>
      </c>
      <c r="P7" s="11" t="inlineStr">
        <is>
          <t>2028 확장</t>
        </is>
      </c>
      <c r="Q7" s="11" t="inlineStr">
        <is>
          <t>2029 성장</t>
        </is>
      </c>
      <c r="R7" s="11" t="inlineStr">
        <is>
          <t>2030 성장</t>
        </is>
      </c>
      <c r="S7" s="11" t="inlineStr">
        <is>
          <t>S1 확률</t>
        </is>
      </c>
      <c r="T7" s="11" t="inlineStr">
        <is>
          <t>지연 적용</t>
        </is>
      </c>
      <c r="U7" s="11" t="inlineStr">
        <is>
          <t>초기수준</t>
        </is>
      </c>
      <c r="V7" s="11" t="inlineStr">
        <is>
          <t>근거 · 가정</t>
        </is>
      </c>
      <c r="X7" s="11" t="inlineStr">
        <is>
          <t>2026-01</t>
        </is>
      </c>
      <c r="Y7" s="11" t="inlineStr">
        <is>
          <t>2026-02</t>
        </is>
      </c>
      <c r="Z7" s="11" t="inlineStr">
        <is>
          <t>2026-03</t>
        </is>
      </c>
      <c r="AA7" s="11" t="inlineStr">
        <is>
          <t>2026-04</t>
        </is>
      </c>
      <c r="AB7" s="11" t="inlineStr">
        <is>
          <t>2026-05</t>
        </is>
      </c>
      <c r="AC7" s="11" t="inlineStr">
        <is>
          <t>2026-06</t>
        </is>
      </c>
      <c r="AD7" s="11" t="inlineStr">
        <is>
          <t>2026-07</t>
        </is>
      </c>
      <c r="AE7" s="11" t="inlineStr">
        <is>
          <t>2026-08</t>
        </is>
      </c>
      <c r="AF7" s="11" t="inlineStr">
        <is>
          <t>2026-09</t>
        </is>
      </c>
      <c r="AG7" s="11" t="inlineStr">
        <is>
          <t>2026-10</t>
        </is>
      </c>
      <c r="AH7" s="11" t="inlineStr">
        <is>
          <t>2026-11</t>
        </is>
      </c>
      <c r="AI7" s="11" t="inlineStr">
        <is>
          <t>2026-12</t>
        </is>
      </c>
      <c r="AJ7" s="11" t="inlineStr">
        <is>
          <t>2027-01</t>
        </is>
      </c>
      <c r="AK7" s="11" t="inlineStr">
        <is>
          <t>2027-02</t>
        </is>
      </c>
      <c r="AL7" s="11" t="inlineStr">
        <is>
          <t>2027-03</t>
        </is>
      </c>
      <c r="AM7" s="11" t="inlineStr">
        <is>
          <t>2027-04</t>
        </is>
      </c>
      <c r="AN7" s="11" t="inlineStr">
        <is>
          <t>2027-05</t>
        </is>
      </c>
      <c r="AO7" s="11" t="inlineStr">
        <is>
          <t>2027-06</t>
        </is>
      </c>
      <c r="AP7" s="11" t="inlineStr">
        <is>
          <t>2027-07</t>
        </is>
      </c>
      <c r="AQ7" s="11" t="inlineStr">
        <is>
          <t>2027-08</t>
        </is>
      </c>
      <c r="AR7" s="11" t="inlineStr">
        <is>
          <t>2027-09</t>
        </is>
      </c>
      <c r="AS7" s="11" t="inlineStr">
        <is>
          <t>2027-10</t>
        </is>
      </c>
      <c r="AT7" s="11" t="inlineStr">
        <is>
          <t>2027-11</t>
        </is>
      </c>
      <c r="AU7" s="11" t="inlineStr">
        <is>
          <t>2027-12</t>
        </is>
      </c>
      <c r="AV7" s="11" t="inlineStr">
        <is>
          <t>FY2026</t>
        </is>
      </c>
      <c r="AW7" s="11" t="inlineStr">
        <is>
          <t>FY2027</t>
        </is>
      </c>
      <c r="AX7" s="11" t="inlineStr">
        <is>
          <t>2028E</t>
        </is>
      </c>
      <c r="AY7" s="11" t="inlineStr">
        <is>
          <t>2029E</t>
        </is>
      </c>
      <c r="AZ7" s="11" t="inlineStr">
        <is>
          <t>2030E</t>
        </is>
      </c>
      <c r="BA7" s="11" t="inlineStr">
        <is>
          <t>5개년 합계</t>
        </is>
      </c>
    </row>
    <row r="9">
      <c r="A9" s="3" t="inlineStr">
        <is>
          <t>A. 기준안(S1) — 거래처별 매출(확률 100%, 지연 없음)</t>
        </is>
      </c>
    </row>
    <row r="10">
      <c r="A10" s="62" t="n">
        <v>1</v>
      </c>
      <c r="B10" s="15" t="inlineStr">
        <is>
          <t>한국</t>
        </is>
      </c>
      <c r="C10" s="15" t="inlineStr">
        <is>
          <t>한국</t>
        </is>
      </c>
      <c r="D10" s="15" t="inlineStr">
        <is>
          <t>네이버(Bebefit/Monit) — 베이비</t>
        </is>
      </c>
      <c r="E10" s="15" t="inlineStr">
        <is>
          <t>온라인·B2C</t>
        </is>
      </c>
      <c r="F10" s="15" t="inlineStr">
        <is>
          <t>-</t>
        </is>
      </c>
      <c r="G10" s="15" t="inlineStr">
        <is>
          <t>기존</t>
        </is>
      </c>
      <c r="H10" s="15" t="inlineStr">
        <is>
          <t>A 계약·기존 거래</t>
        </is>
      </c>
      <c r="I10" s="15" t="inlineStr">
        <is>
          <t>BABY</t>
        </is>
      </c>
      <c r="J10" s="63" t="inlineStr">
        <is>
          <t>M</t>
        </is>
      </c>
      <c r="M10" s="43">
        <f>AW10</f>
        <v>240000</v>
      </c>
      <c r="O10" s="43">
        <f>$M10</f>
        <v>240000</v>
      </c>
      <c r="P10" s="64" t="n">
        <v>0.4</v>
      </c>
      <c r="Q10" s="64" t="n">
        <v>0.2</v>
      </c>
      <c r="R10" s="64" t="n">
        <v>0.12</v>
      </c>
      <c r="S10" s="65">
        <f>INDEX('8_가정'!$C$17:$E$24,MATCH($G10,'8_가정'!$A$17:$A$24,0),1)</f>
        <v>1</v>
      </c>
      <c r="T10" s="63" t="inlineStr">
        <is>
          <t>Y</t>
        </is>
      </c>
      <c r="V10" s="66" t="inlineStr">
        <is>
          <t>2026-10-05 매출표(JCS) 2026 행5·2027 행5</t>
        </is>
      </c>
      <c r="X10" s="55" t="n">
        <v>2371</v>
      </c>
      <c r="Y10" s="55" t="n">
        <v>1579</v>
      </c>
      <c r="Z10" s="55" t="n">
        <v>2546</v>
      </c>
      <c r="AA10" s="55" t="n">
        <v>3668</v>
      </c>
      <c r="AB10" s="55" t="n">
        <v>1798</v>
      </c>
      <c r="AC10" s="55" t="n">
        <v>1795</v>
      </c>
      <c r="AD10" s="55" t="n">
        <v>2955</v>
      </c>
      <c r="AE10" s="55" t="n">
        <v>1587</v>
      </c>
      <c r="AF10" s="55" t="n">
        <v>1879</v>
      </c>
      <c r="AG10" s="55" t="n">
        <v>0</v>
      </c>
      <c r="AH10" s="55" t="n">
        <v>0</v>
      </c>
      <c r="AI10" s="55" t="n">
        <v>0</v>
      </c>
      <c r="AJ10" s="55" t="n">
        <v>20000</v>
      </c>
      <c r="AK10" s="55" t="n">
        <v>20000</v>
      </c>
      <c r="AL10" s="55" t="n">
        <v>20000</v>
      </c>
      <c r="AM10" s="55" t="n">
        <v>20000</v>
      </c>
      <c r="AN10" s="55" t="n">
        <v>20000</v>
      </c>
      <c r="AO10" s="55" t="n">
        <v>20000</v>
      </c>
      <c r="AP10" s="55" t="n">
        <v>20000</v>
      </c>
      <c r="AQ10" s="55" t="n">
        <v>20000</v>
      </c>
      <c r="AR10" s="55" t="n">
        <v>20000</v>
      </c>
      <c r="AS10" s="55" t="n">
        <v>20000</v>
      </c>
      <c r="AT10" s="55" t="n">
        <v>20000</v>
      </c>
      <c r="AU10" s="55" t="n">
        <v>20000</v>
      </c>
      <c r="AV10" s="23">
        <f>SUM(X10:AI10)</f>
        <v>20178</v>
      </c>
      <c r="AW10" s="23">
        <f>SUM(AJ10:AU10)</f>
        <v>240000</v>
      </c>
      <c r="AX10" s="45">
        <f>$O10*(1+$P10)</f>
        <v>336000</v>
      </c>
      <c r="AY10" s="45">
        <f>AX10*(1+$Q10)</f>
        <v>403200</v>
      </c>
      <c r="AZ10" s="45">
        <f>AY10*(1+$R10)</f>
        <v>451584</v>
      </c>
      <c r="BA10" s="25">
        <f>SUM(AV10:AZ10)</f>
        <v>1450962</v>
      </c>
    </row>
    <row r="11">
      <c r="A11" s="62" t="n">
        <v>2</v>
      </c>
      <c r="B11" s="15" t="inlineStr">
        <is>
          <t>한국</t>
        </is>
      </c>
      <c r="C11" s="15" t="inlineStr">
        <is>
          <t>한국</t>
        </is>
      </c>
      <c r="D11" s="15" t="inlineStr">
        <is>
          <t>네이버(위탁상품) — 베이비</t>
        </is>
      </c>
      <c r="E11" s="15" t="inlineStr">
        <is>
          <t>온라인·B2C</t>
        </is>
      </c>
      <c r="F11" s="15" t="inlineStr">
        <is>
          <t>-</t>
        </is>
      </c>
      <c r="G11" s="15" t="inlineStr">
        <is>
          <t>기존</t>
        </is>
      </c>
      <c r="H11" s="15" t="inlineStr">
        <is>
          <t>A 계약·기존 거래</t>
        </is>
      </c>
      <c r="I11" s="15" t="inlineStr">
        <is>
          <t>BABY</t>
        </is>
      </c>
      <c r="J11" s="63" t="inlineStr">
        <is>
          <t>M</t>
        </is>
      </c>
      <c r="M11" s="43">
        <f>AW11</f>
        <v>120000</v>
      </c>
      <c r="O11" s="43">
        <f>$M11</f>
        <v>120000</v>
      </c>
      <c r="P11" s="64" t="n">
        <v>0.4</v>
      </c>
      <c r="Q11" s="64" t="n">
        <v>0.2</v>
      </c>
      <c r="R11" s="64" t="n">
        <v>0.12</v>
      </c>
      <c r="S11" s="65">
        <f>INDEX('8_가정'!$C$17:$E$24,MATCH($G11,'8_가정'!$A$17:$A$24,0),1)</f>
        <v>1</v>
      </c>
      <c r="T11" s="63" t="inlineStr">
        <is>
          <t>Y</t>
        </is>
      </c>
      <c r="V11" s="66" t="inlineStr">
        <is>
          <t>2026-10-05 매출표(JCS)</t>
        </is>
      </c>
      <c r="X11" s="55" t="n">
        <v>437</v>
      </c>
      <c r="Y11" s="55" t="n">
        <v>655</v>
      </c>
      <c r="Z11" s="55" t="n">
        <v>1002</v>
      </c>
      <c r="AA11" s="55" t="n">
        <v>735</v>
      </c>
      <c r="AB11" s="55" t="n">
        <v>721</v>
      </c>
      <c r="AC11" s="55" t="n">
        <v>498</v>
      </c>
      <c r="AD11" s="55" t="n">
        <v>835</v>
      </c>
      <c r="AE11" s="55" t="n">
        <v>473</v>
      </c>
      <c r="AF11" s="55" t="n">
        <v>1046</v>
      </c>
      <c r="AG11" s="55" t="n">
        <v>0</v>
      </c>
      <c r="AH11" s="55" t="n">
        <v>0</v>
      </c>
      <c r="AI11" s="55" t="n">
        <v>0</v>
      </c>
      <c r="AJ11" s="55" t="n">
        <v>10000</v>
      </c>
      <c r="AK11" s="55" t="n">
        <v>10000</v>
      </c>
      <c r="AL11" s="55" t="n">
        <v>10000</v>
      </c>
      <c r="AM11" s="55" t="n">
        <v>10000</v>
      </c>
      <c r="AN11" s="55" t="n">
        <v>10000</v>
      </c>
      <c r="AO11" s="55" t="n">
        <v>10000</v>
      </c>
      <c r="AP11" s="55" t="n">
        <v>10000</v>
      </c>
      <c r="AQ11" s="55" t="n">
        <v>10000</v>
      </c>
      <c r="AR11" s="55" t="n">
        <v>10000</v>
      </c>
      <c r="AS11" s="55" t="n">
        <v>10000</v>
      </c>
      <c r="AT11" s="55" t="n">
        <v>10000</v>
      </c>
      <c r="AU11" s="55" t="n">
        <v>10000</v>
      </c>
      <c r="AV11" s="23">
        <f>SUM(X11:AI11)</f>
        <v>6402</v>
      </c>
      <c r="AW11" s="23">
        <f>SUM(AJ11:AU11)</f>
        <v>120000</v>
      </c>
      <c r="AX11" s="45">
        <f>$O11*(1+$P11)</f>
        <v>168000</v>
      </c>
      <c r="AY11" s="45">
        <f>AX11*(1+$Q11)</f>
        <v>201600</v>
      </c>
      <c r="AZ11" s="45">
        <f>AY11*(1+$R11)</f>
        <v>225792</v>
      </c>
      <c r="BA11" s="25">
        <f>SUM(AV11:AZ11)</f>
        <v>721794</v>
      </c>
    </row>
    <row r="12">
      <c r="A12" s="62" t="n">
        <v>3</v>
      </c>
      <c r="B12" s="15" t="inlineStr">
        <is>
          <t>한국</t>
        </is>
      </c>
      <c r="C12" s="15" t="inlineStr">
        <is>
          <t>한국</t>
        </is>
      </c>
      <c r="D12" s="15" t="inlineStr">
        <is>
          <t>쿠팡 — 베이비</t>
        </is>
      </c>
      <c r="E12" s="15" t="inlineStr">
        <is>
          <t>온라인·B2C</t>
        </is>
      </c>
      <c r="F12" s="15" t="inlineStr">
        <is>
          <t>-</t>
        </is>
      </c>
      <c r="G12" s="15" t="inlineStr">
        <is>
          <t>기존</t>
        </is>
      </c>
      <c r="H12" s="15" t="inlineStr">
        <is>
          <t>A 계약·기존 거래</t>
        </is>
      </c>
      <c r="I12" s="15" t="inlineStr">
        <is>
          <t>BABY</t>
        </is>
      </c>
      <c r="J12" s="63" t="inlineStr">
        <is>
          <t>M</t>
        </is>
      </c>
      <c r="M12" s="43">
        <f>AW12</f>
        <v>240000</v>
      </c>
      <c r="O12" s="43">
        <f>$M12</f>
        <v>240000</v>
      </c>
      <c r="P12" s="64" t="n">
        <v>0.4</v>
      </c>
      <c r="Q12" s="64" t="n">
        <v>0.2</v>
      </c>
      <c r="R12" s="64" t="n">
        <v>0.12</v>
      </c>
      <c r="S12" s="65">
        <f>INDEX('8_가정'!$C$17:$E$24,MATCH($G12,'8_가정'!$A$17:$A$24,0),1)</f>
        <v>1</v>
      </c>
      <c r="T12" s="63" t="inlineStr">
        <is>
          <t>Y</t>
        </is>
      </c>
      <c r="V12" s="66" t="inlineStr">
        <is>
          <t>2026-10-05 매출표(JCS)</t>
        </is>
      </c>
      <c r="X12" s="55" t="n">
        <v>2678</v>
      </c>
      <c r="Y12" s="55" t="n">
        <v>3941</v>
      </c>
      <c r="Z12" s="55" t="n">
        <v>4603</v>
      </c>
      <c r="AA12" s="55" t="n">
        <v>3442</v>
      </c>
      <c r="AB12" s="55" t="n">
        <v>1575</v>
      </c>
      <c r="AC12" s="55" t="n">
        <v>7345</v>
      </c>
      <c r="AD12" s="55" t="n">
        <v>3789</v>
      </c>
      <c r="AE12" s="55" t="n">
        <v>3603</v>
      </c>
      <c r="AF12" s="55" t="n">
        <v>2983</v>
      </c>
      <c r="AG12" s="55" t="n">
        <v>0</v>
      </c>
      <c r="AH12" s="55" t="n">
        <v>0</v>
      </c>
      <c r="AI12" s="55" t="n">
        <v>0</v>
      </c>
      <c r="AJ12" s="55" t="n">
        <v>20000</v>
      </c>
      <c r="AK12" s="55" t="n">
        <v>20000</v>
      </c>
      <c r="AL12" s="55" t="n">
        <v>20000</v>
      </c>
      <c r="AM12" s="55" t="n">
        <v>20000</v>
      </c>
      <c r="AN12" s="55" t="n">
        <v>20000</v>
      </c>
      <c r="AO12" s="55" t="n">
        <v>20000</v>
      </c>
      <c r="AP12" s="55" t="n">
        <v>20000</v>
      </c>
      <c r="AQ12" s="55" t="n">
        <v>20000</v>
      </c>
      <c r="AR12" s="55" t="n">
        <v>20000</v>
      </c>
      <c r="AS12" s="55" t="n">
        <v>20000</v>
      </c>
      <c r="AT12" s="55" t="n">
        <v>20000</v>
      </c>
      <c r="AU12" s="55" t="n">
        <v>20000</v>
      </c>
      <c r="AV12" s="23">
        <f>SUM(X12:AI12)</f>
        <v>33959</v>
      </c>
      <c r="AW12" s="23">
        <f>SUM(AJ12:AU12)</f>
        <v>240000</v>
      </c>
      <c r="AX12" s="45">
        <f>$O12*(1+$P12)</f>
        <v>336000</v>
      </c>
      <c r="AY12" s="45">
        <f>AX12*(1+$Q12)</f>
        <v>403200</v>
      </c>
      <c r="AZ12" s="45">
        <f>AY12*(1+$R12)</f>
        <v>451584</v>
      </c>
      <c r="BA12" s="25">
        <f>SUM(AV12:AZ12)</f>
        <v>1464743</v>
      </c>
    </row>
    <row r="13">
      <c r="A13" s="62" t="n">
        <v>4</v>
      </c>
      <c r="B13" s="15" t="inlineStr">
        <is>
          <t>한국</t>
        </is>
      </c>
      <c r="C13" s="15" t="inlineStr">
        <is>
          <t>한국</t>
        </is>
      </c>
      <c r="D13" s="15" t="inlineStr">
        <is>
          <t>기타 B2C — 베이비</t>
        </is>
      </c>
      <c r="E13" s="15" t="inlineStr">
        <is>
          <t>온라인·B2C</t>
        </is>
      </c>
      <c r="F13" s="15" t="inlineStr">
        <is>
          <t>-</t>
        </is>
      </c>
      <c r="G13" s="15" t="inlineStr">
        <is>
          <t>기존</t>
        </is>
      </c>
      <c r="H13" s="15" t="inlineStr">
        <is>
          <t>A 계약·기존 거래</t>
        </is>
      </c>
      <c r="I13" s="15" t="inlineStr">
        <is>
          <t>BABY</t>
        </is>
      </c>
      <c r="J13" s="63" t="inlineStr">
        <is>
          <t>M</t>
        </is>
      </c>
      <c r="M13" s="43">
        <f>AW13</f>
        <v>216000</v>
      </c>
      <c r="O13" s="43">
        <f>$M13</f>
        <v>216000</v>
      </c>
      <c r="P13" s="64" t="n">
        <v>0.4</v>
      </c>
      <c r="Q13" s="64" t="n">
        <v>0.2</v>
      </c>
      <c r="R13" s="64" t="n">
        <v>0.12</v>
      </c>
      <c r="S13" s="65">
        <f>INDEX('8_가정'!$C$17:$E$24,MATCH($G13,'8_가정'!$A$17:$A$24,0),1)</f>
        <v>1</v>
      </c>
      <c r="T13" s="63" t="inlineStr">
        <is>
          <t>Y</t>
        </is>
      </c>
      <c r="V13" s="66" t="inlineStr">
        <is>
          <t>2026-10-05 매출표(JCS)</t>
        </is>
      </c>
      <c r="X13" s="55" t="n">
        <v>2252</v>
      </c>
      <c r="Y13" s="55" t="n">
        <v>3394</v>
      </c>
      <c r="Z13" s="55" t="n">
        <v>2263</v>
      </c>
      <c r="AA13" s="55" t="n">
        <v>2605</v>
      </c>
      <c r="AB13" s="55" t="n">
        <v>2220</v>
      </c>
      <c r="AC13" s="55" t="n">
        <v>1490</v>
      </c>
      <c r="AD13" s="55" t="n">
        <v>4052</v>
      </c>
      <c r="AE13" s="55" t="n">
        <v>1576</v>
      </c>
      <c r="AF13" s="55" t="n">
        <v>1220</v>
      </c>
      <c r="AG13" s="55" t="n">
        <v>0</v>
      </c>
      <c r="AH13" s="55" t="n">
        <v>0</v>
      </c>
      <c r="AI13" s="55" t="n">
        <v>0</v>
      </c>
      <c r="AJ13" s="55" t="n">
        <v>18000</v>
      </c>
      <c r="AK13" s="55" t="n">
        <v>18000</v>
      </c>
      <c r="AL13" s="55" t="n">
        <v>18000</v>
      </c>
      <c r="AM13" s="55" t="n">
        <v>18000</v>
      </c>
      <c r="AN13" s="55" t="n">
        <v>18000</v>
      </c>
      <c r="AO13" s="55" t="n">
        <v>18000</v>
      </c>
      <c r="AP13" s="55" t="n">
        <v>18000</v>
      </c>
      <c r="AQ13" s="55" t="n">
        <v>18000</v>
      </c>
      <c r="AR13" s="55" t="n">
        <v>18000</v>
      </c>
      <c r="AS13" s="55" t="n">
        <v>18000</v>
      </c>
      <c r="AT13" s="55" t="n">
        <v>18000</v>
      </c>
      <c r="AU13" s="55" t="n">
        <v>18000</v>
      </c>
      <c r="AV13" s="23">
        <f>SUM(X13:AI13)</f>
        <v>21072</v>
      </c>
      <c r="AW13" s="23">
        <f>SUM(AJ13:AU13)</f>
        <v>216000</v>
      </c>
      <c r="AX13" s="45">
        <f>$O13*(1+$P13)</f>
        <v>302400</v>
      </c>
      <c r="AY13" s="45">
        <f>AX13*(1+$Q13)</f>
        <v>362880</v>
      </c>
      <c r="AZ13" s="45">
        <f>AY13*(1+$R13)</f>
        <v>406425.6</v>
      </c>
      <c r="BA13" s="25">
        <f>SUM(AV13:AZ13)</f>
        <v>1308777.6</v>
      </c>
    </row>
    <row r="14">
      <c r="A14" s="62" t="n">
        <v>5</v>
      </c>
      <c r="B14" s="15" t="inlineStr">
        <is>
          <t>한국</t>
        </is>
      </c>
      <c r="C14" s="15" t="inlineStr">
        <is>
          <t>한국</t>
        </is>
      </c>
      <c r="D14" s="15" t="inlineStr">
        <is>
          <t>B2B(국내) — 베이비</t>
        </is>
      </c>
      <c r="E14" s="15" t="inlineStr">
        <is>
          <t>국내 B2B</t>
        </is>
      </c>
      <c r="F14" s="15" t="inlineStr">
        <is>
          <t>-</t>
        </is>
      </c>
      <c r="G14" s="15" t="inlineStr">
        <is>
          <t>기존</t>
        </is>
      </c>
      <c r="H14" s="15" t="inlineStr">
        <is>
          <t>A 계약·기존 거래</t>
        </is>
      </c>
      <c r="I14" s="15" t="inlineStr">
        <is>
          <t>BABY</t>
        </is>
      </c>
      <c r="J14" s="63" t="inlineStr">
        <is>
          <t>M</t>
        </is>
      </c>
      <c r="M14" s="43">
        <f>AW14</f>
        <v>220000</v>
      </c>
      <c r="O14" s="43">
        <f>$M14</f>
        <v>220000</v>
      </c>
      <c r="P14" s="64" t="n">
        <v>0.4</v>
      </c>
      <c r="Q14" s="64" t="n">
        <v>0.2</v>
      </c>
      <c r="R14" s="64" t="n">
        <v>0.12</v>
      </c>
      <c r="S14" s="65">
        <f>INDEX('8_가정'!$C$17:$E$24,MATCH($G14,'8_가정'!$A$17:$A$24,0),1)</f>
        <v>1</v>
      </c>
      <c r="T14" s="63" t="inlineStr">
        <is>
          <t>Y</t>
        </is>
      </c>
      <c r="V14" s="66" t="inlineStr">
        <is>
          <t>2026-10-05 매출표(JCS)</t>
        </is>
      </c>
      <c r="X14" s="55" t="n">
        <v>7230</v>
      </c>
      <c r="Y14" s="55" t="n">
        <v>5984</v>
      </c>
      <c r="Z14" s="55" t="n">
        <v>10098</v>
      </c>
      <c r="AA14" s="55" t="n">
        <v>10034</v>
      </c>
      <c r="AB14" s="55" t="n">
        <v>6329</v>
      </c>
      <c r="AC14" s="55" t="n">
        <v>8925</v>
      </c>
      <c r="AD14" s="55" t="n">
        <v>10423</v>
      </c>
      <c r="AE14" s="55" t="n">
        <v>8161</v>
      </c>
      <c r="AF14" s="55" t="n">
        <v>5477</v>
      </c>
      <c r="AG14" s="55" t="n">
        <v>0</v>
      </c>
      <c r="AH14" s="55" t="n">
        <v>0</v>
      </c>
      <c r="AI14" s="55" t="n">
        <v>0</v>
      </c>
      <c r="AJ14" s="55" t="n">
        <v>20000</v>
      </c>
      <c r="AK14" s="55" t="n">
        <v>20000</v>
      </c>
      <c r="AL14" s="55" t="n">
        <v>20000</v>
      </c>
      <c r="AM14" s="55" t="n">
        <v>20000</v>
      </c>
      <c r="AN14" s="55" t="n">
        <v>20000</v>
      </c>
      <c r="AO14" s="55" t="n">
        <v>20000</v>
      </c>
      <c r="AP14" s="55" t="n">
        <v>10000</v>
      </c>
      <c r="AQ14" s="55" t="n">
        <v>10000</v>
      </c>
      <c r="AR14" s="55" t="n">
        <v>20000</v>
      </c>
      <c r="AS14" s="55" t="n">
        <v>20000</v>
      </c>
      <c r="AT14" s="55" t="n">
        <v>20000</v>
      </c>
      <c r="AU14" s="55" t="n">
        <v>20000</v>
      </c>
      <c r="AV14" s="23">
        <f>SUM(X14:AI14)</f>
        <v>72661</v>
      </c>
      <c r="AW14" s="23">
        <f>SUM(AJ14:AU14)</f>
        <v>220000</v>
      </c>
      <c r="AX14" s="45">
        <f>$O14*(1+$P14)</f>
        <v>308000</v>
      </c>
      <c r="AY14" s="45">
        <f>AX14*(1+$Q14)</f>
        <v>369600</v>
      </c>
      <c r="AZ14" s="45">
        <f>AY14*(1+$R14)</f>
        <v>413952</v>
      </c>
      <c r="BA14" s="25">
        <f>SUM(AV14:AZ14)</f>
        <v>1384213</v>
      </c>
    </row>
    <row r="15">
      <c r="A15" s="62" t="n">
        <v>6</v>
      </c>
      <c r="B15" s="15" t="inlineStr">
        <is>
          <t>한국</t>
        </is>
      </c>
      <c r="C15" s="15" t="inlineStr">
        <is>
          <t>한국</t>
        </is>
      </c>
      <c r="D15" s="15" t="inlineStr">
        <is>
          <t>APP KOREA — 유아(스마트 베이비 기저귀)</t>
        </is>
      </c>
      <c r="E15" s="15" t="inlineStr">
        <is>
          <t>파트너</t>
        </is>
      </c>
      <c r="F15" s="15" t="inlineStr">
        <is>
          <t>-</t>
        </is>
      </c>
      <c r="G15" s="15" t="inlineStr">
        <is>
          <t>계약</t>
        </is>
      </c>
      <c r="H15" s="15" t="inlineStr">
        <is>
          <t>A 계약·기존 거래</t>
        </is>
      </c>
      <c r="I15" s="15" t="inlineStr">
        <is>
          <t>BABY</t>
        </is>
      </c>
      <c r="J15" s="63" t="inlineStr">
        <is>
          <t>M</t>
        </is>
      </c>
      <c r="M15" s="43">
        <f>AW15</f>
        <v>1200000</v>
      </c>
      <c r="O15" s="43">
        <f>$M15</f>
        <v>1200000</v>
      </c>
      <c r="P15" s="64" t="n">
        <v>0.64</v>
      </c>
      <c r="Q15" s="64" t="n">
        <v>0.3</v>
      </c>
      <c r="R15" s="64" t="n">
        <v>0.2</v>
      </c>
      <c r="S15" s="65">
        <f>INDEX('8_가정'!$C$17:$E$24,MATCH($G15,'8_가정'!$A$17:$A$24,0),1)</f>
        <v>1</v>
      </c>
      <c r="T15" s="63" t="inlineStr">
        <is>
          <t>Y</t>
        </is>
      </c>
      <c r="V15" s="66" t="inlineStr">
        <is>
          <t>2026-10-05 매출표(JCS) · IR p.12 APP 베이비 협업</t>
        </is>
      </c>
      <c r="X15" s="55" t="n">
        <v>0</v>
      </c>
      <c r="Y15" s="55" t="n">
        <v>0</v>
      </c>
      <c r="Z15" s="55" t="n">
        <v>0</v>
      </c>
      <c r="AA15" s="55" t="n">
        <v>0</v>
      </c>
      <c r="AB15" s="55" t="n">
        <v>0</v>
      </c>
      <c r="AC15" s="55" t="n">
        <v>0</v>
      </c>
      <c r="AD15" s="55" t="n">
        <v>0</v>
      </c>
      <c r="AE15" s="55" t="n">
        <v>0</v>
      </c>
      <c r="AF15" s="55" t="n">
        <v>0</v>
      </c>
      <c r="AG15" s="55" t="n">
        <v>0</v>
      </c>
      <c r="AH15" s="55" t="n">
        <v>0</v>
      </c>
      <c r="AI15" s="55" t="n">
        <v>0</v>
      </c>
      <c r="AJ15" s="55" t="n">
        <v>100000</v>
      </c>
      <c r="AK15" s="55" t="n">
        <v>100000</v>
      </c>
      <c r="AL15" s="55" t="n">
        <v>100000</v>
      </c>
      <c r="AM15" s="55" t="n">
        <v>100000</v>
      </c>
      <c r="AN15" s="55" t="n">
        <v>100000</v>
      </c>
      <c r="AO15" s="55" t="n">
        <v>100000</v>
      </c>
      <c r="AP15" s="55" t="n">
        <v>100000</v>
      </c>
      <c r="AQ15" s="55" t="n">
        <v>100000</v>
      </c>
      <c r="AR15" s="55" t="n">
        <v>100000</v>
      </c>
      <c r="AS15" s="55" t="n">
        <v>100000</v>
      </c>
      <c r="AT15" s="55" t="n">
        <v>100000</v>
      </c>
      <c r="AU15" s="55" t="n">
        <v>100000</v>
      </c>
      <c r="AV15" s="23">
        <f>SUM(X15:AI15)</f>
        <v>0</v>
      </c>
      <c r="AW15" s="23">
        <f>SUM(AJ15:AU15)</f>
        <v>1200000</v>
      </c>
      <c r="AX15" s="45">
        <f>$O15*(1+$P15)</f>
        <v>1968000</v>
      </c>
      <c r="AY15" s="45">
        <f>AX15*(1+$Q15)</f>
        <v>2558400</v>
      </c>
      <c r="AZ15" s="45">
        <f>AY15*(1+$R15)</f>
        <v>3070080</v>
      </c>
      <c r="BA15" s="25">
        <f>SUM(AV15:AZ15)</f>
        <v>8796480</v>
      </c>
    </row>
    <row r="16">
      <c r="A16" s="62" t="n">
        <v>7</v>
      </c>
      <c r="B16" s="15" t="inlineStr">
        <is>
          <t>대만</t>
        </is>
      </c>
      <c r="C16" s="15" t="inlineStr">
        <is>
          <t>동남아·APAC</t>
        </is>
      </c>
      <c r="D16" s="15" t="inlineStr">
        <is>
          <t>Little Loft(대만, 베이비)</t>
        </is>
      </c>
      <c r="E16" s="15" t="inlineStr">
        <is>
          <t>총판</t>
        </is>
      </c>
      <c r="F16" s="15" t="inlineStr">
        <is>
          <t>-</t>
        </is>
      </c>
      <c r="G16" s="15" t="inlineStr">
        <is>
          <t>계약</t>
        </is>
      </c>
      <c r="H16" s="15" t="inlineStr">
        <is>
          <t>A 계약·기존 거래</t>
        </is>
      </c>
      <c r="I16" s="15" t="inlineStr">
        <is>
          <t>BABY</t>
        </is>
      </c>
      <c r="J16" s="63" t="inlineStr">
        <is>
          <t>M</t>
        </is>
      </c>
      <c r="M16" s="43">
        <f>AW16</f>
        <v>135000</v>
      </c>
      <c r="O16" s="43">
        <f>$M16</f>
        <v>135000</v>
      </c>
      <c r="P16" s="64" t="n">
        <v>1.6</v>
      </c>
      <c r="Q16" s="64" t="n">
        <v>0.8</v>
      </c>
      <c r="R16" s="64" t="n">
        <v>0.48</v>
      </c>
      <c r="S16" s="65">
        <f>INDEX('8_가정'!$C$17:$E$24,MATCH($G16,'8_가정'!$A$17:$A$24,0),1)</f>
        <v>1</v>
      </c>
      <c r="T16" s="63" t="inlineStr">
        <is>
          <t>Y</t>
        </is>
      </c>
      <c r="V16" s="66" t="inlineStr">
        <is>
          <t>2026-10-05 매출표(JCS) · 2026 행11</t>
        </is>
      </c>
      <c r="X16" s="55" t="n">
        <v>0</v>
      </c>
      <c r="Y16" s="55" t="n">
        <v>0</v>
      </c>
      <c r="Z16" s="55" t="n">
        <v>0</v>
      </c>
      <c r="AA16" s="55" t="n">
        <v>0</v>
      </c>
      <c r="AB16" s="55" t="n">
        <v>15004</v>
      </c>
      <c r="AC16" s="55" t="n">
        <v>15946</v>
      </c>
      <c r="AD16" s="55" t="n">
        <v>0</v>
      </c>
      <c r="AE16" s="55" t="n">
        <v>0</v>
      </c>
      <c r="AF16" s="55" t="n">
        <v>0</v>
      </c>
      <c r="AG16" s="55" t="n">
        <v>0</v>
      </c>
      <c r="AH16" s="55" t="n">
        <v>0</v>
      </c>
      <c r="AI16" s="55" t="n">
        <v>0</v>
      </c>
      <c r="AJ16" s="55" t="n">
        <v>45000</v>
      </c>
      <c r="AK16" s="55" t="n">
        <v>0</v>
      </c>
      <c r="AL16" s="55" t="n">
        <v>0</v>
      </c>
      <c r="AM16" s="55" t="n">
        <v>0</v>
      </c>
      <c r="AN16" s="55" t="n">
        <v>45000</v>
      </c>
      <c r="AO16" s="55" t="n">
        <v>0</v>
      </c>
      <c r="AP16" s="55" t="n">
        <v>0</v>
      </c>
      <c r="AQ16" s="55" t="n">
        <v>0</v>
      </c>
      <c r="AR16" s="55" t="n">
        <v>45000</v>
      </c>
      <c r="AS16" s="55" t="n">
        <v>0</v>
      </c>
      <c r="AT16" s="55" t="n">
        <v>0</v>
      </c>
      <c r="AU16" s="55" t="n">
        <v>0</v>
      </c>
      <c r="AV16" s="23">
        <f>SUM(X16:AI16)</f>
        <v>30950</v>
      </c>
      <c r="AW16" s="23">
        <f>SUM(AJ16:AU16)</f>
        <v>135000</v>
      </c>
      <c r="AX16" s="45">
        <f>$O16*(1+$P16)</f>
        <v>351000</v>
      </c>
      <c r="AY16" s="45">
        <f>AX16*(1+$Q16)</f>
        <v>631800</v>
      </c>
      <c r="AZ16" s="45">
        <f>AY16*(1+$R16)</f>
        <v>935064</v>
      </c>
      <c r="BA16" s="25">
        <f>SUM(AV16:AZ16)</f>
        <v>2083814</v>
      </c>
    </row>
    <row r="17">
      <c r="A17" s="62" t="n">
        <v>8</v>
      </c>
      <c r="B17" s="15" t="inlineStr">
        <is>
          <t>태국</t>
        </is>
      </c>
      <c r="C17" s="15" t="inlineStr">
        <is>
          <t>동남아·APAC</t>
        </is>
      </c>
      <c r="D17" s="15" t="inlineStr">
        <is>
          <t>Punnita House(태국, 베이비)</t>
        </is>
      </c>
      <c r="E17" s="15" t="inlineStr">
        <is>
          <t>총판</t>
        </is>
      </c>
      <c r="F17" s="15" t="inlineStr">
        <is>
          <t>-</t>
        </is>
      </c>
      <c r="G17" s="15" t="inlineStr">
        <is>
          <t>계약</t>
        </is>
      </c>
      <c r="H17" s="15" t="inlineStr">
        <is>
          <t>A 계약·기존 거래</t>
        </is>
      </c>
      <c r="I17" s="15" t="inlineStr">
        <is>
          <t>BABY</t>
        </is>
      </c>
      <c r="J17" s="63" t="inlineStr">
        <is>
          <t>M</t>
        </is>
      </c>
      <c r="M17" s="43">
        <f>AW17</f>
        <v>135000</v>
      </c>
      <c r="O17" s="43">
        <f>$M17</f>
        <v>135000</v>
      </c>
      <c r="P17" s="64" t="n">
        <v>1.6</v>
      </c>
      <c r="Q17" s="64" t="n">
        <v>0.8</v>
      </c>
      <c r="R17" s="64" t="n">
        <v>0.48</v>
      </c>
      <c r="S17" s="65">
        <f>INDEX('8_가정'!$C$17:$E$24,MATCH($G17,'8_가정'!$A$17:$A$24,0),1)</f>
        <v>1</v>
      </c>
      <c r="T17" s="63" t="inlineStr">
        <is>
          <t>Y</t>
        </is>
      </c>
      <c r="V17" s="66" t="inlineStr">
        <is>
          <t>2026-10-05 매출표(JCS) · 2026 행12</t>
        </is>
      </c>
      <c r="X17" s="55" t="n">
        <v>0</v>
      </c>
      <c r="Y17" s="55" t="n">
        <v>0</v>
      </c>
      <c r="Z17" s="55" t="n">
        <v>22595</v>
      </c>
      <c r="AA17" s="55" t="n">
        <v>0</v>
      </c>
      <c r="AB17" s="55" t="n">
        <v>0</v>
      </c>
      <c r="AC17" s="55" t="n">
        <v>23287</v>
      </c>
      <c r="AD17" s="55" t="n">
        <v>0</v>
      </c>
      <c r="AE17" s="55" t="n">
        <v>0</v>
      </c>
      <c r="AF17" s="55" t="n">
        <v>0</v>
      </c>
      <c r="AG17" s="55" t="n">
        <v>0</v>
      </c>
      <c r="AH17" s="55" t="n">
        <v>0</v>
      </c>
      <c r="AI17" s="55" t="n">
        <v>81000</v>
      </c>
      <c r="AJ17" s="55" t="n">
        <v>0</v>
      </c>
      <c r="AK17" s="55" t="n">
        <v>0</v>
      </c>
      <c r="AL17" s="55" t="n">
        <v>45000</v>
      </c>
      <c r="AM17" s="55" t="n">
        <v>0</v>
      </c>
      <c r="AN17" s="55" t="n">
        <v>0</v>
      </c>
      <c r="AO17" s="55" t="n">
        <v>0</v>
      </c>
      <c r="AP17" s="55" t="n">
        <v>45000</v>
      </c>
      <c r="AQ17" s="55" t="n">
        <v>0</v>
      </c>
      <c r="AR17" s="55" t="n">
        <v>0</v>
      </c>
      <c r="AS17" s="55" t="n">
        <v>0</v>
      </c>
      <c r="AT17" s="55" t="n">
        <v>45000</v>
      </c>
      <c r="AU17" s="55" t="n">
        <v>0</v>
      </c>
      <c r="AV17" s="23">
        <f>SUM(X17:AI17)</f>
        <v>126882</v>
      </c>
      <c r="AW17" s="23">
        <f>SUM(AJ17:AU17)</f>
        <v>135000</v>
      </c>
      <c r="AX17" s="45">
        <f>$O17*(1+$P17)</f>
        <v>351000</v>
      </c>
      <c r="AY17" s="45">
        <f>AX17*(1+$Q17)</f>
        <v>631800</v>
      </c>
      <c r="AZ17" s="45">
        <f>AY17*(1+$R17)</f>
        <v>935064</v>
      </c>
      <c r="BA17" s="25">
        <f>SUM(AV17:AZ17)</f>
        <v>2179746</v>
      </c>
    </row>
    <row r="18">
      <c r="A18" s="62" t="n">
        <v>9</v>
      </c>
      <c r="B18" s="15" t="inlineStr">
        <is>
          <t>미정</t>
        </is>
      </c>
      <c r="C18" s="15" t="inlineStr">
        <is>
          <t>동남아·APAC</t>
        </is>
      </c>
      <c r="D18" s="15" t="inlineStr">
        <is>
          <t>신규 거래선-1 Swara Baby(베이비)</t>
        </is>
      </c>
      <c r="E18" s="15" t="inlineStr">
        <is>
          <t>총판</t>
        </is>
      </c>
      <c r="F18" s="15" t="inlineStr">
        <is>
          <t>-</t>
        </is>
      </c>
      <c r="G18" s="15" t="inlineStr">
        <is>
          <t>진행중</t>
        </is>
      </c>
      <c r="H18" s="15" t="inlineStr">
        <is>
          <t>B 등록·입찰·협의 단계</t>
        </is>
      </c>
      <c r="I18" s="15" t="inlineStr">
        <is>
          <t>BABY</t>
        </is>
      </c>
      <c r="J18" s="63" t="inlineStr">
        <is>
          <t>M</t>
        </is>
      </c>
      <c r="M18" s="43">
        <f>AW18</f>
        <v>135000</v>
      </c>
      <c r="O18" s="43">
        <f>$M18</f>
        <v>135000</v>
      </c>
      <c r="P18" s="64" t="n">
        <v>1.6</v>
      </c>
      <c r="Q18" s="64" t="n">
        <v>0.8</v>
      </c>
      <c r="R18" s="64" t="n">
        <v>0.48</v>
      </c>
      <c r="S18" s="65">
        <f>INDEX('8_가정'!$C$17:$E$24,MATCH($G18,'8_가정'!$A$17:$A$24,0),1)</f>
        <v>1</v>
      </c>
      <c r="T18" s="63" t="inlineStr">
        <is>
          <t>Y</t>
        </is>
      </c>
      <c r="V18" s="66" t="inlineStr">
        <is>
          <t>2026-10-05 매출표(JCS) · 2027 신규</t>
        </is>
      </c>
      <c r="X18" s="55" t="n">
        <v>0</v>
      </c>
      <c r="Y18" s="55" t="n">
        <v>0</v>
      </c>
      <c r="Z18" s="55" t="n">
        <v>0</v>
      </c>
      <c r="AA18" s="55" t="n">
        <v>0</v>
      </c>
      <c r="AB18" s="55" t="n">
        <v>0</v>
      </c>
      <c r="AC18" s="55" t="n">
        <v>0</v>
      </c>
      <c r="AD18" s="55" t="n">
        <v>0</v>
      </c>
      <c r="AE18" s="55" t="n">
        <v>0</v>
      </c>
      <c r="AF18" s="55" t="n">
        <v>0</v>
      </c>
      <c r="AG18" s="55" t="n">
        <v>0</v>
      </c>
      <c r="AH18" s="55" t="n">
        <v>0</v>
      </c>
      <c r="AI18" s="55" t="n">
        <v>0</v>
      </c>
      <c r="AJ18" s="55" t="n">
        <v>0</v>
      </c>
      <c r="AK18" s="55" t="n">
        <v>0</v>
      </c>
      <c r="AL18" s="55" t="n">
        <v>0</v>
      </c>
      <c r="AM18" s="55" t="n">
        <v>45000</v>
      </c>
      <c r="AN18" s="55" t="n">
        <v>0</v>
      </c>
      <c r="AO18" s="55" t="n">
        <v>0</v>
      </c>
      <c r="AP18" s="55" t="n">
        <v>0</v>
      </c>
      <c r="AQ18" s="55" t="n">
        <v>45000</v>
      </c>
      <c r="AR18" s="55" t="n">
        <v>0</v>
      </c>
      <c r="AS18" s="55" t="n">
        <v>0</v>
      </c>
      <c r="AT18" s="55" t="n">
        <v>0</v>
      </c>
      <c r="AU18" s="55" t="n">
        <v>45000</v>
      </c>
      <c r="AV18" s="23">
        <f>SUM(X18:AI18)</f>
        <v>0</v>
      </c>
      <c r="AW18" s="23">
        <f>SUM(AJ18:AU18)</f>
        <v>135000</v>
      </c>
      <c r="AX18" s="45">
        <f>$O18*(1+$P18)</f>
        <v>351000</v>
      </c>
      <c r="AY18" s="45">
        <f>AX18*(1+$Q18)</f>
        <v>631800</v>
      </c>
      <c r="AZ18" s="45">
        <f>AY18*(1+$R18)</f>
        <v>935064</v>
      </c>
      <c r="BA18" s="25">
        <f>SUM(AV18:AZ18)</f>
        <v>2052864</v>
      </c>
    </row>
    <row r="19">
      <c r="A19" s="62" t="n">
        <v>10</v>
      </c>
      <c r="B19" s="15" t="inlineStr">
        <is>
          <t>미정</t>
        </is>
      </c>
      <c r="C19" s="15" t="inlineStr">
        <is>
          <t>동남아·APAC</t>
        </is>
      </c>
      <c r="D19" s="15" t="inlineStr">
        <is>
          <t>신규 거래선-2(베이비)</t>
        </is>
      </c>
      <c r="E19" s="15" t="inlineStr">
        <is>
          <t>총판</t>
        </is>
      </c>
      <c r="F19" s="15" t="inlineStr">
        <is>
          <t>-</t>
        </is>
      </c>
      <c r="G19" s="15" t="inlineStr">
        <is>
          <t>진행중</t>
        </is>
      </c>
      <c r="H19" s="15" t="inlineStr">
        <is>
          <t>B 등록·입찰·협의 단계</t>
        </is>
      </c>
      <c r="I19" s="15" t="inlineStr">
        <is>
          <t>BABY</t>
        </is>
      </c>
      <c r="J19" s="63" t="inlineStr">
        <is>
          <t>M</t>
        </is>
      </c>
      <c r="M19" s="43">
        <f>AW19</f>
        <v>135000</v>
      </c>
      <c r="O19" s="43">
        <f>$M19</f>
        <v>135000</v>
      </c>
      <c r="P19" s="64" t="n">
        <v>1.6</v>
      </c>
      <c r="Q19" s="64" t="n">
        <v>0.8</v>
      </c>
      <c r="R19" s="64" t="n">
        <v>0.48</v>
      </c>
      <c r="S19" s="65">
        <f>INDEX('8_가정'!$C$17:$E$24,MATCH($G19,'8_가정'!$A$17:$A$24,0),1)</f>
        <v>1</v>
      </c>
      <c r="T19" s="63" t="inlineStr">
        <is>
          <t>Y</t>
        </is>
      </c>
      <c r="V19" s="66" t="inlineStr">
        <is>
          <t>2026-10-05 매출표(JCS) · 2027 신규</t>
        </is>
      </c>
      <c r="X19" s="55" t="n">
        <v>0</v>
      </c>
      <c r="Y19" s="55" t="n">
        <v>0</v>
      </c>
      <c r="Z19" s="55" t="n">
        <v>0</v>
      </c>
      <c r="AA19" s="55" t="n">
        <v>0</v>
      </c>
      <c r="AB19" s="55" t="n">
        <v>0</v>
      </c>
      <c r="AC19" s="55" t="n">
        <v>0</v>
      </c>
      <c r="AD19" s="55" t="n">
        <v>0</v>
      </c>
      <c r="AE19" s="55" t="n">
        <v>0</v>
      </c>
      <c r="AF19" s="55" t="n">
        <v>0</v>
      </c>
      <c r="AG19" s="55" t="n">
        <v>0</v>
      </c>
      <c r="AH19" s="55" t="n">
        <v>0</v>
      </c>
      <c r="AI19" s="55" t="n">
        <v>0</v>
      </c>
      <c r="AJ19" s="55" t="n">
        <v>0</v>
      </c>
      <c r="AK19" s="55" t="n">
        <v>45000</v>
      </c>
      <c r="AL19" s="55" t="n">
        <v>0</v>
      </c>
      <c r="AM19" s="55" t="n">
        <v>0</v>
      </c>
      <c r="AN19" s="55" t="n">
        <v>0</v>
      </c>
      <c r="AO19" s="55" t="n">
        <v>45000</v>
      </c>
      <c r="AP19" s="55" t="n">
        <v>0</v>
      </c>
      <c r="AQ19" s="55" t="n">
        <v>0</v>
      </c>
      <c r="AR19" s="55" t="n">
        <v>0</v>
      </c>
      <c r="AS19" s="55" t="n">
        <v>45000</v>
      </c>
      <c r="AT19" s="55" t="n">
        <v>0</v>
      </c>
      <c r="AU19" s="55" t="n">
        <v>0</v>
      </c>
      <c r="AV19" s="23">
        <f>SUM(X19:AI19)</f>
        <v>0</v>
      </c>
      <c r="AW19" s="23">
        <f>SUM(AJ19:AU19)</f>
        <v>135000</v>
      </c>
      <c r="AX19" s="45">
        <f>$O19*(1+$P19)</f>
        <v>351000</v>
      </c>
      <c r="AY19" s="45">
        <f>AX19*(1+$Q19)</f>
        <v>631800</v>
      </c>
      <c r="AZ19" s="45">
        <f>AY19*(1+$R19)</f>
        <v>935064</v>
      </c>
      <c r="BA19" s="25">
        <f>SUM(AV19:AZ19)</f>
        <v>2052864</v>
      </c>
    </row>
    <row r="20">
      <c r="A20" s="62" t="n">
        <v>11</v>
      </c>
      <c r="B20" s="15" t="inlineStr">
        <is>
          <t>한국</t>
        </is>
      </c>
      <c r="C20" s="15" t="inlineStr">
        <is>
          <t>한국</t>
        </is>
      </c>
      <c r="D20" s="15" t="inlineStr">
        <is>
          <t>삼성노블카운티</t>
        </is>
      </c>
      <c r="E20" s="15" t="inlineStr">
        <is>
          <t>기관(직접)</t>
        </is>
      </c>
      <c r="F20" s="15" t="inlineStr">
        <is>
          <t>-</t>
        </is>
      </c>
      <c r="G20" s="15" t="inlineStr">
        <is>
          <t>계약</t>
        </is>
      </c>
      <c r="H20" s="15" t="inlineStr">
        <is>
          <t>A 계약·기존 거래</t>
        </is>
      </c>
      <c r="I20" s="15" t="inlineStr">
        <is>
          <t>SUB</t>
        </is>
      </c>
      <c r="J20" s="63" t="inlineStr">
        <is>
          <t>M</t>
        </is>
      </c>
      <c r="M20" s="43">
        <f>AW20</f>
        <v>23700</v>
      </c>
      <c r="O20" s="43">
        <f>$M20</f>
        <v>23700</v>
      </c>
      <c r="P20" s="64" t="n">
        <v>0.32</v>
      </c>
      <c r="Q20" s="64" t="n">
        <v>0.15</v>
      </c>
      <c r="R20" s="64" t="n">
        <v>0.08</v>
      </c>
      <c r="S20" s="65">
        <f>INDEX('8_가정'!$C$17:$E$24,MATCH($G20,'8_가정'!$A$17:$A$24,0),1)</f>
        <v>1</v>
      </c>
      <c r="T20" s="63" t="inlineStr">
        <is>
          <t>Y</t>
        </is>
      </c>
      <c r="V20" s="66" t="inlineStr">
        <is>
          <t>2026-10-05 매출표(JCS) · 요양시설 레퍼런스(IR p.10)</t>
        </is>
      </c>
      <c r="X20" s="55" t="n">
        <v>0</v>
      </c>
      <c r="Y20" s="55" t="n">
        <v>0</v>
      </c>
      <c r="Z20" s="55" t="n">
        <v>0</v>
      </c>
      <c r="AA20" s="55" t="n">
        <v>0</v>
      </c>
      <c r="AB20" s="55" t="n">
        <v>0</v>
      </c>
      <c r="AC20" s="55" t="n">
        <v>0</v>
      </c>
      <c r="AD20" s="55" t="n">
        <v>0</v>
      </c>
      <c r="AE20" s="55" t="n">
        <v>0</v>
      </c>
      <c r="AF20" s="55" t="n">
        <v>0</v>
      </c>
      <c r="AG20" s="55" t="n">
        <v>0</v>
      </c>
      <c r="AH20" s="55" t="n">
        <v>7900</v>
      </c>
      <c r="AI20" s="55" t="n">
        <v>7900</v>
      </c>
      <c r="AJ20" s="55" t="n">
        <v>1975</v>
      </c>
      <c r="AK20" s="55" t="n">
        <v>1975</v>
      </c>
      <c r="AL20" s="55" t="n">
        <v>1975</v>
      </c>
      <c r="AM20" s="55" t="n">
        <v>1975</v>
      </c>
      <c r="AN20" s="55" t="n">
        <v>1975</v>
      </c>
      <c r="AO20" s="55" t="n">
        <v>1975</v>
      </c>
      <c r="AP20" s="55" t="n">
        <v>1975</v>
      </c>
      <c r="AQ20" s="55" t="n">
        <v>1975</v>
      </c>
      <c r="AR20" s="55" t="n">
        <v>1975</v>
      </c>
      <c r="AS20" s="55" t="n">
        <v>1975</v>
      </c>
      <c r="AT20" s="55" t="n">
        <v>1975</v>
      </c>
      <c r="AU20" s="55" t="n">
        <v>1975</v>
      </c>
      <c r="AV20" s="23">
        <f>SUM(X20:AI20)</f>
        <v>15800</v>
      </c>
      <c r="AW20" s="23">
        <f>SUM(AJ20:AU20)</f>
        <v>23700</v>
      </c>
      <c r="AX20" s="45">
        <f>$O20*(1+$P20)</f>
        <v>31284</v>
      </c>
      <c r="AY20" s="45">
        <f>AX20*(1+$Q20)</f>
        <v>35976.6</v>
      </c>
      <c r="AZ20" s="45">
        <f>AY20*(1+$R20)</f>
        <v>38854.728</v>
      </c>
      <c r="BA20" s="25">
        <f>SUM(AV20:AZ20)</f>
        <v>145615.328</v>
      </c>
    </row>
    <row r="21">
      <c r="A21" s="62" t="n">
        <v>12</v>
      </c>
      <c r="B21" s="15" t="inlineStr">
        <is>
          <t>한국</t>
        </is>
      </c>
      <c r="C21" s="15" t="inlineStr">
        <is>
          <t>한국</t>
        </is>
      </c>
      <c r="D21" s="15" t="inlineStr">
        <is>
          <t>국내 요양병원·시설 구독 매출</t>
        </is>
      </c>
      <c r="E21" s="15" t="inlineStr">
        <is>
          <t>총판</t>
        </is>
      </c>
      <c r="F21" s="15" t="inlineStr">
        <is>
          <t>-</t>
        </is>
      </c>
      <c r="G21" s="15" t="inlineStr">
        <is>
          <t>진행중</t>
        </is>
      </c>
      <c r="H21" s="15" t="inlineStr">
        <is>
          <t>B 등록·입찰·협의 단계</t>
        </is>
      </c>
      <c r="I21" s="15" t="inlineStr">
        <is>
          <t>SUB</t>
        </is>
      </c>
      <c r="J21" s="63" t="inlineStr">
        <is>
          <t>M</t>
        </is>
      </c>
      <c r="M21" s="43">
        <f>AW21</f>
        <v>2998000</v>
      </c>
      <c r="O21" s="43">
        <f>$M21</f>
        <v>2998000</v>
      </c>
      <c r="P21" s="64" t="n">
        <v>1.44</v>
      </c>
      <c r="Q21" s="64" t="n">
        <v>0.7</v>
      </c>
      <c r="R21" s="64" t="n">
        <v>0.4</v>
      </c>
      <c r="S21" s="65">
        <f>INDEX('8_가정'!$C$17:$E$24,MATCH($G21,'8_가정'!$A$17:$A$24,0),1)</f>
        <v>1</v>
      </c>
      <c r="T21" s="63" t="inlineStr">
        <is>
          <t>Y</t>
        </is>
      </c>
      <c r="V21" s="66" t="inlineStr">
        <is>
          <t>2026-10-05 매출표(JCS) · IR p.10 요양시설 기저귀 유통사 경유</t>
        </is>
      </c>
      <c r="X21" s="55" t="n">
        <v>0</v>
      </c>
      <c r="Y21" s="55" t="n">
        <v>0</v>
      </c>
      <c r="Z21" s="55" t="n">
        <v>0</v>
      </c>
      <c r="AA21" s="55" t="n">
        <v>0</v>
      </c>
      <c r="AB21" s="55" t="n">
        <v>0</v>
      </c>
      <c r="AC21" s="55" t="n">
        <v>0</v>
      </c>
      <c r="AD21" s="55" t="n">
        <v>0</v>
      </c>
      <c r="AE21" s="55" t="n">
        <v>0</v>
      </c>
      <c r="AF21" s="55" t="n">
        <v>0</v>
      </c>
      <c r="AG21" s="55" t="n">
        <v>0</v>
      </c>
      <c r="AH21" s="55" t="n">
        <v>22120</v>
      </c>
      <c r="AI21" s="55" t="n">
        <v>41080</v>
      </c>
      <c r="AJ21" s="55" t="n">
        <v>158000</v>
      </c>
      <c r="AK21" s="55" t="n">
        <v>173800</v>
      </c>
      <c r="AL21" s="55" t="n">
        <v>189600</v>
      </c>
      <c r="AM21" s="55" t="n">
        <v>205400</v>
      </c>
      <c r="AN21" s="55" t="n">
        <v>221200</v>
      </c>
      <c r="AO21" s="55" t="n">
        <v>252800</v>
      </c>
      <c r="AP21" s="55" t="n">
        <v>268600</v>
      </c>
      <c r="AQ21" s="55" t="n">
        <v>268600</v>
      </c>
      <c r="AR21" s="55" t="n">
        <v>284400</v>
      </c>
      <c r="AS21" s="55" t="n">
        <v>309400</v>
      </c>
      <c r="AT21" s="55" t="n">
        <v>325200</v>
      </c>
      <c r="AU21" s="55" t="n">
        <v>341000</v>
      </c>
      <c r="AV21" s="23">
        <f>SUM(X21:AI21)</f>
        <v>63200</v>
      </c>
      <c r="AW21" s="23">
        <f>SUM(AJ21:AU21)</f>
        <v>2998000</v>
      </c>
      <c r="AX21" s="45">
        <f>$O21*(1+$P21)</f>
        <v>7315120</v>
      </c>
      <c r="AY21" s="45">
        <f>AX21*(1+$Q21)</f>
        <v>12435704</v>
      </c>
      <c r="AZ21" s="45">
        <f>AY21*(1+$R21)</f>
        <v>17409985.6</v>
      </c>
      <c r="BA21" s="25">
        <f>SUM(AV21:AZ21)</f>
        <v>40222009.6</v>
      </c>
    </row>
    <row r="22">
      <c r="A22" s="62" t="n">
        <v>13</v>
      </c>
      <c r="B22" s="15" t="inlineStr">
        <is>
          <t>한국</t>
        </is>
      </c>
      <c r="C22" s="15" t="inlineStr">
        <is>
          <t>한국</t>
        </is>
      </c>
      <c r="D22" s="15" t="inlineStr">
        <is>
          <t>피플앤피플 실증사업</t>
        </is>
      </c>
      <c r="E22" s="15" t="inlineStr">
        <is>
          <t>기관(직접)</t>
        </is>
      </c>
      <c r="F22" s="15" t="inlineStr">
        <is>
          <t>-</t>
        </is>
      </c>
      <c r="G22" s="15" t="inlineStr">
        <is>
          <t>계약</t>
        </is>
      </c>
      <c r="H22" s="15" t="inlineStr">
        <is>
          <t>A 계약·기존 거래</t>
        </is>
      </c>
      <c r="I22" s="15" t="inlineStr">
        <is>
          <t>RND</t>
        </is>
      </c>
      <c r="J22" s="63" t="inlineStr">
        <is>
          <t>M</t>
        </is>
      </c>
      <c r="M22" s="43">
        <f>AW22</f>
        <v>0</v>
      </c>
      <c r="O22" s="43">
        <f>$M22</f>
        <v>0</v>
      </c>
      <c r="P22" s="64" t="n">
        <v>0</v>
      </c>
      <c r="Q22" s="64" t="n">
        <v>0</v>
      </c>
      <c r="R22" s="64" t="n">
        <v>0</v>
      </c>
      <c r="S22" s="65">
        <f>INDEX('8_가정'!$C$17:$E$24,MATCH($G22,'8_가정'!$A$17:$A$24,0),1)</f>
        <v>1</v>
      </c>
      <c r="T22" s="63" t="inlineStr">
        <is>
          <t>Y</t>
        </is>
      </c>
      <c r="V22" s="66" t="inlineStr">
        <is>
          <t>2026-10-05 매출표(JCS) · 2026-12 실증사업 3,500만원</t>
        </is>
      </c>
      <c r="X22" s="55" t="n">
        <v>0</v>
      </c>
      <c r="Y22" s="55" t="n">
        <v>0</v>
      </c>
      <c r="Z22" s="55" t="n">
        <v>0</v>
      </c>
      <c r="AA22" s="55" t="n">
        <v>0</v>
      </c>
      <c r="AB22" s="55" t="n">
        <v>0</v>
      </c>
      <c r="AC22" s="55" t="n">
        <v>0</v>
      </c>
      <c r="AD22" s="55" t="n">
        <v>0</v>
      </c>
      <c r="AE22" s="55" t="n">
        <v>0</v>
      </c>
      <c r="AF22" s="55" t="n">
        <v>0</v>
      </c>
      <c r="AG22" s="55" t="n">
        <v>0</v>
      </c>
      <c r="AH22" s="55" t="n">
        <v>0</v>
      </c>
      <c r="AI22" s="55" t="n">
        <v>35000</v>
      </c>
      <c r="AJ22" s="55" t="n">
        <v>0</v>
      </c>
      <c r="AK22" s="55" t="n">
        <v>0</v>
      </c>
      <c r="AL22" s="55" t="n">
        <v>0</v>
      </c>
      <c r="AM22" s="55" t="n">
        <v>0</v>
      </c>
      <c r="AN22" s="55" t="n">
        <v>0</v>
      </c>
      <c r="AO22" s="55" t="n">
        <v>0</v>
      </c>
      <c r="AP22" s="55" t="n">
        <v>0</v>
      </c>
      <c r="AQ22" s="55" t="n">
        <v>0</v>
      </c>
      <c r="AR22" s="55" t="n">
        <v>0</v>
      </c>
      <c r="AS22" s="55" t="n">
        <v>0</v>
      </c>
      <c r="AT22" s="55" t="n">
        <v>0</v>
      </c>
      <c r="AU22" s="55" t="n">
        <v>0</v>
      </c>
      <c r="AV22" s="23">
        <f>SUM(X22:AI22)</f>
        <v>35000</v>
      </c>
      <c r="AW22" s="23">
        <f>SUM(AJ22:AU22)</f>
        <v>0</v>
      </c>
      <c r="AX22" s="45">
        <f>$O22*(1+$P22)</f>
        <v>0</v>
      </c>
      <c r="AY22" s="45">
        <f>AX22*(1+$Q22)</f>
        <v>0</v>
      </c>
      <c r="AZ22" s="45">
        <f>AY22*(1+$R22)</f>
        <v>0</v>
      </c>
      <c r="BA22" s="25">
        <f>SUM(AV22:AZ22)</f>
        <v>35000</v>
      </c>
    </row>
    <row r="23">
      <c r="A23" s="62" t="n">
        <v>14</v>
      </c>
      <c r="B23" s="15" t="inlineStr">
        <is>
          <t>한국</t>
        </is>
      </c>
      <c r="C23" s="15" t="inlineStr">
        <is>
          <t>한국</t>
        </is>
      </c>
      <c r="D23" s="15" t="inlineStr">
        <is>
          <t>네이버 — 엘더리</t>
        </is>
      </c>
      <c r="E23" s="15" t="inlineStr">
        <is>
          <t>온라인·B2C</t>
        </is>
      </c>
      <c r="F23" s="15" t="inlineStr">
        <is>
          <t>-</t>
        </is>
      </c>
      <c r="G23" s="15" t="inlineStr">
        <is>
          <t>기존</t>
        </is>
      </c>
      <c r="H23" s="15" t="inlineStr">
        <is>
          <t>A 계약·기존 거래</t>
        </is>
      </c>
      <c r="I23" s="15" t="inlineStr">
        <is>
          <t>SUB</t>
        </is>
      </c>
      <c r="J23" s="63" t="inlineStr">
        <is>
          <t>M</t>
        </is>
      </c>
      <c r="M23" s="43">
        <f>AW23</f>
        <v>0</v>
      </c>
      <c r="O23" s="43">
        <f>$M23</f>
        <v>0</v>
      </c>
      <c r="P23" s="64" t="n">
        <v>0</v>
      </c>
      <c r="Q23" s="64" t="n">
        <v>0</v>
      </c>
      <c r="R23" s="64" t="n">
        <v>0</v>
      </c>
      <c r="S23" s="65">
        <f>INDEX('8_가정'!$C$17:$E$24,MATCH($G23,'8_가정'!$A$17:$A$24,0),1)</f>
        <v>1</v>
      </c>
      <c r="T23" s="63" t="inlineStr">
        <is>
          <t>Y</t>
        </is>
      </c>
      <c r="V23" s="66" t="inlineStr">
        <is>
          <t>2026-10-05 매출표(JCS) · 2027 표에 미표기</t>
        </is>
      </c>
      <c r="X23" s="55" t="n">
        <v>16399</v>
      </c>
      <c r="Y23" s="55" t="n">
        <v>22103</v>
      </c>
      <c r="Z23" s="55" t="n">
        <v>1001</v>
      </c>
      <c r="AA23" s="55" t="n">
        <v>49</v>
      </c>
      <c r="AB23" s="55" t="n">
        <v>310</v>
      </c>
      <c r="AC23" s="55" t="n">
        <v>651</v>
      </c>
      <c r="AD23" s="55" t="n">
        <v>254</v>
      </c>
      <c r="AE23" s="55" t="n">
        <v>135</v>
      </c>
      <c r="AF23" s="55" t="n">
        <v>103</v>
      </c>
      <c r="AG23" s="55" t="n">
        <v>0</v>
      </c>
      <c r="AH23" s="55" t="n">
        <v>0</v>
      </c>
      <c r="AI23" s="55" t="n">
        <v>0</v>
      </c>
      <c r="AJ23" s="55" t="n">
        <v>0</v>
      </c>
      <c r="AK23" s="55" t="n">
        <v>0</v>
      </c>
      <c r="AL23" s="55" t="n">
        <v>0</v>
      </c>
      <c r="AM23" s="55" t="n">
        <v>0</v>
      </c>
      <c r="AN23" s="55" t="n">
        <v>0</v>
      </c>
      <c r="AO23" s="55" t="n">
        <v>0</v>
      </c>
      <c r="AP23" s="55" t="n">
        <v>0</v>
      </c>
      <c r="AQ23" s="55" t="n">
        <v>0</v>
      </c>
      <c r="AR23" s="55" t="n">
        <v>0</v>
      </c>
      <c r="AS23" s="55" t="n">
        <v>0</v>
      </c>
      <c r="AT23" s="55" t="n">
        <v>0</v>
      </c>
      <c r="AU23" s="55" t="n">
        <v>0</v>
      </c>
      <c r="AV23" s="23">
        <f>SUM(X23:AI23)</f>
        <v>41005</v>
      </c>
      <c r="AW23" s="23">
        <f>SUM(AJ23:AU23)</f>
        <v>0</v>
      </c>
      <c r="AX23" s="45">
        <f>$O23*(1+$P23)</f>
        <v>0</v>
      </c>
      <c r="AY23" s="45">
        <f>AX23*(1+$Q23)</f>
        <v>0</v>
      </c>
      <c r="AZ23" s="45">
        <f>AY23*(1+$R23)</f>
        <v>0</v>
      </c>
      <c r="BA23" s="25">
        <f>SUM(AV23:AZ23)</f>
        <v>41005</v>
      </c>
    </row>
    <row r="24">
      <c r="A24" s="62" t="n">
        <v>15</v>
      </c>
      <c r="B24" s="15" t="inlineStr">
        <is>
          <t>한국</t>
        </is>
      </c>
      <c r="C24" s="15" t="inlineStr">
        <is>
          <t>한국</t>
        </is>
      </c>
      <c r="D24" s="15" t="inlineStr">
        <is>
          <t>쿠팡 — 엘더리</t>
        </is>
      </c>
      <c r="E24" s="15" t="inlineStr">
        <is>
          <t>온라인·B2C</t>
        </is>
      </c>
      <c r="F24" s="15" t="inlineStr">
        <is>
          <t>-</t>
        </is>
      </c>
      <c r="G24" s="15" t="inlineStr">
        <is>
          <t>기존</t>
        </is>
      </c>
      <c r="H24" s="15" t="inlineStr">
        <is>
          <t>A 계약·기존 거래</t>
        </is>
      </c>
      <c r="I24" s="15" t="inlineStr">
        <is>
          <t>SUB</t>
        </is>
      </c>
      <c r="J24" s="63" t="inlineStr">
        <is>
          <t>M</t>
        </is>
      </c>
      <c r="M24" s="43">
        <f>AW24</f>
        <v>240000</v>
      </c>
      <c r="O24" s="43">
        <f>$M24</f>
        <v>240000</v>
      </c>
      <c r="P24" s="64" t="n">
        <v>0.48</v>
      </c>
      <c r="Q24" s="64" t="n">
        <v>0.25</v>
      </c>
      <c r="R24" s="64" t="n">
        <v>0.16</v>
      </c>
      <c r="S24" s="65">
        <f>INDEX('8_가정'!$C$17:$E$24,MATCH($G24,'8_가정'!$A$17:$A$24,0),1)</f>
        <v>1</v>
      </c>
      <c r="T24" s="63" t="inlineStr">
        <is>
          <t>Y</t>
        </is>
      </c>
      <c r="V24" s="66" t="inlineStr">
        <is>
          <t>2026-10-05 매출표(JCS)</t>
        </is>
      </c>
      <c r="X24" s="55" t="n">
        <v>245</v>
      </c>
      <c r="Y24" s="55" t="n">
        <v>489</v>
      </c>
      <c r="Z24" s="55" t="n">
        <v>1033</v>
      </c>
      <c r="AA24" s="55" t="n">
        <v>436</v>
      </c>
      <c r="AB24" s="55" t="n">
        <v>689</v>
      </c>
      <c r="AC24" s="55" t="n">
        <v>441</v>
      </c>
      <c r="AD24" s="55" t="n">
        <v>787</v>
      </c>
      <c r="AE24" s="55" t="n">
        <v>323</v>
      </c>
      <c r="AF24" s="55" t="n">
        <v>292</v>
      </c>
      <c r="AG24" s="55" t="n">
        <v>0</v>
      </c>
      <c r="AH24" s="55" t="n">
        <v>0</v>
      </c>
      <c r="AI24" s="55" t="n">
        <v>0</v>
      </c>
      <c r="AJ24" s="55" t="n">
        <v>20000</v>
      </c>
      <c r="AK24" s="55" t="n">
        <v>20000</v>
      </c>
      <c r="AL24" s="55" t="n">
        <v>20000</v>
      </c>
      <c r="AM24" s="55" t="n">
        <v>20000</v>
      </c>
      <c r="AN24" s="55" t="n">
        <v>20000</v>
      </c>
      <c r="AO24" s="55" t="n">
        <v>20000</v>
      </c>
      <c r="AP24" s="55" t="n">
        <v>20000</v>
      </c>
      <c r="AQ24" s="55" t="n">
        <v>20000</v>
      </c>
      <c r="AR24" s="55" t="n">
        <v>20000</v>
      </c>
      <c r="AS24" s="55" t="n">
        <v>20000</v>
      </c>
      <c r="AT24" s="55" t="n">
        <v>20000</v>
      </c>
      <c r="AU24" s="55" t="n">
        <v>20000</v>
      </c>
      <c r="AV24" s="23">
        <f>SUM(X24:AI24)</f>
        <v>4735</v>
      </c>
      <c r="AW24" s="23">
        <f>SUM(AJ24:AU24)</f>
        <v>240000</v>
      </c>
      <c r="AX24" s="45">
        <f>$O24*(1+$P24)</f>
        <v>355200</v>
      </c>
      <c r="AY24" s="45">
        <f>AX24*(1+$Q24)</f>
        <v>444000</v>
      </c>
      <c r="AZ24" s="45">
        <f>AY24*(1+$R24)</f>
        <v>515040</v>
      </c>
      <c r="BA24" s="25">
        <f>SUM(AV24:AZ24)</f>
        <v>1558975</v>
      </c>
    </row>
    <row r="25">
      <c r="A25" s="62" t="n">
        <v>16</v>
      </c>
      <c r="B25" s="15" t="inlineStr">
        <is>
          <t>한국</t>
        </is>
      </c>
      <c r="C25" s="15" t="inlineStr">
        <is>
          <t>한국</t>
        </is>
      </c>
      <c r="D25" s="15" t="inlineStr">
        <is>
          <t>복지용구(NHIS 급여, 기저귀센서)</t>
        </is>
      </c>
      <c r="E25" s="15" t="inlineStr">
        <is>
          <t>B2G·제도</t>
        </is>
      </c>
      <c r="F25" s="15" t="inlineStr">
        <is>
          <t>-</t>
        </is>
      </c>
      <c r="G25" s="15" t="inlineStr">
        <is>
          <t>등록완료</t>
        </is>
      </c>
      <c r="H25" s="15" t="inlineStr">
        <is>
          <t>B 등록·입찰·협의 단계</t>
        </is>
      </c>
      <c r="I25" s="15" t="inlineStr">
        <is>
          <t>NHIS</t>
        </is>
      </c>
      <c r="J25" s="63" t="inlineStr">
        <is>
          <t>M</t>
        </is>
      </c>
      <c r="M25" s="43">
        <f>AW25</f>
        <v>487300</v>
      </c>
      <c r="O25" s="43">
        <f>$M25</f>
        <v>487300</v>
      </c>
      <c r="P25" s="64" t="n">
        <v>0.96</v>
      </c>
      <c r="Q25" s="64" t="n">
        <v>0.5</v>
      </c>
      <c r="R25" s="64" t="n">
        <v>0.32</v>
      </c>
      <c r="S25" s="65">
        <f>INDEX('8_가정'!$C$17:$E$24,MATCH($G25,'8_가정'!$A$17:$A$24,0),1)</f>
        <v>1</v>
      </c>
      <c r="T25" s="63" t="inlineStr">
        <is>
          <t>Y</t>
        </is>
      </c>
      <c r="V25" s="66" t="inlineStr">
        <is>
          <t>2026-10-05 매출표(JCS) · IR p.9 NHIS 혁신 복지용구</t>
        </is>
      </c>
      <c r="X25" s="55" t="n">
        <v>9806</v>
      </c>
      <c r="Y25" s="55" t="n">
        <v>3979</v>
      </c>
      <c r="Z25" s="55" t="n">
        <v>2010</v>
      </c>
      <c r="AA25" s="55" t="n">
        <v>0</v>
      </c>
      <c r="AB25" s="55" t="n">
        <v>0</v>
      </c>
      <c r="AC25" s="55" t="n">
        <v>0</v>
      </c>
      <c r="AD25" s="55" t="n">
        <v>0</v>
      </c>
      <c r="AE25" s="55" t="n">
        <v>0</v>
      </c>
      <c r="AF25" s="55" t="n">
        <v>0</v>
      </c>
      <c r="AG25" s="55" t="n">
        <v>0</v>
      </c>
      <c r="AH25" s="55" t="n">
        <v>0</v>
      </c>
      <c r="AI25" s="55" t="n">
        <v>0</v>
      </c>
      <c r="AJ25" s="55" t="n">
        <v>40000</v>
      </c>
      <c r="AK25" s="55" t="n">
        <v>40000</v>
      </c>
      <c r="AL25" s="55" t="n">
        <v>40000</v>
      </c>
      <c r="AM25" s="55" t="n">
        <v>40000</v>
      </c>
      <c r="AN25" s="55" t="n">
        <v>40000</v>
      </c>
      <c r="AO25" s="55" t="n">
        <v>40000</v>
      </c>
      <c r="AP25" s="55" t="n">
        <v>40000</v>
      </c>
      <c r="AQ25" s="55" t="n">
        <v>40000</v>
      </c>
      <c r="AR25" s="55" t="n">
        <v>40000</v>
      </c>
      <c r="AS25" s="55" t="n">
        <v>40000</v>
      </c>
      <c r="AT25" s="55" t="n">
        <v>40000</v>
      </c>
      <c r="AU25" s="55" t="n">
        <v>47300</v>
      </c>
      <c r="AV25" s="23">
        <f>SUM(X25:AI25)</f>
        <v>15795</v>
      </c>
      <c r="AW25" s="23">
        <f>SUM(AJ25:AU25)</f>
        <v>487300</v>
      </c>
      <c r="AX25" s="45">
        <f>$O25*(1+$P25)</f>
        <v>955108</v>
      </c>
      <c r="AY25" s="45">
        <f>AX25*(1+$Q25)</f>
        <v>1432662</v>
      </c>
      <c r="AZ25" s="45">
        <f>AY25*(1+$R25)</f>
        <v>1891113.84</v>
      </c>
      <c r="BA25" s="25">
        <f>SUM(AV25:AZ25)</f>
        <v>4781978.84</v>
      </c>
    </row>
    <row r="26">
      <c r="A26" s="62" t="n">
        <v>17</v>
      </c>
      <c r="B26" s="15" t="inlineStr">
        <is>
          <t>한국</t>
        </is>
      </c>
      <c r="C26" s="15" t="inlineStr">
        <is>
          <t>한국</t>
        </is>
      </c>
      <c r="D26" s="15" t="inlineStr">
        <is>
          <t>국내 B2B 기타</t>
        </is>
      </c>
      <c r="E26" s="15" t="inlineStr">
        <is>
          <t>국내 B2B</t>
        </is>
      </c>
      <c r="F26" s="15" t="inlineStr">
        <is>
          <t>-</t>
        </is>
      </c>
      <c r="G26" s="15" t="inlineStr">
        <is>
          <t>기존</t>
        </is>
      </c>
      <c r="H26" s="15" t="inlineStr">
        <is>
          <t>A 계약·기존 거래</t>
        </is>
      </c>
      <c r="I26" s="15" t="inlineStr">
        <is>
          <t>SUB</t>
        </is>
      </c>
      <c r="J26" s="63" t="inlineStr">
        <is>
          <t>M</t>
        </is>
      </c>
      <c r="M26" s="43">
        <f>AW26</f>
        <v>0</v>
      </c>
      <c r="O26" s="43">
        <f>$M26</f>
        <v>0</v>
      </c>
      <c r="P26" s="64" t="n">
        <v>0</v>
      </c>
      <c r="Q26" s="64" t="n">
        <v>0</v>
      </c>
      <c r="R26" s="64" t="n">
        <v>0</v>
      </c>
      <c r="S26" s="65">
        <f>INDEX('8_가정'!$C$17:$E$24,MATCH($G26,'8_가정'!$A$17:$A$24,0),1)</f>
        <v>1</v>
      </c>
      <c r="T26" s="63" t="inlineStr">
        <is>
          <t>Y</t>
        </is>
      </c>
      <c r="V26" s="66" t="inlineStr">
        <is>
          <t>2026-10-05 매출표(JCS)</t>
        </is>
      </c>
      <c r="X26" s="55" t="n">
        <v>0</v>
      </c>
      <c r="Y26" s="55" t="n">
        <v>0</v>
      </c>
      <c r="Z26" s="55" t="n">
        <v>0</v>
      </c>
      <c r="AA26" s="55" t="n">
        <v>0</v>
      </c>
      <c r="AB26" s="55" t="n">
        <v>0</v>
      </c>
      <c r="AC26" s="55" t="n">
        <v>0</v>
      </c>
      <c r="AD26" s="55" t="n">
        <v>642</v>
      </c>
      <c r="AE26" s="55" t="n">
        <v>229</v>
      </c>
      <c r="AF26" s="55" t="n">
        <v>0</v>
      </c>
      <c r="AG26" s="55" t="n">
        <v>0</v>
      </c>
      <c r="AH26" s="55" t="n">
        <v>-3950</v>
      </c>
      <c r="AI26" s="55" t="n">
        <v>0</v>
      </c>
      <c r="AJ26" s="55" t="n">
        <v>0</v>
      </c>
      <c r="AK26" s="55" t="n">
        <v>0</v>
      </c>
      <c r="AL26" s="55" t="n">
        <v>0</v>
      </c>
      <c r="AM26" s="55" t="n">
        <v>0</v>
      </c>
      <c r="AN26" s="55" t="n">
        <v>0</v>
      </c>
      <c r="AO26" s="55" t="n">
        <v>0</v>
      </c>
      <c r="AP26" s="55" t="n">
        <v>0</v>
      </c>
      <c r="AQ26" s="55" t="n">
        <v>0</v>
      </c>
      <c r="AR26" s="55" t="n">
        <v>0</v>
      </c>
      <c r="AS26" s="55" t="n">
        <v>0</v>
      </c>
      <c r="AT26" s="55" t="n">
        <v>0</v>
      </c>
      <c r="AU26" s="55" t="n">
        <v>0</v>
      </c>
      <c r="AV26" s="23">
        <f>SUM(X26:AI26)</f>
        <v>-3079</v>
      </c>
      <c r="AW26" s="23">
        <f>SUM(AJ26:AU26)</f>
        <v>0</v>
      </c>
      <c r="AX26" s="45">
        <f>$O26*(1+$P26)</f>
        <v>0</v>
      </c>
      <c r="AY26" s="45">
        <f>AX26*(1+$Q26)</f>
        <v>0</v>
      </c>
      <c r="AZ26" s="45">
        <f>AY26*(1+$R26)</f>
        <v>0</v>
      </c>
      <c r="BA26" s="25">
        <f>SUM(AV26:AZ26)</f>
        <v>-3079</v>
      </c>
    </row>
    <row r="27">
      <c r="A27" s="62" t="n">
        <v>18</v>
      </c>
      <c r="B27" s="15" t="inlineStr">
        <is>
          <t>한국</t>
        </is>
      </c>
      <c r="C27" s="15" t="inlineStr">
        <is>
          <t>한국</t>
        </is>
      </c>
      <c r="D27" s="15" t="inlineStr">
        <is>
          <t>APP KOREA — 성인(키퍼스 시니어 팬티형)</t>
        </is>
      </c>
      <c r="E27" s="15" t="inlineStr">
        <is>
          <t>파트너</t>
        </is>
      </c>
      <c r="F27" s="15" t="inlineStr">
        <is>
          <t>-</t>
        </is>
      </c>
      <c r="G27" s="15" t="inlineStr">
        <is>
          <t>계약</t>
        </is>
      </c>
      <c r="H27" s="15" t="inlineStr">
        <is>
          <t>A 계약·기존 거래</t>
        </is>
      </c>
      <c r="I27" s="15" t="inlineStr">
        <is>
          <t>SUB</t>
        </is>
      </c>
      <c r="J27" s="63" t="inlineStr">
        <is>
          <t>M</t>
        </is>
      </c>
      <c r="M27" s="43">
        <f>AW27</f>
        <v>1200000</v>
      </c>
      <c r="O27" s="43">
        <f>$M27</f>
        <v>1200000</v>
      </c>
      <c r="P27" s="64" t="n">
        <v>0.64</v>
      </c>
      <c r="Q27" s="64" t="n">
        <v>0.3</v>
      </c>
      <c r="R27" s="64" t="n">
        <v>0.2</v>
      </c>
      <c r="S27" s="65">
        <f>INDEX('8_가정'!$C$17:$E$24,MATCH($G27,'8_가정'!$A$17:$A$24,0),1)</f>
        <v>1</v>
      </c>
      <c r="T27" s="63" t="inlineStr">
        <is>
          <t>Y</t>
        </is>
      </c>
      <c r="V27" s="66" t="inlineStr">
        <is>
          <t>2026-10-05 매출표(JCS) · IR p.11 APP 시니어 파트너십</t>
        </is>
      </c>
      <c r="X27" s="55" t="n">
        <v>0</v>
      </c>
      <c r="Y27" s="55" t="n">
        <v>0</v>
      </c>
      <c r="Z27" s="55" t="n">
        <v>0</v>
      </c>
      <c r="AA27" s="55" t="n">
        <v>0</v>
      </c>
      <c r="AB27" s="55" t="n">
        <v>0</v>
      </c>
      <c r="AC27" s="55" t="n">
        <v>0</v>
      </c>
      <c r="AD27" s="55" t="n">
        <v>0</v>
      </c>
      <c r="AE27" s="55" t="n">
        <v>0</v>
      </c>
      <c r="AF27" s="55" t="n">
        <v>0</v>
      </c>
      <c r="AG27" s="55" t="n">
        <v>0</v>
      </c>
      <c r="AH27" s="55" t="n">
        <v>200000</v>
      </c>
      <c r="AI27" s="55" t="n">
        <v>200000</v>
      </c>
      <c r="AJ27" s="55" t="n">
        <v>100000</v>
      </c>
      <c r="AK27" s="55" t="n">
        <v>100000</v>
      </c>
      <c r="AL27" s="55" t="n">
        <v>100000</v>
      </c>
      <c r="AM27" s="55" t="n">
        <v>100000</v>
      </c>
      <c r="AN27" s="55" t="n">
        <v>100000</v>
      </c>
      <c r="AO27" s="55" t="n">
        <v>100000</v>
      </c>
      <c r="AP27" s="55" t="n">
        <v>100000</v>
      </c>
      <c r="AQ27" s="55" t="n">
        <v>100000</v>
      </c>
      <c r="AR27" s="55" t="n">
        <v>100000</v>
      </c>
      <c r="AS27" s="55" t="n">
        <v>100000</v>
      </c>
      <c r="AT27" s="55" t="n">
        <v>100000</v>
      </c>
      <c r="AU27" s="55" t="n">
        <v>100000</v>
      </c>
      <c r="AV27" s="23">
        <f>SUM(X27:AI27)</f>
        <v>400000</v>
      </c>
      <c r="AW27" s="23">
        <f>SUM(AJ27:AU27)</f>
        <v>1200000</v>
      </c>
      <c r="AX27" s="45">
        <f>$O27*(1+$P27)</f>
        <v>1968000</v>
      </c>
      <c r="AY27" s="45">
        <f>AX27*(1+$Q27)</f>
        <v>2558400</v>
      </c>
      <c r="AZ27" s="45">
        <f>AY27*(1+$R27)</f>
        <v>3070080</v>
      </c>
      <c r="BA27" s="25">
        <f>SUM(AV27:AZ27)</f>
        <v>9196480</v>
      </c>
    </row>
    <row r="28">
      <c r="A28" s="62" t="n">
        <v>19</v>
      </c>
      <c r="B28" s="15" t="inlineStr">
        <is>
          <t>일본</t>
        </is>
      </c>
      <c r="C28" s="15" t="inlineStr">
        <is>
          <t>일본</t>
        </is>
      </c>
      <c r="D28" s="15" t="inlineStr">
        <is>
          <t>일본 하트키움(HEARTCARE 오사카 요양시설)</t>
        </is>
      </c>
      <c r="E28" s="15" t="inlineStr">
        <is>
          <t>총판</t>
        </is>
      </c>
      <c r="F28" s="15" t="inlineStr">
        <is>
          <t>-</t>
        </is>
      </c>
      <c r="G28" s="15" t="inlineStr">
        <is>
          <t>계약</t>
        </is>
      </c>
      <c r="H28" s="15" t="inlineStr">
        <is>
          <t>A 계약·기존 거래</t>
        </is>
      </c>
      <c r="I28" s="15" t="inlineStr">
        <is>
          <t>DIST</t>
        </is>
      </c>
      <c r="J28" s="63" t="inlineStr">
        <is>
          <t>M</t>
        </is>
      </c>
      <c r="M28" s="43">
        <f>AW28</f>
        <v>360000</v>
      </c>
      <c r="O28" s="43">
        <f>$M28</f>
        <v>360000</v>
      </c>
      <c r="P28" s="64" t="n">
        <v>1.92</v>
      </c>
      <c r="Q28" s="64" t="n">
        <v>0.9</v>
      </c>
      <c r="R28" s="64" t="n">
        <v>0.48</v>
      </c>
      <c r="S28" s="65">
        <f>INDEX('8_가정'!$C$17:$E$24,MATCH($G28,'8_가정'!$A$17:$A$24,0),1)</f>
        <v>1</v>
      </c>
      <c r="T28" s="63" t="inlineStr">
        <is>
          <t>Y</t>
        </is>
      </c>
      <c r="V28" s="66" t="inlineStr">
        <is>
          <t>2026-10-05 매출표(JCS) · IR p.13</t>
        </is>
      </c>
      <c r="X28" s="55" t="n">
        <v>0</v>
      </c>
      <c r="Y28" s="55" t="n">
        <v>0</v>
      </c>
      <c r="Z28" s="55" t="n">
        <v>0</v>
      </c>
      <c r="AA28" s="55" t="n">
        <v>0</v>
      </c>
      <c r="AB28" s="55" t="n">
        <v>0</v>
      </c>
      <c r="AC28" s="55" t="n">
        <v>0</v>
      </c>
      <c r="AD28" s="55" t="n">
        <v>0</v>
      </c>
      <c r="AE28" s="55" t="n">
        <v>0</v>
      </c>
      <c r="AF28" s="55" t="n">
        <v>0</v>
      </c>
      <c r="AG28" s="55" t="n">
        <v>0</v>
      </c>
      <c r="AH28" s="55" t="n">
        <v>0</v>
      </c>
      <c r="AI28" s="55" t="n">
        <v>0</v>
      </c>
      <c r="AJ28" s="55" t="n">
        <v>0</v>
      </c>
      <c r="AK28" s="55" t="n">
        <v>0</v>
      </c>
      <c r="AL28" s="55" t="n">
        <v>120000</v>
      </c>
      <c r="AM28" s="55" t="n">
        <v>0</v>
      </c>
      <c r="AN28" s="55" t="n">
        <v>0</v>
      </c>
      <c r="AO28" s="55" t="n">
        <v>0</v>
      </c>
      <c r="AP28" s="55" t="n">
        <v>120000</v>
      </c>
      <c r="AQ28" s="55" t="n">
        <v>0</v>
      </c>
      <c r="AR28" s="55" t="n">
        <v>0</v>
      </c>
      <c r="AS28" s="55" t="n">
        <v>0</v>
      </c>
      <c r="AT28" s="55" t="n">
        <v>120000</v>
      </c>
      <c r="AU28" s="55" t="n">
        <v>0</v>
      </c>
      <c r="AV28" s="23">
        <f>SUM(X28:AI28)</f>
        <v>0</v>
      </c>
      <c r="AW28" s="23">
        <f>SUM(AJ28:AU28)</f>
        <v>360000</v>
      </c>
      <c r="AX28" s="45">
        <f>$O28*(1+$P28)</f>
        <v>1051200</v>
      </c>
      <c r="AY28" s="45">
        <f>AX28*(1+$Q28)</f>
        <v>1997280</v>
      </c>
      <c r="AZ28" s="45">
        <f>AY28*(1+$R28)</f>
        <v>2955974.4</v>
      </c>
      <c r="BA28" s="25">
        <f>SUM(AV28:AZ28)</f>
        <v>6364454.4</v>
      </c>
    </row>
    <row r="29">
      <c r="A29" s="62" t="n">
        <v>20</v>
      </c>
      <c r="B29" s="15" t="inlineStr">
        <is>
          <t>일본</t>
        </is>
      </c>
      <c r="C29" s="15" t="inlineStr">
        <is>
          <t>일본</t>
        </is>
      </c>
      <c r="D29" s="15" t="inlineStr">
        <is>
          <t>일본 TAIS by JAIS</t>
        </is>
      </c>
      <c r="E29" s="15" t="inlineStr">
        <is>
          <t>B2G·제도</t>
        </is>
      </c>
      <c r="F29" s="15" t="inlineStr">
        <is>
          <t>-</t>
        </is>
      </c>
      <c r="G29" s="15" t="inlineStr">
        <is>
          <t>등록완료</t>
        </is>
      </c>
      <c r="H29" s="15" t="inlineStr">
        <is>
          <t>B 등록·입찰·협의 단계</t>
        </is>
      </c>
      <c r="I29" s="15" t="inlineStr">
        <is>
          <t>SUB</t>
        </is>
      </c>
      <c r="J29" s="63" t="inlineStr">
        <is>
          <t>M</t>
        </is>
      </c>
      <c r="M29" s="43">
        <f>AW29</f>
        <v>240000</v>
      </c>
      <c r="O29" s="43">
        <f>$M29</f>
        <v>240000</v>
      </c>
      <c r="P29" s="64" t="n">
        <v>4.8</v>
      </c>
      <c r="Q29" s="64" t="n">
        <v>1.2</v>
      </c>
      <c r="R29" s="64" t="n">
        <v>0.64</v>
      </c>
      <c r="S29" s="65">
        <f>INDEX('8_가정'!$C$17:$E$24,MATCH($G29,'8_가정'!$A$17:$A$24,0),1)</f>
        <v>1</v>
      </c>
      <c r="T29" s="63" t="inlineStr">
        <is>
          <t>Y</t>
        </is>
      </c>
      <c r="V29" s="66" t="inlineStr">
        <is>
          <t>2026-10-05 매출표(JCS) · IR p.13</t>
        </is>
      </c>
      <c r="X29" s="55" t="n">
        <v>0</v>
      </c>
      <c r="Y29" s="55" t="n">
        <v>0</v>
      </c>
      <c r="Z29" s="55" t="n">
        <v>0</v>
      </c>
      <c r="AA29" s="55" t="n">
        <v>0</v>
      </c>
      <c r="AB29" s="55" t="n">
        <v>0</v>
      </c>
      <c r="AC29" s="55" t="n">
        <v>0</v>
      </c>
      <c r="AD29" s="55" t="n">
        <v>0</v>
      </c>
      <c r="AE29" s="55" t="n">
        <v>0</v>
      </c>
      <c r="AF29" s="55" t="n">
        <v>0</v>
      </c>
      <c r="AG29" s="55" t="n">
        <v>0</v>
      </c>
      <c r="AH29" s="55" t="n">
        <v>0</v>
      </c>
      <c r="AI29" s="55" t="n">
        <v>0</v>
      </c>
      <c r="AJ29" s="55" t="n">
        <v>0</v>
      </c>
      <c r="AK29" s="55" t="n">
        <v>80000</v>
      </c>
      <c r="AL29" s="55" t="n">
        <v>0</v>
      </c>
      <c r="AM29" s="55" t="n">
        <v>0</v>
      </c>
      <c r="AN29" s="55" t="n">
        <v>0</v>
      </c>
      <c r="AO29" s="55" t="n">
        <v>80000</v>
      </c>
      <c r="AP29" s="55" t="n">
        <v>0</v>
      </c>
      <c r="AQ29" s="55" t="n">
        <v>0</v>
      </c>
      <c r="AR29" s="55" t="n">
        <v>0</v>
      </c>
      <c r="AS29" s="55" t="n">
        <v>80000</v>
      </c>
      <c r="AT29" s="55" t="n">
        <v>0</v>
      </c>
      <c r="AU29" s="55" t="n">
        <v>0</v>
      </c>
      <c r="AV29" s="23">
        <f>SUM(X29:AI29)</f>
        <v>0</v>
      </c>
      <c r="AW29" s="23">
        <f>SUM(AJ29:AU29)</f>
        <v>240000</v>
      </c>
      <c r="AX29" s="45">
        <f>$O29*(1+$P29)</f>
        <v>1392000</v>
      </c>
      <c r="AY29" s="45">
        <f>AX29*(1+$Q29)</f>
        <v>3062400</v>
      </c>
      <c r="AZ29" s="45">
        <f>AY29*(1+$R29)</f>
        <v>5022336</v>
      </c>
      <c r="BA29" s="25">
        <f>SUM(AV29:AZ29)</f>
        <v>9716736</v>
      </c>
    </row>
    <row r="30">
      <c r="A30" s="62" t="n">
        <v>21</v>
      </c>
      <c r="B30" s="15" t="inlineStr">
        <is>
          <t>해외</t>
        </is>
      </c>
      <c r="C30" s="15" t="inlineStr">
        <is>
          <t>동남아·APAC</t>
        </is>
      </c>
      <c r="D30" s="15" t="inlineStr">
        <is>
          <t>해외 샘플</t>
        </is>
      </c>
      <c r="E30" s="15" t="inlineStr">
        <is>
          <t>기타</t>
        </is>
      </c>
      <c r="F30" s="15" t="inlineStr">
        <is>
          <t>-</t>
        </is>
      </c>
      <c r="G30" s="15" t="inlineStr">
        <is>
          <t>기존</t>
        </is>
      </c>
      <c r="H30" s="15" t="inlineStr">
        <is>
          <t>A 계약·기존 거래</t>
        </is>
      </c>
      <c r="I30" s="15" t="inlineStr">
        <is>
          <t>DIST</t>
        </is>
      </c>
      <c r="J30" s="63" t="inlineStr">
        <is>
          <t>M</t>
        </is>
      </c>
      <c r="M30" s="43">
        <f>AW30</f>
        <v>0</v>
      </c>
      <c r="O30" s="43">
        <f>$M30</f>
        <v>0</v>
      </c>
      <c r="P30" s="64" t="n">
        <v>0</v>
      </c>
      <c r="Q30" s="64" t="n">
        <v>0</v>
      </c>
      <c r="R30" s="64" t="n">
        <v>0</v>
      </c>
      <c r="S30" s="65">
        <f>INDEX('8_가정'!$C$17:$E$24,MATCH($G30,'8_가정'!$A$17:$A$24,0),1)</f>
        <v>1</v>
      </c>
      <c r="T30" s="63" t="inlineStr">
        <is>
          <t>Y</t>
        </is>
      </c>
      <c r="V30" s="66" t="inlineStr">
        <is>
          <t>2026-10-05 매출표(JCS) · 2026 행25</t>
        </is>
      </c>
      <c r="X30" s="55" t="n">
        <v>0</v>
      </c>
      <c r="Y30" s="55" t="n">
        <v>0</v>
      </c>
      <c r="Z30" s="55" t="n">
        <v>0</v>
      </c>
      <c r="AA30" s="55" t="n">
        <v>0</v>
      </c>
      <c r="AB30" s="55" t="n">
        <v>0</v>
      </c>
      <c r="AC30" s="55" t="n">
        <v>0</v>
      </c>
      <c r="AD30" s="55" t="n">
        <v>642</v>
      </c>
      <c r="AE30" s="55" t="n">
        <v>0</v>
      </c>
      <c r="AF30" s="55" t="n">
        <v>1903</v>
      </c>
      <c r="AG30" s="55" t="n">
        <v>0</v>
      </c>
      <c r="AH30" s="55" t="n">
        <v>0</v>
      </c>
      <c r="AI30" s="55" t="n">
        <v>0</v>
      </c>
      <c r="AJ30" s="55" t="n">
        <v>0</v>
      </c>
      <c r="AK30" s="55" t="n">
        <v>0</v>
      </c>
      <c r="AL30" s="55" t="n">
        <v>0</v>
      </c>
      <c r="AM30" s="55" t="n">
        <v>0</v>
      </c>
      <c r="AN30" s="55" t="n">
        <v>0</v>
      </c>
      <c r="AO30" s="55" t="n">
        <v>0</v>
      </c>
      <c r="AP30" s="55" t="n">
        <v>0</v>
      </c>
      <c r="AQ30" s="55" t="n">
        <v>0</v>
      </c>
      <c r="AR30" s="55" t="n">
        <v>0</v>
      </c>
      <c r="AS30" s="55" t="n">
        <v>0</v>
      </c>
      <c r="AT30" s="55" t="n">
        <v>0</v>
      </c>
      <c r="AU30" s="55" t="n">
        <v>0</v>
      </c>
      <c r="AV30" s="23">
        <f>SUM(X30:AI30)</f>
        <v>2545</v>
      </c>
      <c r="AW30" s="23">
        <f>SUM(AJ30:AU30)</f>
        <v>0</v>
      </c>
      <c r="AX30" s="45">
        <f>$O30*(1+$P30)</f>
        <v>0</v>
      </c>
      <c r="AY30" s="45">
        <f>AX30*(1+$Q30)</f>
        <v>0</v>
      </c>
      <c r="AZ30" s="45">
        <f>AY30*(1+$R30)</f>
        <v>0</v>
      </c>
      <c r="BA30" s="25">
        <f>SUM(AV30:AZ30)</f>
        <v>2545</v>
      </c>
    </row>
    <row r="31">
      <c r="A31" s="62" t="n">
        <v>22</v>
      </c>
      <c r="B31" s="15" t="inlineStr">
        <is>
          <t>네덜란드</t>
        </is>
      </c>
      <c r="C31" s="15" t="inlineStr">
        <is>
          <t>유럽</t>
        </is>
      </c>
      <c r="D31" s="15" t="inlineStr">
        <is>
          <t>Green Initiative(GIV, 네덜란드·룩셈부르크·독일·폴란드)</t>
        </is>
      </c>
      <c r="E31" s="15" t="inlineStr">
        <is>
          <t>총판</t>
        </is>
      </c>
      <c r="F31" s="15" t="inlineStr">
        <is>
          <t>-</t>
        </is>
      </c>
      <c r="G31" s="15" t="inlineStr">
        <is>
          <t>계약</t>
        </is>
      </c>
      <c r="H31" s="15" t="inlineStr">
        <is>
          <t>A 계약·기존 거래</t>
        </is>
      </c>
      <c r="I31" s="15" t="inlineStr">
        <is>
          <t>DIST</t>
        </is>
      </c>
      <c r="J31" s="63" t="inlineStr">
        <is>
          <t>M</t>
        </is>
      </c>
      <c r="M31" s="43">
        <f>AW31</f>
        <v>150000</v>
      </c>
      <c r="O31" s="43">
        <f>$M31</f>
        <v>150000</v>
      </c>
      <c r="P31" s="64" t="n">
        <v>1.6</v>
      </c>
      <c r="Q31" s="64" t="n">
        <v>0.8</v>
      </c>
      <c r="R31" s="64" t="n">
        <v>0.48</v>
      </c>
      <c r="S31" s="65">
        <f>INDEX('8_가정'!$C$17:$E$24,MATCH($G31,'8_가정'!$A$17:$A$24,0),1)</f>
        <v>1</v>
      </c>
      <c r="T31" s="63" t="inlineStr">
        <is>
          <t>Y</t>
        </is>
      </c>
      <c r="V31" s="66" t="inlineStr">
        <is>
          <t>2026-10-05 매출표(JCS) · 2026-09 €24,000 포함(●) · IR p.23</t>
        </is>
      </c>
      <c r="X31" s="55" t="n">
        <v>0</v>
      </c>
      <c r="Y31" s="55" t="n">
        <v>0</v>
      </c>
      <c r="Z31" s="55" t="n">
        <v>6359</v>
      </c>
      <c r="AA31" s="55" t="n">
        <v>0</v>
      </c>
      <c r="AB31" s="55" t="n">
        <v>0</v>
      </c>
      <c r="AC31" s="55" t="n">
        <v>0</v>
      </c>
      <c r="AD31" s="55" t="n">
        <v>0</v>
      </c>
      <c r="AE31" s="55" t="n">
        <v>0</v>
      </c>
      <c r="AF31" s="55" t="n">
        <v>31303</v>
      </c>
      <c r="AG31" s="55" t="n">
        <v>23625</v>
      </c>
      <c r="AH31" s="55" t="n">
        <v>0</v>
      </c>
      <c r="AI31" s="55" t="n">
        <v>40500</v>
      </c>
      <c r="AJ31" s="55" t="n">
        <v>50000</v>
      </c>
      <c r="AK31" s="55" t="n">
        <v>0</v>
      </c>
      <c r="AL31" s="55" t="n">
        <v>0</v>
      </c>
      <c r="AM31" s="55" t="n">
        <v>0</v>
      </c>
      <c r="AN31" s="55" t="n">
        <v>50000</v>
      </c>
      <c r="AO31" s="55" t="n">
        <v>0</v>
      </c>
      <c r="AP31" s="55" t="n">
        <v>0</v>
      </c>
      <c r="AQ31" s="55" t="n">
        <v>0</v>
      </c>
      <c r="AR31" s="55" t="n">
        <v>50000</v>
      </c>
      <c r="AS31" s="55" t="n">
        <v>0</v>
      </c>
      <c r="AT31" s="55" t="n">
        <v>0</v>
      </c>
      <c r="AU31" s="55" t="n">
        <v>0</v>
      </c>
      <c r="AV31" s="23">
        <f>SUM(X31:AI31)</f>
        <v>101787</v>
      </c>
      <c r="AW31" s="23">
        <f>SUM(AJ31:AU31)</f>
        <v>150000</v>
      </c>
      <c r="AX31" s="45">
        <f>$O31*(1+$P31)</f>
        <v>390000</v>
      </c>
      <c r="AY31" s="45">
        <f>AX31*(1+$Q31)</f>
        <v>702000</v>
      </c>
      <c r="AZ31" s="45">
        <f>AY31*(1+$R31)</f>
        <v>1038960</v>
      </c>
      <c r="BA31" s="25">
        <f>SUM(AV31:AZ31)</f>
        <v>2382747</v>
      </c>
    </row>
    <row r="32">
      <c r="A32" s="62" t="n">
        <v>23</v>
      </c>
      <c r="B32" s="15" t="inlineStr">
        <is>
          <t>폴란드</t>
        </is>
      </c>
      <c r="C32" s="15" t="inlineStr">
        <is>
          <t>유럽</t>
        </is>
      </c>
      <c r="D32" s="15" t="inlineStr">
        <is>
          <t>NEUCA(폴란드)</t>
        </is>
      </c>
      <c r="E32" s="15" t="inlineStr">
        <is>
          <t>총판</t>
        </is>
      </c>
      <c r="F32" s="15" t="inlineStr">
        <is>
          <t>-</t>
        </is>
      </c>
      <c r="G32" s="15" t="inlineStr">
        <is>
          <t>접촉</t>
        </is>
      </c>
      <c r="H32" s="15" t="inlineStr">
        <is>
          <t>B 등록·입찰·협의 단계</t>
        </is>
      </c>
      <c r="I32" s="15" t="inlineStr">
        <is>
          <t>DIST</t>
        </is>
      </c>
      <c r="J32" s="63" t="inlineStr">
        <is>
          <t>M</t>
        </is>
      </c>
      <c r="M32" s="43">
        <f>AW32</f>
        <v>150000</v>
      </c>
      <c r="O32" s="43">
        <f>$M32</f>
        <v>150000</v>
      </c>
      <c r="P32" s="64" t="n">
        <v>1.6</v>
      </c>
      <c r="Q32" s="64" t="n">
        <v>0.8</v>
      </c>
      <c r="R32" s="64" t="n">
        <v>0.48</v>
      </c>
      <c r="S32" s="65">
        <f>INDEX('8_가정'!$C$17:$E$24,MATCH($G32,'8_가정'!$A$17:$A$24,0),1)</f>
        <v>1</v>
      </c>
      <c r="T32" s="63" t="inlineStr">
        <is>
          <t>Y</t>
        </is>
      </c>
      <c r="V32" s="66" t="inlineStr">
        <is>
          <t>2026-10-05 매출표(JCS) · 2027 행30 (IR p.25는 스페인 표기)</t>
        </is>
      </c>
      <c r="X32" s="55" t="n">
        <v>0</v>
      </c>
      <c r="Y32" s="55" t="n">
        <v>0</v>
      </c>
      <c r="Z32" s="55" t="n">
        <v>0</v>
      </c>
      <c r="AA32" s="55" t="n">
        <v>0</v>
      </c>
      <c r="AB32" s="55" t="n">
        <v>0</v>
      </c>
      <c r="AC32" s="55" t="n">
        <v>0</v>
      </c>
      <c r="AD32" s="55" t="n">
        <v>0</v>
      </c>
      <c r="AE32" s="55" t="n">
        <v>0</v>
      </c>
      <c r="AF32" s="55" t="n">
        <v>0</v>
      </c>
      <c r="AG32" s="55" t="n">
        <v>0</v>
      </c>
      <c r="AH32" s="55" t="n">
        <v>0</v>
      </c>
      <c r="AI32" s="55" t="n">
        <v>0</v>
      </c>
      <c r="AJ32" s="55" t="n">
        <v>0</v>
      </c>
      <c r="AK32" s="55" t="n">
        <v>50000</v>
      </c>
      <c r="AL32" s="55" t="n">
        <v>0</v>
      </c>
      <c r="AM32" s="55" t="n">
        <v>0</v>
      </c>
      <c r="AN32" s="55" t="n">
        <v>0</v>
      </c>
      <c r="AO32" s="55" t="n">
        <v>50000</v>
      </c>
      <c r="AP32" s="55" t="n">
        <v>0</v>
      </c>
      <c r="AQ32" s="55" t="n">
        <v>0</v>
      </c>
      <c r="AR32" s="55" t="n">
        <v>0</v>
      </c>
      <c r="AS32" s="55" t="n">
        <v>50000</v>
      </c>
      <c r="AT32" s="55" t="n">
        <v>0</v>
      </c>
      <c r="AU32" s="55" t="n">
        <v>0</v>
      </c>
      <c r="AV32" s="23">
        <f>SUM(X32:AI32)</f>
        <v>0</v>
      </c>
      <c r="AW32" s="23">
        <f>SUM(AJ32:AU32)</f>
        <v>150000</v>
      </c>
      <c r="AX32" s="45">
        <f>$O32*(1+$P32)</f>
        <v>390000</v>
      </c>
      <c r="AY32" s="45">
        <f>AX32*(1+$Q32)</f>
        <v>702000</v>
      </c>
      <c r="AZ32" s="45">
        <f>AY32*(1+$R32)</f>
        <v>1038960</v>
      </c>
      <c r="BA32" s="25">
        <f>SUM(AV32:AZ32)</f>
        <v>2280960</v>
      </c>
    </row>
    <row r="33">
      <c r="A33" s="62" t="n">
        <v>24</v>
      </c>
      <c r="B33" s="15" t="inlineStr">
        <is>
          <t>독일</t>
        </is>
      </c>
      <c r="C33" s="15" t="inlineStr">
        <is>
          <t>유럽</t>
        </is>
      </c>
      <c r="D33" s="15" t="inlineStr">
        <is>
          <t>독일 총판</t>
        </is>
      </c>
      <c r="E33" s="15" t="inlineStr">
        <is>
          <t>총판</t>
        </is>
      </c>
      <c r="F33" s="15" t="inlineStr">
        <is>
          <t>-</t>
        </is>
      </c>
      <c r="G33" s="15" t="inlineStr">
        <is>
          <t>진행중</t>
        </is>
      </c>
      <c r="H33" s="15" t="inlineStr">
        <is>
          <t>B 등록·입찰·협의 단계</t>
        </is>
      </c>
      <c r="I33" s="15" t="inlineStr">
        <is>
          <t>DIST</t>
        </is>
      </c>
      <c r="J33" s="63" t="inlineStr">
        <is>
          <t>M</t>
        </is>
      </c>
      <c r="M33" s="43">
        <f>AW33</f>
        <v>150000</v>
      </c>
      <c r="O33" s="43">
        <f>$M33</f>
        <v>150000</v>
      </c>
      <c r="P33" s="64" t="n">
        <v>1.6</v>
      </c>
      <c r="Q33" s="64" t="n">
        <v>0.8</v>
      </c>
      <c r="R33" s="64" t="n">
        <v>0.48</v>
      </c>
      <c r="S33" s="65">
        <f>INDEX('8_가정'!$C$17:$E$24,MATCH($G33,'8_가정'!$A$17:$A$24,0),1)</f>
        <v>1</v>
      </c>
      <c r="T33" s="63" t="inlineStr">
        <is>
          <t>Y</t>
        </is>
      </c>
      <c r="V33" s="66" t="inlineStr">
        <is>
          <t>2026-10-05 매출표(JCS) · 2027 행31</t>
        </is>
      </c>
      <c r="X33" s="55" t="n">
        <v>0</v>
      </c>
      <c r="Y33" s="55" t="n">
        <v>0</v>
      </c>
      <c r="Z33" s="55" t="n">
        <v>0</v>
      </c>
      <c r="AA33" s="55" t="n">
        <v>0</v>
      </c>
      <c r="AB33" s="55" t="n">
        <v>0</v>
      </c>
      <c r="AC33" s="55" t="n">
        <v>0</v>
      </c>
      <c r="AD33" s="55" t="n">
        <v>0</v>
      </c>
      <c r="AE33" s="55" t="n">
        <v>0</v>
      </c>
      <c r="AF33" s="55" t="n">
        <v>0</v>
      </c>
      <c r="AG33" s="55" t="n">
        <v>0</v>
      </c>
      <c r="AH33" s="55" t="n">
        <v>0</v>
      </c>
      <c r="AI33" s="55" t="n">
        <v>0</v>
      </c>
      <c r="AJ33" s="55" t="n">
        <v>50000</v>
      </c>
      <c r="AK33" s="55" t="n">
        <v>0</v>
      </c>
      <c r="AL33" s="55" t="n">
        <v>0</v>
      </c>
      <c r="AM33" s="55" t="n">
        <v>0</v>
      </c>
      <c r="AN33" s="55" t="n">
        <v>50000</v>
      </c>
      <c r="AO33" s="55" t="n">
        <v>0</v>
      </c>
      <c r="AP33" s="55" t="n">
        <v>0</v>
      </c>
      <c r="AQ33" s="55" t="n">
        <v>0</v>
      </c>
      <c r="AR33" s="55" t="n">
        <v>50000</v>
      </c>
      <c r="AS33" s="55" t="n">
        <v>0</v>
      </c>
      <c r="AT33" s="55" t="n">
        <v>0</v>
      </c>
      <c r="AU33" s="55" t="n">
        <v>0</v>
      </c>
      <c r="AV33" s="23">
        <f>SUM(X33:AI33)</f>
        <v>0</v>
      </c>
      <c r="AW33" s="23">
        <f>SUM(AJ33:AU33)</f>
        <v>150000</v>
      </c>
      <c r="AX33" s="45">
        <f>$O33*(1+$P33)</f>
        <v>390000</v>
      </c>
      <c r="AY33" s="45">
        <f>AX33*(1+$Q33)</f>
        <v>702000</v>
      </c>
      <c r="AZ33" s="45">
        <f>AY33*(1+$R33)</f>
        <v>1038960</v>
      </c>
      <c r="BA33" s="25">
        <f>SUM(AV33:AZ33)</f>
        <v>2280960</v>
      </c>
    </row>
    <row r="34">
      <c r="A34" s="62" t="n">
        <v>25</v>
      </c>
      <c r="B34" s="15" t="inlineStr">
        <is>
          <t>싱가포르</t>
        </is>
      </c>
      <c r="C34" s="15" t="inlineStr">
        <is>
          <t>동남아·APAC</t>
        </is>
      </c>
      <c r="D34" s="15" t="inlineStr">
        <is>
          <t>INTEGA(싱가포르·말레이시아·태국 총판)</t>
        </is>
      </c>
      <c r="E34" s="15" t="inlineStr">
        <is>
          <t>총판</t>
        </is>
      </c>
      <c r="F34" s="15" t="inlineStr">
        <is>
          <t>-</t>
        </is>
      </c>
      <c r="G34" s="15" t="inlineStr">
        <is>
          <t>계약</t>
        </is>
      </c>
      <c r="H34" s="15" t="inlineStr">
        <is>
          <t>A 계약·기존 거래</t>
        </is>
      </c>
      <c r="I34" s="15" t="inlineStr">
        <is>
          <t>DIST</t>
        </is>
      </c>
      <c r="J34" s="63" t="inlineStr">
        <is>
          <t>M</t>
        </is>
      </c>
      <c r="M34" s="43">
        <f>AW34</f>
        <v>300000</v>
      </c>
      <c r="O34" s="43">
        <f>$M34</f>
        <v>300000</v>
      </c>
      <c r="P34" s="64" t="n">
        <v>1.28</v>
      </c>
      <c r="Q34" s="64" t="n">
        <v>0.6</v>
      </c>
      <c r="R34" s="64" t="n">
        <v>0.4</v>
      </c>
      <c r="S34" s="65">
        <f>INDEX('8_가정'!$C$17:$E$24,MATCH($G34,'8_가정'!$A$17:$A$24,0),1)</f>
        <v>1</v>
      </c>
      <c r="T34" s="63" t="inlineStr">
        <is>
          <t>Y</t>
        </is>
      </c>
      <c r="V34" s="66" t="inlineStr">
        <is>
          <t>2026-10-05 매출표(JCS) · IR p.23</t>
        </is>
      </c>
      <c r="X34" s="55" t="n">
        <v>12879</v>
      </c>
      <c r="Y34" s="55" t="n">
        <v>0</v>
      </c>
      <c r="Z34" s="55" t="n">
        <v>13042</v>
      </c>
      <c r="AA34" s="55" t="n">
        <v>0</v>
      </c>
      <c r="AB34" s="55" t="n">
        <v>0</v>
      </c>
      <c r="AC34" s="55" t="n">
        <v>0</v>
      </c>
      <c r="AD34" s="55" t="n">
        <v>0</v>
      </c>
      <c r="AE34" s="55" t="n">
        <v>0</v>
      </c>
      <c r="AF34" s="55" t="n">
        <v>0</v>
      </c>
      <c r="AG34" s="55" t="n">
        <v>0</v>
      </c>
      <c r="AH34" s="55" t="n">
        <v>23625</v>
      </c>
      <c r="AI34" s="55" t="n">
        <v>0</v>
      </c>
      <c r="AJ34" s="55" t="n">
        <v>0</v>
      </c>
      <c r="AK34" s="55" t="n">
        <v>100000</v>
      </c>
      <c r="AL34" s="55" t="n">
        <v>0</v>
      </c>
      <c r="AM34" s="55" t="n">
        <v>0</v>
      </c>
      <c r="AN34" s="55" t="n">
        <v>0</v>
      </c>
      <c r="AO34" s="55" t="n">
        <v>100000</v>
      </c>
      <c r="AP34" s="55" t="n">
        <v>0</v>
      </c>
      <c r="AQ34" s="55" t="n">
        <v>0</v>
      </c>
      <c r="AR34" s="55" t="n">
        <v>0</v>
      </c>
      <c r="AS34" s="55" t="n">
        <v>100000</v>
      </c>
      <c r="AT34" s="55" t="n">
        <v>0</v>
      </c>
      <c r="AU34" s="55" t="n">
        <v>0</v>
      </c>
      <c r="AV34" s="23">
        <f>SUM(X34:AI34)</f>
        <v>49546</v>
      </c>
      <c r="AW34" s="23">
        <f>SUM(AJ34:AU34)</f>
        <v>300000</v>
      </c>
      <c r="AX34" s="45">
        <f>$O34*(1+$P34)</f>
        <v>684000</v>
      </c>
      <c r="AY34" s="45">
        <f>AX34*(1+$Q34)</f>
        <v>1094400</v>
      </c>
      <c r="AZ34" s="45">
        <f>AY34*(1+$R34)</f>
        <v>1532160</v>
      </c>
      <c r="BA34" s="25">
        <f>SUM(AV34:AZ34)</f>
        <v>3660106</v>
      </c>
    </row>
    <row r="35">
      <c r="A35" s="62" t="n">
        <v>26</v>
      </c>
      <c r="B35" s="15" t="inlineStr">
        <is>
          <t>말레이시아</t>
        </is>
      </c>
      <c r="C35" s="15" t="inlineStr">
        <is>
          <t>동남아·APAC</t>
        </is>
      </c>
      <c r="D35" s="15" t="inlineStr">
        <is>
          <t>Sunway Sanctuary(말레이시아)</t>
        </is>
      </c>
      <c r="E35" s="15" t="inlineStr">
        <is>
          <t>기관(직접)</t>
        </is>
      </c>
      <c r="F35" s="15" t="inlineStr">
        <is>
          <t>-</t>
        </is>
      </c>
      <c r="G35" s="15" t="inlineStr">
        <is>
          <t>접촉</t>
        </is>
      </c>
      <c r="H35" s="15" t="inlineStr">
        <is>
          <t>B 등록·입찰·협의 단계</t>
        </is>
      </c>
      <c r="I35" s="15" t="inlineStr">
        <is>
          <t>RND</t>
        </is>
      </c>
      <c r="J35" s="63" t="inlineStr">
        <is>
          <t>M</t>
        </is>
      </c>
      <c r="M35" s="43">
        <f>AW35</f>
        <v>50000</v>
      </c>
      <c r="O35" s="43">
        <f>$M35</f>
        <v>50000</v>
      </c>
      <c r="P35" s="64" t="n">
        <v>3.2</v>
      </c>
      <c r="Q35" s="64" t="n">
        <v>1</v>
      </c>
      <c r="R35" s="64" t="n">
        <v>0.4</v>
      </c>
      <c r="S35" s="65">
        <f>INDEX('8_가정'!$C$17:$E$24,MATCH($G35,'8_가정'!$A$17:$A$24,0),1)</f>
        <v>1</v>
      </c>
      <c r="T35" s="63" t="inlineStr">
        <is>
          <t>Y</t>
        </is>
      </c>
      <c r="V35" s="66" t="inlineStr">
        <is>
          <t>2026-10-05 매출표(JCS) · IR p.31 PoC/R&amp;D → 상용 전환 가정</t>
        </is>
      </c>
      <c r="X35" s="55" t="n">
        <v>0</v>
      </c>
      <c r="Y35" s="55" t="n">
        <v>0</v>
      </c>
      <c r="Z35" s="55" t="n">
        <v>0</v>
      </c>
      <c r="AA35" s="55" t="n">
        <v>0</v>
      </c>
      <c r="AB35" s="55" t="n">
        <v>0</v>
      </c>
      <c r="AC35" s="55" t="n">
        <v>0</v>
      </c>
      <c r="AD35" s="55" t="n">
        <v>0</v>
      </c>
      <c r="AE35" s="55" t="n">
        <v>0</v>
      </c>
      <c r="AF35" s="55" t="n">
        <v>0</v>
      </c>
      <c r="AG35" s="55" t="n">
        <v>0</v>
      </c>
      <c r="AH35" s="55" t="n">
        <v>0</v>
      </c>
      <c r="AI35" s="55" t="n">
        <v>0</v>
      </c>
      <c r="AJ35" s="55" t="n">
        <v>0</v>
      </c>
      <c r="AK35" s="55" t="n">
        <v>0</v>
      </c>
      <c r="AL35" s="55" t="n">
        <v>0</v>
      </c>
      <c r="AM35" s="55" t="n">
        <v>50000</v>
      </c>
      <c r="AN35" s="55" t="n">
        <v>0</v>
      </c>
      <c r="AO35" s="55" t="n">
        <v>0</v>
      </c>
      <c r="AP35" s="55" t="n">
        <v>0</v>
      </c>
      <c r="AQ35" s="55" t="n">
        <v>0</v>
      </c>
      <c r="AR35" s="55" t="n">
        <v>0</v>
      </c>
      <c r="AS35" s="55" t="n">
        <v>0</v>
      </c>
      <c r="AT35" s="55" t="n">
        <v>0</v>
      </c>
      <c r="AU35" s="55" t="n">
        <v>0</v>
      </c>
      <c r="AV35" s="23">
        <f>SUM(X35:AI35)</f>
        <v>0</v>
      </c>
      <c r="AW35" s="23">
        <f>SUM(AJ35:AU35)</f>
        <v>50000</v>
      </c>
      <c r="AX35" s="45">
        <f>$O35*(1+$P35)</f>
        <v>210000</v>
      </c>
      <c r="AY35" s="45">
        <f>AX35*(1+$Q35)</f>
        <v>420000</v>
      </c>
      <c r="AZ35" s="45">
        <f>AY35*(1+$R35)</f>
        <v>588000</v>
      </c>
      <c r="BA35" s="25">
        <f>SUM(AV35:AZ35)</f>
        <v>1268000</v>
      </c>
    </row>
    <row r="36">
      <c r="A36" s="62" t="n">
        <v>27</v>
      </c>
      <c r="B36" s="15" t="inlineStr">
        <is>
          <t>싱가포르</t>
        </is>
      </c>
      <c r="C36" s="15" t="inlineStr">
        <is>
          <t>동남아·APAC</t>
        </is>
      </c>
      <c r="D36" s="15" t="inlineStr">
        <is>
          <t>NHG(KTPH·TTSH·Woodlands) 스마트 병동</t>
        </is>
      </c>
      <c r="E36" s="15" t="inlineStr">
        <is>
          <t>기관(직접)</t>
        </is>
      </c>
      <c r="F36" s="15" t="inlineStr">
        <is>
          <t>-</t>
        </is>
      </c>
      <c r="G36" s="15" t="inlineStr">
        <is>
          <t>입찰</t>
        </is>
      </c>
      <c r="H36" s="15" t="inlineStr">
        <is>
          <t>B 등록·입찰·협의 단계</t>
        </is>
      </c>
      <c r="I36" s="15" t="inlineStr">
        <is>
          <t>HWPROJ</t>
        </is>
      </c>
      <c r="J36" s="63" t="inlineStr">
        <is>
          <t>M</t>
        </is>
      </c>
      <c r="M36" s="43">
        <f>AW36</f>
        <v>400000</v>
      </c>
      <c r="O36" s="43">
        <f>$M36</f>
        <v>400000</v>
      </c>
      <c r="P36" s="64" t="n">
        <v>0.8</v>
      </c>
      <c r="Q36" s="64" t="n">
        <v>0.4</v>
      </c>
      <c r="R36" s="64" t="n">
        <v>0.32</v>
      </c>
      <c r="S36" s="65">
        <f>INDEX('8_가정'!$C$17:$E$24,MATCH($G36,'8_가정'!$A$17:$A$24,0),1)</f>
        <v>1</v>
      </c>
      <c r="T36" s="63" t="inlineStr">
        <is>
          <t>Y</t>
        </is>
      </c>
      <c r="V36" s="66" t="inlineStr">
        <is>
          <t>2026-10-05 매출표(JCS) · 2026-12 KTPH SGD 180,000, 2027 NHG 4억 · 입찰 단계(LOA 미확인)</t>
        </is>
      </c>
      <c r="X36" s="55" t="n">
        <v>0</v>
      </c>
      <c r="Y36" s="55" t="n">
        <v>0</v>
      </c>
      <c r="Z36" s="55" t="n">
        <v>0</v>
      </c>
      <c r="AA36" s="55" t="n">
        <v>0</v>
      </c>
      <c r="AB36" s="55" t="n">
        <v>0</v>
      </c>
      <c r="AC36" s="55" t="n">
        <v>0</v>
      </c>
      <c r="AD36" s="55" t="n">
        <v>0</v>
      </c>
      <c r="AE36" s="55" t="n">
        <v>0</v>
      </c>
      <c r="AF36" s="55" t="n">
        <v>0</v>
      </c>
      <c r="AG36" s="55" t="n">
        <v>0</v>
      </c>
      <c r="AH36" s="55" t="n">
        <v>0</v>
      </c>
      <c r="AI36" s="55" t="n">
        <v>188957</v>
      </c>
      <c r="AJ36" s="55" t="n">
        <v>30000</v>
      </c>
      <c r="AK36" s="55" t="n">
        <v>30000</v>
      </c>
      <c r="AL36" s="55" t="n">
        <v>30000</v>
      </c>
      <c r="AM36" s="55" t="n">
        <v>30000</v>
      </c>
      <c r="AN36" s="55" t="n">
        <v>30000</v>
      </c>
      <c r="AO36" s="55" t="n">
        <v>30000</v>
      </c>
      <c r="AP36" s="55" t="n">
        <v>30000</v>
      </c>
      <c r="AQ36" s="55" t="n">
        <v>30000</v>
      </c>
      <c r="AR36" s="55" t="n">
        <v>30000</v>
      </c>
      <c r="AS36" s="55" t="n">
        <v>30000</v>
      </c>
      <c r="AT36" s="55" t="n">
        <v>50000</v>
      </c>
      <c r="AU36" s="55" t="n">
        <v>50000</v>
      </c>
      <c r="AV36" s="23">
        <f>SUM(X36:AI36)</f>
        <v>188957</v>
      </c>
      <c r="AW36" s="23">
        <f>SUM(AJ36:AU36)</f>
        <v>400000</v>
      </c>
      <c r="AX36" s="45">
        <f>$O36*(1+$P36)</f>
        <v>720000</v>
      </c>
      <c r="AY36" s="45">
        <f>AX36*(1+$Q36)</f>
        <v>1008000</v>
      </c>
      <c r="AZ36" s="45">
        <f>AY36*(1+$R36)</f>
        <v>1330560</v>
      </c>
      <c r="BA36" s="25">
        <f>SUM(AV36:AZ36)</f>
        <v>3647517</v>
      </c>
    </row>
    <row r="37">
      <c r="A37" s="62" t="n">
        <v>28</v>
      </c>
      <c r="B37" s="15" t="inlineStr">
        <is>
          <t>싱가포르</t>
        </is>
      </c>
      <c r="C37" s="15" t="inlineStr">
        <is>
          <t>동남아·APAC</t>
        </is>
      </c>
      <c r="D37" s="15" t="inlineStr">
        <is>
          <t>IMH 스마트 욕창 케어 R&amp;D</t>
        </is>
      </c>
      <c r="E37" s="15" t="inlineStr">
        <is>
          <t>기관(직접)</t>
        </is>
      </c>
      <c r="F37" s="15" t="inlineStr">
        <is>
          <t>-</t>
        </is>
      </c>
      <c r="G37" s="15" t="inlineStr">
        <is>
          <t>계약</t>
        </is>
      </c>
      <c r="H37" s="15" t="inlineStr">
        <is>
          <t>A 계약·기존 거래</t>
        </is>
      </c>
      <c r="I37" s="15" t="inlineStr">
        <is>
          <t>RND</t>
        </is>
      </c>
      <c r="J37" s="63" t="inlineStr">
        <is>
          <t>M</t>
        </is>
      </c>
      <c r="M37" s="43">
        <f>AW37</f>
        <v>180000</v>
      </c>
      <c r="O37" s="43">
        <f>$M37</f>
        <v>180000</v>
      </c>
      <c r="P37" s="64" t="n">
        <v>0</v>
      </c>
      <c r="Q37" s="64" t="n">
        <v>0</v>
      </c>
      <c r="R37" s="64" t="n">
        <v>0</v>
      </c>
      <c r="S37" s="65">
        <f>INDEX('8_가정'!$C$17:$E$24,MATCH($G37,'8_가정'!$A$17:$A$24,0),1)</f>
        <v>1</v>
      </c>
      <c r="T37" s="63" t="inlineStr">
        <is>
          <t>Y</t>
        </is>
      </c>
      <c r="V37" s="66" t="inlineStr">
        <is>
          <t>2026-10-05 매출표(JCS) · SGD 45,000(10·11월) · IR p.20</t>
        </is>
      </c>
      <c r="X37" s="55" t="n">
        <v>0</v>
      </c>
      <c r="Y37" s="55" t="n">
        <v>0</v>
      </c>
      <c r="Z37" s="55" t="n">
        <v>0</v>
      </c>
      <c r="AA37" s="55" t="n">
        <v>0</v>
      </c>
      <c r="AB37" s="55" t="n">
        <v>0</v>
      </c>
      <c r="AC37" s="55" t="n">
        <v>0</v>
      </c>
      <c r="AD37" s="55" t="n">
        <v>0</v>
      </c>
      <c r="AE37" s="55" t="n">
        <v>0</v>
      </c>
      <c r="AF37" s="55" t="n">
        <v>0</v>
      </c>
      <c r="AG37" s="55" t="n">
        <v>47250</v>
      </c>
      <c r="AH37" s="55" t="n">
        <v>0</v>
      </c>
      <c r="AI37" s="55" t="n">
        <v>0</v>
      </c>
      <c r="AJ37" s="55" t="n">
        <v>0</v>
      </c>
      <c r="AK37" s="55" t="n">
        <v>0</v>
      </c>
      <c r="AL37" s="55" t="n">
        <v>50000</v>
      </c>
      <c r="AM37" s="55" t="n">
        <v>10000</v>
      </c>
      <c r="AN37" s="55" t="n">
        <v>10000</v>
      </c>
      <c r="AO37" s="55" t="n">
        <v>10000</v>
      </c>
      <c r="AP37" s="55" t="n">
        <v>10000</v>
      </c>
      <c r="AQ37" s="55" t="n">
        <v>10000</v>
      </c>
      <c r="AR37" s="55" t="n">
        <v>10000</v>
      </c>
      <c r="AS37" s="55" t="n">
        <v>10000</v>
      </c>
      <c r="AT37" s="55" t="n">
        <v>10000</v>
      </c>
      <c r="AU37" s="55" t="n">
        <v>50000</v>
      </c>
      <c r="AV37" s="23">
        <f>SUM(X37:AI37)</f>
        <v>47250</v>
      </c>
      <c r="AW37" s="23">
        <f>SUM(AJ37:AU37)</f>
        <v>180000</v>
      </c>
      <c r="AX37" s="45">
        <f>$O37*(1+$P37)</f>
        <v>180000</v>
      </c>
      <c r="AY37" s="45">
        <f>AX37*(1+$Q37)</f>
        <v>180000</v>
      </c>
      <c r="AZ37" s="45">
        <f>AY37*(1+$R37)</f>
        <v>180000</v>
      </c>
      <c r="BA37" s="25">
        <f>SUM(AV37:AZ37)</f>
        <v>767250</v>
      </c>
    </row>
    <row r="38">
      <c r="A38" s="62" t="n">
        <v>29</v>
      </c>
      <c r="B38" s="15" t="inlineStr">
        <is>
          <t>호주</t>
        </is>
      </c>
      <c r="C38" s="15" t="inlineStr">
        <is>
          <t>동남아·APAC</t>
        </is>
      </c>
      <c r="D38" s="15" t="inlineStr">
        <is>
          <t>Healthbeats(호주·뉴질랜드)</t>
        </is>
      </c>
      <c r="E38" s="15" t="inlineStr">
        <is>
          <t>총판</t>
        </is>
      </c>
      <c r="F38" s="15" t="inlineStr">
        <is>
          <t>-</t>
        </is>
      </c>
      <c r="G38" s="15" t="inlineStr">
        <is>
          <t>계약</t>
        </is>
      </c>
      <c r="H38" s="15" t="inlineStr">
        <is>
          <t>A 계약·기존 거래</t>
        </is>
      </c>
      <c r="I38" s="15" t="inlineStr">
        <is>
          <t>DIST</t>
        </is>
      </c>
      <c r="J38" s="63" t="inlineStr">
        <is>
          <t>M</t>
        </is>
      </c>
      <c r="M38" s="43">
        <f>AW38</f>
        <v>300000</v>
      </c>
      <c r="O38" s="43">
        <f>$M38</f>
        <v>300000</v>
      </c>
      <c r="P38" s="64" t="n">
        <v>1.6</v>
      </c>
      <c r="Q38" s="64" t="n">
        <v>0.8</v>
      </c>
      <c r="R38" s="64" t="n">
        <v>0.48</v>
      </c>
      <c r="S38" s="65">
        <f>INDEX('8_가정'!$C$17:$E$24,MATCH($G38,'8_가정'!$A$17:$A$24,0),1)</f>
        <v>1</v>
      </c>
      <c r="T38" s="63" t="inlineStr">
        <is>
          <t>Y</t>
        </is>
      </c>
      <c r="V38" s="66" t="inlineStr">
        <is>
          <t>2026-10-05 매출표(JCS) · IR p.23</t>
        </is>
      </c>
      <c r="X38" s="55" t="n">
        <v>0</v>
      </c>
      <c r="Y38" s="55" t="n">
        <v>0</v>
      </c>
      <c r="Z38" s="55" t="n">
        <v>0</v>
      </c>
      <c r="AA38" s="55" t="n">
        <v>0</v>
      </c>
      <c r="AB38" s="55" t="n">
        <v>0</v>
      </c>
      <c r="AC38" s="55" t="n">
        <v>0</v>
      </c>
      <c r="AD38" s="55" t="n">
        <v>0</v>
      </c>
      <c r="AE38" s="55" t="n">
        <v>0</v>
      </c>
      <c r="AF38" s="55" t="n">
        <v>0</v>
      </c>
      <c r="AG38" s="55" t="n">
        <v>0</v>
      </c>
      <c r="AH38" s="55" t="n">
        <v>0</v>
      </c>
      <c r="AI38" s="55" t="n">
        <v>0</v>
      </c>
      <c r="AJ38" s="55" t="n">
        <v>0</v>
      </c>
      <c r="AK38" s="55" t="n">
        <v>0</v>
      </c>
      <c r="AL38" s="55" t="n">
        <v>0</v>
      </c>
      <c r="AM38" s="55" t="n">
        <v>100000</v>
      </c>
      <c r="AN38" s="55" t="n">
        <v>0</v>
      </c>
      <c r="AO38" s="55" t="n">
        <v>0</v>
      </c>
      <c r="AP38" s="55" t="n">
        <v>0</v>
      </c>
      <c r="AQ38" s="55" t="n">
        <v>100000</v>
      </c>
      <c r="AR38" s="55" t="n">
        <v>0</v>
      </c>
      <c r="AS38" s="55" t="n">
        <v>0</v>
      </c>
      <c r="AT38" s="55" t="n">
        <v>0</v>
      </c>
      <c r="AU38" s="55" t="n">
        <v>100000</v>
      </c>
      <c r="AV38" s="23">
        <f>SUM(X38:AI38)</f>
        <v>0</v>
      </c>
      <c r="AW38" s="23">
        <f>SUM(AJ38:AU38)</f>
        <v>300000</v>
      </c>
      <c r="AX38" s="45">
        <f>$O38*(1+$P38)</f>
        <v>780000</v>
      </c>
      <c r="AY38" s="45">
        <f>AX38*(1+$Q38)</f>
        <v>1404000</v>
      </c>
      <c r="AZ38" s="45">
        <f>AY38*(1+$R38)</f>
        <v>2077920</v>
      </c>
      <c r="BA38" s="25">
        <f>SUM(AV38:AZ38)</f>
        <v>4561920</v>
      </c>
    </row>
    <row r="39">
      <c r="A39" s="62" t="n">
        <v>30</v>
      </c>
      <c r="B39" s="15" t="inlineStr">
        <is>
          <t>일본</t>
        </is>
      </c>
      <c r="C39" s="15" t="inlineStr">
        <is>
          <t>일본</t>
        </is>
      </c>
      <c r="D39" s="15" t="inlineStr">
        <is>
          <t>일본 신규 시설·재가 채널(하트키움·TAIS 외 직접 도입)</t>
        </is>
      </c>
      <c r="E39" s="15" t="inlineStr">
        <is>
          <t>신규 파이프라인</t>
        </is>
      </c>
      <c r="F39" s="15" t="inlineStr">
        <is>
          <t>-</t>
        </is>
      </c>
      <c r="G39" s="15" t="inlineStr">
        <is>
          <t>신규</t>
        </is>
      </c>
      <c r="H39" s="15" t="inlineStr">
        <is>
          <t>C 신규 파이프라인(미확정)</t>
        </is>
      </c>
      <c r="I39" s="15" t="inlineStr">
        <is>
          <t>COH</t>
        </is>
      </c>
      <c r="J39" s="63" t="inlineStr">
        <is>
          <t>C</t>
        </is>
      </c>
      <c r="S39" s="65">
        <f>INDEX('8_가정'!$C$17:$E$24,MATCH($G39,'8_가정'!$A$17:$A$24,0),1)</f>
        <v>1</v>
      </c>
      <c r="V39" s="66" t="inlineStr">
        <is>
          <t>오사카 외 간사이·수도권 시설 확대, 介護テクノロジー導入支援 연계(가정)</t>
        </is>
      </c>
      <c r="X39" s="43">
        <f>IF($J39="R",$O39/12*IF(X$6&lt;$K39,$U39,MIN(1,$U39+(1-$U39)*(X$6-$K39+1)/$L39)),IF($J39="P",IF(AND(X$6&gt;=$K39,X$6&lt;$K39+$L39),$M39/$L39,0),IF($J39="X",$M39/12*(X$6&lt;=12),0)))</f>
        <v>0</v>
      </c>
      <c r="Y39" s="43">
        <f>IF($J39="R",$O39/12*IF(Y$6&lt;$K39,$U39,MIN(1,$U39+(1-$U39)*(Y$6-$K39+1)/$L39)),IF($J39="P",IF(AND(Y$6&gt;=$K39,Y$6&lt;$K39+$L39),$M39/$L39,0),IF($J39="X",$M39/12*(Y$6&lt;=12),0)))</f>
        <v>0</v>
      </c>
      <c r="Z39" s="43">
        <f>IF($J39="R",$O39/12*IF(Z$6&lt;$K39,$U39,MIN(1,$U39+(1-$U39)*(Z$6-$K39+1)/$L39)),IF($J39="P",IF(AND(Z$6&gt;=$K39,Z$6&lt;$K39+$L39),$M39/$L39,0),IF($J39="X",$M39/12*(Z$6&lt;=12),0)))</f>
        <v>0</v>
      </c>
      <c r="AA39" s="43">
        <f>IF($J39="R",$O39/12*IF(AA$6&lt;$K39,$U39,MIN(1,$U39+(1-$U39)*(AA$6-$K39+1)/$L39)),IF($J39="P",IF(AND(AA$6&gt;=$K39,AA$6&lt;$K39+$L39),$M39/$L39,0),IF($J39="X",$M39/12*(AA$6&lt;=12),0)))</f>
        <v>0</v>
      </c>
      <c r="AB39" s="43">
        <f>IF($J39="R",$O39/12*IF(AB$6&lt;$K39,$U39,MIN(1,$U39+(1-$U39)*(AB$6-$K39+1)/$L39)),IF($J39="P",IF(AND(AB$6&gt;=$K39,AB$6&lt;$K39+$L39),$M39/$L39,0),IF($J39="X",$M39/12*(AB$6&lt;=12),0)))</f>
        <v>0</v>
      </c>
      <c r="AC39" s="43">
        <f>IF($J39="R",$O39/12*IF(AC$6&lt;$K39,$U39,MIN(1,$U39+(1-$U39)*(AC$6-$K39+1)/$L39)),IF($J39="P",IF(AND(AC$6&gt;=$K39,AC$6&lt;$K39+$L39),$M39/$L39,0),IF($J39="X",$M39/12*(AC$6&lt;=12),0)))</f>
        <v>0</v>
      </c>
      <c r="AD39" s="43">
        <f>IF($J39="R",$O39/12*IF(AD$6&lt;$K39,$U39,MIN(1,$U39+(1-$U39)*(AD$6-$K39+1)/$L39)),IF($J39="P",IF(AND(AD$6&gt;=$K39,AD$6&lt;$K39+$L39),$M39/$L39,0),IF($J39="X",$M39/12*(AD$6&lt;=12),0)))</f>
        <v>0</v>
      </c>
      <c r="AE39" s="43">
        <f>IF($J39="R",$O39/12*IF(AE$6&lt;$K39,$U39,MIN(1,$U39+(1-$U39)*(AE$6-$K39+1)/$L39)),IF($J39="P",IF(AND(AE$6&gt;=$K39,AE$6&lt;$K39+$L39),$M39/$L39,0),IF($J39="X",$M39/12*(AE$6&lt;=12),0)))</f>
        <v>0</v>
      </c>
      <c r="AF39" s="43">
        <f>IF($J39="R",$O39/12*IF(AF$6&lt;$K39,$U39,MIN(1,$U39+(1-$U39)*(AF$6-$K39+1)/$L39)),IF($J39="P",IF(AND(AF$6&gt;=$K39,AF$6&lt;$K39+$L39),$M39/$L39,0),IF($J39="X",$M39/12*(AF$6&lt;=12),0)))</f>
        <v>0</v>
      </c>
      <c r="AG39" s="43">
        <f>IF($J39="R",$O39/12*IF(AG$6&lt;$K39,$U39,MIN(1,$U39+(1-$U39)*(AG$6-$K39+1)/$L39)),IF($J39="P",IF(AND(AG$6&gt;=$K39,AG$6&lt;$K39+$L39),$M39/$L39,0),IF($J39="X",$M39/12*(AG$6&lt;=12),0)))</f>
        <v>0</v>
      </c>
      <c r="AH39" s="43">
        <f>IF($J39="R",$O39/12*IF(AH$6&lt;$K39,$U39,MIN(1,$U39+(1-$U39)*(AH$6-$K39+1)/$L39)),IF($J39="P",IF(AND(AH$6&gt;=$K39,AH$6&lt;$K39+$L39),$M39/$L39,0),IF($J39="X",$M39/12*(AH$6&lt;=12),0)))</f>
        <v>0</v>
      </c>
      <c r="AI39" s="43">
        <f>IF($J39="R",$O39/12*IF(AI$6&lt;$K39,$U39,MIN(1,$U39+(1-$U39)*(AI$6-$K39+1)/$L39)),IF($J39="P",IF(AND(AI$6&gt;=$K39,AI$6&lt;$K39+$L39),$M39/$L39,0),IF($J39="X",$M39/12*(AI$6&lt;=12),0)))</f>
        <v>0</v>
      </c>
      <c r="AJ39" s="43">
        <f>IF($J39="R",$O39/12*IF(AJ$6&lt;$K39,$U39,MIN(1,$U39+(1-$U39)*(AJ$6-$K39+1)/$L39)),IF($J39="P",IF(AND(AJ$6&gt;=$K39,AJ$6&lt;$K39+$L39),$M39/$L39,0),IF($J39="X",$M39/12*(AJ$6&lt;=12),0)))</f>
        <v>0</v>
      </c>
      <c r="AK39" s="43">
        <f>IF($J39="R",$O39/12*IF(AK$6&lt;$K39,$U39,MIN(1,$U39+(1-$U39)*(AK$6-$K39+1)/$L39)),IF($J39="P",IF(AND(AK$6&gt;=$K39,AK$6&lt;$K39+$L39),$M39/$L39,0),IF($J39="X",$M39/12*(AK$6&lt;=12),0)))</f>
        <v>0</v>
      </c>
      <c r="AL39" s="43">
        <f>IF($J39="R",$O39/12*IF(AL$6&lt;$K39,$U39,MIN(1,$U39+(1-$U39)*(AL$6-$K39+1)/$L39)),IF($J39="P",IF(AND(AL$6&gt;=$K39,AL$6&lt;$K39+$L39),$M39/$L39,0),IF($J39="X",$M39/12*(AL$6&lt;=12),0)))</f>
        <v>0</v>
      </c>
      <c r="AM39" s="43">
        <f>IF($J39="R",$O39/12*IF(AM$6&lt;$K39,$U39,MIN(1,$U39+(1-$U39)*(AM$6-$K39+1)/$L39)),IF($J39="P",IF(AND(AM$6&gt;=$K39,AM$6&lt;$K39+$L39),$M39/$L39,0),IF($J39="X",$M39/12*(AM$6&lt;=12),0)))</f>
        <v>0</v>
      </c>
      <c r="AN39" s="43">
        <f>IF($J39="R",$O39/12*IF(AN$6&lt;$K39,$U39,MIN(1,$U39+(1-$U39)*(AN$6-$K39+1)/$L39)),IF($J39="P",IF(AND(AN$6&gt;=$K39,AN$6&lt;$K39+$L39),$M39/$L39,0),IF($J39="X",$M39/12*(AN$6&lt;=12),0)))</f>
        <v>0</v>
      </c>
      <c r="AO39" s="43">
        <f>IF($J39="R",$O39/12*IF(AO$6&lt;$K39,$U39,MIN(1,$U39+(1-$U39)*(AO$6-$K39+1)/$L39)),IF($J39="P",IF(AND(AO$6&gt;=$K39,AO$6&lt;$K39+$L39),$M39/$L39,0),IF($J39="X",$M39/12*(AO$6&lt;=12),0)))</f>
        <v>0</v>
      </c>
      <c r="AP39" s="43">
        <f>IF($J39="R",$O39/12*IF(AP$6&lt;$K39,$U39,MIN(1,$U39+(1-$U39)*(AP$6-$K39+1)/$L39)),IF($J39="P",IF(AND(AP$6&gt;=$K39,AP$6&lt;$K39+$L39),$M39/$L39,0),IF($J39="X",$M39/12*(AP$6&lt;=12),0)))</f>
        <v>0</v>
      </c>
      <c r="AQ39" s="43">
        <f>IF($J39="R",$O39/12*IF(AQ$6&lt;$K39,$U39,MIN(1,$U39+(1-$U39)*(AQ$6-$K39+1)/$L39)),IF($J39="P",IF(AND(AQ$6&gt;=$K39,AQ$6&lt;$K39+$L39),$M39/$L39,0),IF($J39="X",$M39/12*(AQ$6&lt;=12),0)))</f>
        <v>0</v>
      </c>
      <c r="AR39" s="43">
        <f>IF($J39="R",$O39/12*IF(AR$6&lt;$K39,$U39,MIN(1,$U39+(1-$U39)*(AR$6-$K39+1)/$L39)),IF($J39="P",IF(AND(AR$6&gt;=$K39,AR$6&lt;$K39+$L39),$M39/$L39,0),IF($J39="X",$M39/12*(AR$6&lt;=12),0)))</f>
        <v>0</v>
      </c>
      <c r="AS39" s="43">
        <f>IF($J39="R",$O39/12*IF(AS$6&lt;$K39,$U39,MIN(1,$U39+(1-$U39)*(AS$6-$K39+1)/$L39)),IF($J39="P",IF(AND(AS$6&gt;=$K39,AS$6&lt;$K39+$L39),$M39/$L39,0),IF($J39="X",$M39/12*(AS$6&lt;=12),0)))</f>
        <v>0</v>
      </c>
      <c r="AT39" s="43">
        <f>IF($J39="R",$O39/12*IF(AT$6&lt;$K39,$U39,MIN(1,$U39+(1-$U39)*(AT$6-$K39+1)/$L39)),IF($J39="P",IF(AND(AT$6&gt;=$K39,AT$6&lt;$K39+$L39),$M39/$L39,0),IF($J39="X",$M39/12*(AT$6&lt;=12),0)))</f>
        <v>0</v>
      </c>
      <c r="AU39" s="43">
        <f>IF($J39="R",$O39/12*IF(AU$6&lt;$K39,$U39,MIN(1,$U39+(1-$U39)*(AU$6-$K39+1)/$L39)),IF($J39="P",IF(AND(AU$6&gt;=$K39,AU$6&lt;$K39+$L39),$M39/$L39,0),IF($J39="X",$M39/12*(AU$6&lt;=12),0)))</f>
        <v>0</v>
      </c>
      <c r="AV39" s="23">
        <f>SUM(X39:AI39)</f>
        <v>0</v>
      </c>
      <c r="AW39" s="23">
        <f>SUM(AJ39:AU39)</f>
        <v>0</v>
      </c>
      <c r="AX39" s="67" t="n">
        <v>3000000</v>
      </c>
      <c r="AY39" s="67" t="n">
        <v>9000000</v>
      </c>
      <c r="AZ39" s="67" t="n">
        <v>28000000</v>
      </c>
      <c r="BA39" s="25">
        <f>SUM(AV39:AZ39)</f>
        <v>40000000</v>
      </c>
    </row>
    <row r="40">
      <c r="A40" s="62" t="n">
        <v>31</v>
      </c>
      <c r="B40" s="15" t="inlineStr">
        <is>
          <t>싱가포르·말레이시아 외</t>
        </is>
      </c>
      <c r="C40" s="15" t="inlineStr">
        <is>
          <t>동남아·APAC</t>
        </is>
      </c>
      <c r="D40" s="15" t="inlineStr">
        <is>
          <t>동남아 병원·요양그룹 확대(IHH·NTUC·SingHealth·Econ·ACG 전환)</t>
        </is>
      </c>
      <c r="E40" s="15" t="inlineStr">
        <is>
          <t>신규 파이프라인</t>
        </is>
      </c>
      <c r="F40" s="15" t="inlineStr">
        <is>
          <t>-</t>
        </is>
      </c>
      <c r="G40" s="15" t="inlineStr">
        <is>
          <t>신규</t>
        </is>
      </c>
      <c r="H40" s="15" t="inlineStr">
        <is>
          <t>C 신규 파이프라인(미확정)</t>
        </is>
      </c>
      <c r="I40" s="15" t="inlineStr">
        <is>
          <t>COH</t>
        </is>
      </c>
      <c r="J40" s="63" t="inlineStr">
        <is>
          <t>C</t>
        </is>
      </c>
      <c r="S40" s="65">
        <f>INDEX('8_가정'!$C$17:$E$24,MATCH($G40,'8_가정'!$A$17:$A$24,0),1)</f>
        <v>1</v>
      </c>
      <c r="V40" s="66" t="inlineStr">
        <is>
          <t>IR p.29~32: PoC·구매절차 준비 중인 대형 그룹의 상용 전환(가정)</t>
        </is>
      </c>
      <c r="X40" s="43">
        <f>IF($J40="R",$O40/12*IF(X$6&lt;$K40,$U40,MIN(1,$U40+(1-$U40)*(X$6-$K40+1)/$L40)),IF($J40="P",IF(AND(X$6&gt;=$K40,X$6&lt;$K40+$L40),$M40/$L40,0),IF($J40="X",$M40/12*(X$6&lt;=12),0)))</f>
        <v>0</v>
      </c>
      <c r="Y40" s="43">
        <f>IF($J40="R",$O40/12*IF(Y$6&lt;$K40,$U40,MIN(1,$U40+(1-$U40)*(Y$6-$K40+1)/$L40)),IF($J40="P",IF(AND(Y$6&gt;=$K40,Y$6&lt;$K40+$L40),$M40/$L40,0),IF($J40="X",$M40/12*(Y$6&lt;=12),0)))</f>
        <v>0</v>
      </c>
      <c r="Z40" s="43">
        <f>IF($J40="R",$O40/12*IF(Z$6&lt;$K40,$U40,MIN(1,$U40+(1-$U40)*(Z$6-$K40+1)/$L40)),IF($J40="P",IF(AND(Z$6&gt;=$K40,Z$6&lt;$K40+$L40),$M40/$L40,0),IF($J40="X",$M40/12*(Z$6&lt;=12),0)))</f>
        <v>0</v>
      </c>
      <c r="AA40" s="43">
        <f>IF($J40="R",$O40/12*IF(AA$6&lt;$K40,$U40,MIN(1,$U40+(1-$U40)*(AA$6-$K40+1)/$L40)),IF($J40="P",IF(AND(AA$6&gt;=$K40,AA$6&lt;$K40+$L40),$M40/$L40,0),IF($J40="X",$M40/12*(AA$6&lt;=12),0)))</f>
        <v>0</v>
      </c>
      <c r="AB40" s="43">
        <f>IF($J40="R",$O40/12*IF(AB$6&lt;$K40,$U40,MIN(1,$U40+(1-$U40)*(AB$6-$K40+1)/$L40)),IF($J40="P",IF(AND(AB$6&gt;=$K40,AB$6&lt;$K40+$L40),$M40/$L40,0),IF($J40="X",$M40/12*(AB$6&lt;=12),0)))</f>
        <v>0</v>
      </c>
      <c r="AC40" s="43">
        <f>IF($J40="R",$O40/12*IF(AC$6&lt;$K40,$U40,MIN(1,$U40+(1-$U40)*(AC$6-$K40+1)/$L40)),IF($J40="P",IF(AND(AC$6&gt;=$K40,AC$6&lt;$K40+$L40),$M40/$L40,0),IF($J40="X",$M40/12*(AC$6&lt;=12),0)))</f>
        <v>0</v>
      </c>
      <c r="AD40" s="43">
        <f>IF($J40="R",$O40/12*IF(AD$6&lt;$K40,$U40,MIN(1,$U40+(1-$U40)*(AD$6-$K40+1)/$L40)),IF($J40="P",IF(AND(AD$6&gt;=$K40,AD$6&lt;$K40+$L40),$M40/$L40,0),IF($J40="X",$M40/12*(AD$6&lt;=12),0)))</f>
        <v>0</v>
      </c>
      <c r="AE40" s="43">
        <f>IF($J40="R",$O40/12*IF(AE$6&lt;$K40,$U40,MIN(1,$U40+(1-$U40)*(AE$6-$K40+1)/$L40)),IF($J40="P",IF(AND(AE$6&gt;=$K40,AE$6&lt;$K40+$L40),$M40/$L40,0),IF($J40="X",$M40/12*(AE$6&lt;=12),0)))</f>
        <v>0</v>
      </c>
      <c r="AF40" s="43">
        <f>IF($J40="R",$O40/12*IF(AF$6&lt;$K40,$U40,MIN(1,$U40+(1-$U40)*(AF$6-$K40+1)/$L40)),IF($J40="P",IF(AND(AF$6&gt;=$K40,AF$6&lt;$K40+$L40),$M40/$L40,0),IF($J40="X",$M40/12*(AF$6&lt;=12),0)))</f>
        <v>0</v>
      </c>
      <c r="AG40" s="43">
        <f>IF($J40="R",$O40/12*IF(AG$6&lt;$K40,$U40,MIN(1,$U40+(1-$U40)*(AG$6-$K40+1)/$L40)),IF($J40="P",IF(AND(AG$6&gt;=$K40,AG$6&lt;$K40+$L40),$M40/$L40,0),IF($J40="X",$M40/12*(AG$6&lt;=12),0)))</f>
        <v>0</v>
      </c>
      <c r="AH40" s="43">
        <f>IF($J40="R",$O40/12*IF(AH$6&lt;$K40,$U40,MIN(1,$U40+(1-$U40)*(AH$6-$K40+1)/$L40)),IF($J40="P",IF(AND(AH$6&gt;=$K40,AH$6&lt;$K40+$L40),$M40/$L40,0),IF($J40="X",$M40/12*(AH$6&lt;=12),0)))</f>
        <v>0</v>
      </c>
      <c r="AI40" s="43">
        <f>IF($J40="R",$O40/12*IF(AI$6&lt;$K40,$U40,MIN(1,$U40+(1-$U40)*(AI$6-$K40+1)/$L40)),IF($J40="P",IF(AND(AI$6&gt;=$K40,AI$6&lt;$K40+$L40),$M40/$L40,0),IF($J40="X",$M40/12*(AI$6&lt;=12),0)))</f>
        <v>0</v>
      </c>
      <c r="AJ40" s="43">
        <f>IF($J40="R",$O40/12*IF(AJ$6&lt;$K40,$U40,MIN(1,$U40+(1-$U40)*(AJ$6-$K40+1)/$L40)),IF($J40="P",IF(AND(AJ$6&gt;=$K40,AJ$6&lt;$K40+$L40),$M40/$L40,0),IF($J40="X",$M40/12*(AJ$6&lt;=12),0)))</f>
        <v>0</v>
      </c>
      <c r="AK40" s="43">
        <f>IF($J40="R",$O40/12*IF(AK$6&lt;$K40,$U40,MIN(1,$U40+(1-$U40)*(AK$6-$K40+1)/$L40)),IF($J40="P",IF(AND(AK$6&gt;=$K40,AK$6&lt;$K40+$L40),$M40/$L40,0),IF($J40="X",$M40/12*(AK$6&lt;=12),0)))</f>
        <v>0</v>
      </c>
      <c r="AL40" s="43">
        <f>IF($J40="R",$O40/12*IF(AL$6&lt;$K40,$U40,MIN(1,$U40+(1-$U40)*(AL$6-$K40+1)/$L40)),IF($J40="P",IF(AND(AL$6&gt;=$K40,AL$6&lt;$K40+$L40),$M40/$L40,0),IF($J40="X",$M40/12*(AL$6&lt;=12),0)))</f>
        <v>0</v>
      </c>
      <c r="AM40" s="43">
        <f>IF($J40="R",$O40/12*IF(AM$6&lt;$K40,$U40,MIN(1,$U40+(1-$U40)*(AM$6-$K40+1)/$L40)),IF($J40="P",IF(AND(AM$6&gt;=$K40,AM$6&lt;$K40+$L40),$M40/$L40,0),IF($J40="X",$M40/12*(AM$6&lt;=12),0)))</f>
        <v>0</v>
      </c>
      <c r="AN40" s="43">
        <f>IF($J40="R",$O40/12*IF(AN$6&lt;$K40,$U40,MIN(1,$U40+(1-$U40)*(AN$6-$K40+1)/$L40)),IF($J40="P",IF(AND(AN$6&gt;=$K40,AN$6&lt;$K40+$L40),$M40/$L40,0),IF($J40="X",$M40/12*(AN$6&lt;=12),0)))</f>
        <v>0</v>
      </c>
      <c r="AO40" s="43">
        <f>IF($J40="R",$O40/12*IF(AO$6&lt;$K40,$U40,MIN(1,$U40+(1-$U40)*(AO$6-$K40+1)/$L40)),IF($J40="P",IF(AND(AO$6&gt;=$K40,AO$6&lt;$K40+$L40),$M40/$L40,0),IF($J40="X",$M40/12*(AO$6&lt;=12),0)))</f>
        <v>0</v>
      </c>
      <c r="AP40" s="43">
        <f>IF($J40="R",$O40/12*IF(AP$6&lt;$K40,$U40,MIN(1,$U40+(1-$U40)*(AP$6-$K40+1)/$L40)),IF($J40="P",IF(AND(AP$6&gt;=$K40,AP$6&lt;$K40+$L40),$M40/$L40,0),IF($J40="X",$M40/12*(AP$6&lt;=12),0)))</f>
        <v>0</v>
      </c>
      <c r="AQ40" s="43">
        <f>IF($J40="R",$O40/12*IF(AQ$6&lt;$K40,$U40,MIN(1,$U40+(1-$U40)*(AQ$6-$K40+1)/$L40)),IF($J40="P",IF(AND(AQ$6&gt;=$K40,AQ$6&lt;$K40+$L40),$M40/$L40,0),IF($J40="X",$M40/12*(AQ$6&lt;=12),0)))</f>
        <v>0</v>
      </c>
      <c r="AR40" s="43">
        <f>IF($J40="R",$O40/12*IF(AR$6&lt;$K40,$U40,MIN(1,$U40+(1-$U40)*(AR$6-$K40+1)/$L40)),IF($J40="P",IF(AND(AR$6&gt;=$K40,AR$6&lt;$K40+$L40),$M40/$L40,0),IF($J40="X",$M40/12*(AR$6&lt;=12),0)))</f>
        <v>0</v>
      </c>
      <c r="AS40" s="43">
        <f>IF($J40="R",$O40/12*IF(AS$6&lt;$K40,$U40,MIN(1,$U40+(1-$U40)*(AS$6-$K40+1)/$L40)),IF($J40="P",IF(AND(AS$6&gt;=$K40,AS$6&lt;$K40+$L40),$M40/$L40,0),IF($J40="X",$M40/12*(AS$6&lt;=12),0)))</f>
        <v>0</v>
      </c>
      <c r="AT40" s="43">
        <f>IF($J40="R",$O40/12*IF(AT$6&lt;$K40,$U40,MIN(1,$U40+(1-$U40)*(AT$6-$K40+1)/$L40)),IF($J40="P",IF(AND(AT$6&gt;=$K40,AT$6&lt;$K40+$L40),$M40/$L40,0),IF($J40="X",$M40/12*(AT$6&lt;=12),0)))</f>
        <v>0</v>
      </c>
      <c r="AU40" s="43">
        <f>IF($J40="R",$O40/12*IF(AU$6&lt;$K40,$U40,MIN(1,$U40+(1-$U40)*(AU$6-$K40+1)/$L40)),IF($J40="P",IF(AND(AU$6&gt;=$K40,AU$6&lt;$K40+$L40),$M40/$L40,0),IF($J40="X",$M40/12*(AU$6&lt;=12),0)))</f>
        <v>0</v>
      </c>
      <c r="AV40" s="23">
        <f>SUM(X40:AI40)</f>
        <v>0</v>
      </c>
      <c r="AW40" s="23">
        <f>SUM(AJ40:AU40)</f>
        <v>0</v>
      </c>
      <c r="AX40" s="67" t="n">
        <v>2000000</v>
      </c>
      <c r="AY40" s="67" t="n">
        <v>6000000</v>
      </c>
      <c r="AZ40" s="67" t="n">
        <v>17000000</v>
      </c>
      <c r="BA40" s="25">
        <f>SUM(AV40:AZ40)</f>
        <v>25000000</v>
      </c>
    </row>
    <row r="41">
      <c r="A41" s="62" t="n">
        <v>32</v>
      </c>
      <c r="B41" s="15" t="inlineStr">
        <is>
          <t>유럽</t>
        </is>
      </c>
      <c r="C41" s="15" t="inlineStr">
        <is>
          <t>유럽</t>
        </is>
      </c>
      <c r="D41" s="15" t="inlineStr">
        <is>
          <t>유럽 총판 확대(NL·DE·PL·PT·북유럽)</t>
        </is>
      </c>
      <c r="E41" s="15" t="inlineStr">
        <is>
          <t>신규 파이프라인</t>
        </is>
      </c>
      <c r="F41" s="15" t="inlineStr">
        <is>
          <t>-</t>
        </is>
      </c>
      <c r="G41" s="15" t="inlineStr">
        <is>
          <t>신규</t>
        </is>
      </c>
      <c r="H41" s="15" t="inlineStr">
        <is>
          <t>C 신규 파이프라인(미확정)</t>
        </is>
      </c>
      <c r="I41" s="15" t="inlineStr">
        <is>
          <t>COH</t>
        </is>
      </c>
      <c r="J41" s="63" t="inlineStr">
        <is>
          <t>C</t>
        </is>
      </c>
      <c r="S41" s="65">
        <f>INDEX('8_가정'!$C$17:$E$24,MATCH($G41,'8_가정'!$A$17:$A$24,0),1)</f>
        <v>1</v>
      </c>
      <c r="V41" s="66" t="inlineStr">
        <is>
          <t>IR p.24 로드맵 2027 EU PoC → 2028 확대(가정)</t>
        </is>
      </c>
      <c r="X41" s="43">
        <f>IF($J41="R",$O41/12*IF(X$6&lt;$K41,$U41,MIN(1,$U41+(1-$U41)*(X$6-$K41+1)/$L41)),IF($J41="P",IF(AND(X$6&gt;=$K41,X$6&lt;$K41+$L41),$M41/$L41,0),IF($J41="X",$M41/12*(X$6&lt;=12),0)))</f>
        <v>0</v>
      </c>
      <c r="Y41" s="43">
        <f>IF($J41="R",$O41/12*IF(Y$6&lt;$K41,$U41,MIN(1,$U41+(1-$U41)*(Y$6-$K41+1)/$L41)),IF($J41="P",IF(AND(Y$6&gt;=$K41,Y$6&lt;$K41+$L41),$M41/$L41,0),IF($J41="X",$M41/12*(Y$6&lt;=12),0)))</f>
        <v>0</v>
      </c>
      <c r="Z41" s="43">
        <f>IF($J41="R",$O41/12*IF(Z$6&lt;$K41,$U41,MIN(1,$U41+(1-$U41)*(Z$6-$K41+1)/$L41)),IF($J41="P",IF(AND(Z$6&gt;=$K41,Z$6&lt;$K41+$L41),$M41/$L41,0),IF($J41="X",$M41/12*(Z$6&lt;=12),0)))</f>
        <v>0</v>
      </c>
      <c r="AA41" s="43">
        <f>IF($J41="R",$O41/12*IF(AA$6&lt;$K41,$U41,MIN(1,$U41+(1-$U41)*(AA$6-$K41+1)/$L41)),IF($J41="P",IF(AND(AA$6&gt;=$K41,AA$6&lt;$K41+$L41),$M41/$L41,0),IF($J41="X",$M41/12*(AA$6&lt;=12),0)))</f>
        <v>0</v>
      </c>
      <c r="AB41" s="43">
        <f>IF($J41="R",$O41/12*IF(AB$6&lt;$K41,$U41,MIN(1,$U41+(1-$U41)*(AB$6-$K41+1)/$L41)),IF($J41="P",IF(AND(AB$6&gt;=$K41,AB$6&lt;$K41+$L41),$M41/$L41,0),IF($J41="X",$M41/12*(AB$6&lt;=12),0)))</f>
        <v>0</v>
      </c>
      <c r="AC41" s="43">
        <f>IF($J41="R",$O41/12*IF(AC$6&lt;$K41,$U41,MIN(1,$U41+(1-$U41)*(AC$6-$K41+1)/$L41)),IF($J41="P",IF(AND(AC$6&gt;=$K41,AC$6&lt;$K41+$L41),$M41/$L41,0),IF($J41="X",$M41/12*(AC$6&lt;=12),0)))</f>
        <v>0</v>
      </c>
      <c r="AD41" s="43">
        <f>IF($J41="R",$O41/12*IF(AD$6&lt;$K41,$U41,MIN(1,$U41+(1-$U41)*(AD$6-$K41+1)/$L41)),IF($J41="P",IF(AND(AD$6&gt;=$K41,AD$6&lt;$K41+$L41),$M41/$L41,0),IF($J41="X",$M41/12*(AD$6&lt;=12),0)))</f>
        <v>0</v>
      </c>
      <c r="AE41" s="43">
        <f>IF($J41="R",$O41/12*IF(AE$6&lt;$K41,$U41,MIN(1,$U41+(1-$U41)*(AE$6-$K41+1)/$L41)),IF($J41="P",IF(AND(AE$6&gt;=$K41,AE$6&lt;$K41+$L41),$M41/$L41,0),IF($J41="X",$M41/12*(AE$6&lt;=12),0)))</f>
        <v>0</v>
      </c>
      <c r="AF41" s="43">
        <f>IF($J41="R",$O41/12*IF(AF$6&lt;$K41,$U41,MIN(1,$U41+(1-$U41)*(AF$6-$K41+1)/$L41)),IF($J41="P",IF(AND(AF$6&gt;=$K41,AF$6&lt;$K41+$L41),$M41/$L41,0),IF($J41="X",$M41/12*(AF$6&lt;=12),0)))</f>
        <v>0</v>
      </c>
      <c r="AG41" s="43">
        <f>IF($J41="R",$O41/12*IF(AG$6&lt;$K41,$U41,MIN(1,$U41+(1-$U41)*(AG$6-$K41+1)/$L41)),IF($J41="P",IF(AND(AG$6&gt;=$K41,AG$6&lt;$K41+$L41),$M41/$L41,0),IF($J41="X",$M41/12*(AG$6&lt;=12),0)))</f>
        <v>0</v>
      </c>
      <c r="AH41" s="43">
        <f>IF($J41="R",$O41/12*IF(AH$6&lt;$K41,$U41,MIN(1,$U41+(1-$U41)*(AH$6-$K41+1)/$L41)),IF($J41="P",IF(AND(AH$6&gt;=$K41,AH$6&lt;$K41+$L41),$M41/$L41,0),IF($J41="X",$M41/12*(AH$6&lt;=12),0)))</f>
        <v>0</v>
      </c>
      <c r="AI41" s="43">
        <f>IF($J41="R",$O41/12*IF(AI$6&lt;$K41,$U41,MIN(1,$U41+(1-$U41)*(AI$6-$K41+1)/$L41)),IF($J41="P",IF(AND(AI$6&gt;=$K41,AI$6&lt;$K41+$L41),$M41/$L41,0),IF($J41="X",$M41/12*(AI$6&lt;=12),0)))</f>
        <v>0</v>
      </c>
      <c r="AJ41" s="43">
        <f>IF($J41="R",$O41/12*IF(AJ$6&lt;$K41,$U41,MIN(1,$U41+(1-$U41)*(AJ$6-$K41+1)/$L41)),IF($J41="P",IF(AND(AJ$6&gt;=$K41,AJ$6&lt;$K41+$L41),$M41/$L41,0),IF($J41="X",$M41/12*(AJ$6&lt;=12),0)))</f>
        <v>0</v>
      </c>
      <c r="AK41" s="43">
        <f>IF($J41="R",$O41/12*IF(AK$6&lt;$K41,$U41,MIN(1,$U41+(1-$U41)*(AK$6-$K41+1)/$L41)),IF($J41="P",IF(AND(AK$6&gt;=$K41,AK$6&lt;$K41+$L41),$M41/$L41,0),IF($J41="X",$M41/12*(AK$6&lt;=12),0)))</f>
        <v>0</v>
      </c>
      <c r="AL41" s="43">
        <f>IF($J41="R",$O41/12*IF(AL$6&lt;$K41,$U41,MIN(1,$U41+(1-$U41)*(AL$6-$K41+1)/$L41)),IF($J41="P",IF(AND(AL$6&gt;=$K41,AL$6&lt;$K41+$L41),$M41/$L41,0),IF($J41="X",$M41/12*(AL$6&lt;=12),0)))</f>
        <v>0</v>
      </c>
      <c r="AM41" s="43">
        <f>IF($J41="R",$O41/12*IF(AM$6&lt;$K41,$U41,MIN(1,$U41+(1-$U41)*(AM$6-$K41+1)/$L41)),IF($J41="P",IF(AND(AM$6&gt;=$K41,AM$6&lt;$K41+$L41),$M41/$L41,0),IF($J41="X",$M41/12*(AM$6&lt;=12),0)))</f>
        <v>0</v>
      </c>
      <c r="AN41" s="43">
        <f>IF($J41="R",$O41/12*IF(AN$6&lt;$K41,$U41,MIN(1,$U41+(1-$U41)*(AN$6-$K41+1)/$L41)),IF($J41="P",IF(AND(AN$6&gt;=$K41,AN$6&lt;$K41+$L41),$M41/$L41,0),IF($J41="X",$M41/12*(AN$6&lt;=12),0)))</f>
        <v>0</v>
      </c>
      <c r="AO41" s="43">
        <f>IF($J41="R",$O41/12*IF(AO$6&lt;$K41,$U41,MIN(1,$U41+(1-$U41)*(AO$6-$K41+1)/$L41)),IF($J41="P",IF(AND(AO$6&gt;=$K41,AO$6&lt;$K41+$L41),$M41/$L41,0),IF($J41="X",$M41/12*(AO$6&lt;=12),0)))</f>
        <v>0</v>
      </c>
      <c r="AP41" s="43">
        <f>IF($J41="R",$O41/12*IF(AP$6&lt;$K41,$U41,MIN(1,$U41+(1-$U41)*(AP$6-$K41+1)/$L41)),IF($J41="P",IF(AND(AP$6&gt;=$K41,AP$6&lt;$K41+$L41),$M41/$L41,0),IF($J41="X",$M41/12*(AP$6&lt;=12),0)))</f>
        <v>0</v>
      </c>
      <c r="AQ41" s="43">
        <f>IF($J41="R",$O41/12*IF(AQ$6&lt;$K41,$U41,MIN(1,$U41+(1-$U41)*(AQ$6-$K41+1)/$L41)),IF($J41="P",IF(AND(AQ$6&gt;=$K41,AQ$6&lt;$K41+$L41),$M41/$L41,0),IF($J41="X",$M41/12*(AQ$6&lt;=12),0)))</f>
        <v>0</v>
      </c>
      <c r="AR41" s="43">
        <f>IF($J41="R",$O41/12*IF(AR$6&lt;$K41,$U41,MIN(1,$U41+(1-$U41)*(AR$6-$K41+1)/$L41)),IF($J41="P",IF(AND(AR$6&gt;=$K41,AR$6&lt;$K41+$L41),$M41/$L41,0),IF($J41="X",$M41/12*(AR$6&lt;=12),0)))</f>
        <v>0</v>
      </c>
      <c r="AS41" s="43">
        <f>IF($J41="R",$O41/12*IF(AS$6&lt;$K41,$U41,MIN(1,$U41+(1-$U41)*(AS$6-$K41+1)/$L41)),IF($J41="P",IF(AND(AS$6&gt;=$K41,AS$6&lt;$K41+$L41),$M41/$L41,0),IF($J41="X",$M41/12*(AS$6&lt;=12),0)))</f>
        <v>0</v>
      </c>
      <c r="AT41" s="43">
        <f>IF($J41="R",$O41/12*IF(AT$6&lt;$K41,$U41,MIN(1,$U41+(1-$U41)*(AT$6-$K41+1)/$L41)),IF($J41="P",IF(AND(AT$6&gt;=$K41,AT$6&lt;$K41+$L41),$M41/$L41,0),IF($J41="X",$M41/12*(AT$6&lt;=12),0)))</f>
        <v>0</v>
      </c>
      <c r="AU41" s="43">
        <f>IF($J41="R",$O41/12*IF(AU$6&lt;$K41,$U41,MIN(1,$U41+(1-$U41)*(AU$6-$K41+1)/$L41)),IF($J41="P",IF(AND(AU$6&gt;=$K41,AU$6&lt;$K41+$L41),$M41/$L41,0),IF($J41="X",$M41/12*(AU$6&lt;=12),0)))</f>
        <v>0</v>
      </c>
      <c r="AV41" s="23">
        <f>SUM(X41:AI41)</f>
        <v>0</v>
      </c>
      <c r="AW41" s="23">
        <f>SUM(AJ41:AU41)</f>
        <v>0</v>
      </c>
      <c r="AX41" s="67" t="n">
        <v>1200000</v>
      </c>
      <c r="AY41" s="67" t="n">
        <v>3300000</v>
      </c>
      <c r="AZ41" s="67" t="n">
        <v>11000000</v>
      </c>
      <c r="BA41" s="25">
        <f>SUM(AV41:AZ41)</f>
        <v>15500000</v>
      </c>
    </row>
    <row r="42">
      <c r="A42" s="62" t="n">
        <v>33</v>
      </c>
      <c r="B42" s="15" t="inlineStr">
        <is>
          <t>미국</t>
        </is>
      </c>
      <c r="C42" s="15" t="inlineStr">
        <is>
          <t>미국</t>
        </is>
      </c>
      <c r="D42" s="15" t="inlineStr">
        <is>
          <t>미국 의료유통 채널(Shelter Device PoC → 2029 유통 진입)</t>
        </is>
      </c>
      <c r="E42" s="15" t="inlineStr">
        <is>
          <t>신규 파이프라인</t>
        </is>
      </c>
      <c r="F42" s="15" t="inlineStr">
        <is>
          <t>-</t>
        </is>
      </c>
      <c r="G42" s="15" t="inlineStr">
        <is>
          <t>신규</t>
        </is>
      </c>
      <c r="H42" s="15" t="inlineStr">
        <is>
          <t>C 신규 파이프라인(미확정)</t>
        </is>
      </c>
      <c r="I42" s="15" t="inlineStr">
        <is>
          <t>COH</t>
        </is>
      </c>
      <c r="J42" s="63" t="inlineStr">
        <is>
          <t>C</t>
        </is>
      </c>
      <c r="S42" s="65">
        <f>INDEX('8_가정'!$C$17:$E$24,MATCH($G42,'8_가정'!$A$17:$A$24,0),1)</f>
        <v>1</v>
      </c>
      <c r="V42" s="66" t="inlineStr">
        <is>
          <t>IR p.24 로드맵 2029 미국 의료 유통 채널 진입. FDA 등 인허가 일정은 별도 확인 필요</t>
        </is>
      </c>
      <c r="X42" s="43">
        <f>IF($J42="R",$O42/12*IF(X$6&lt;$K42,$U42,MIN(1,$U42+(1-$U42)*(X$6-$K42+1)/$L42)),IF($J42="P",IF(AND(X$6&gt;=$K42,X$6&lt;$K42+$L42),$M42/$L42,0),IF($J42="X",$M42/12*(X$6&lt;=12),0)))</f>
        <v>0</v>
      </c>
      <c r="Y42" s="43">
        <f>IF($J42="R",$O42/12*IF(Y$6&lt;$K42,$U42,MIN(1,$U42+(1-$U42)*(Y$6-$K42+1)/$L42)),IF($J42="P",IF(AND(Y$6&gt;=$K42,Y$6&lt;$K42+$L42),$M42/$L42,0),IF($J42="X",$M42/12*(Y$6&lt;=12),0)))</f>
        <v>0</v>
      </c>
      <c r="Z42" s="43">
        <f>IF($J42="R",$O42/12*IF(Z$6&lt;$K42,$U42,MIN(1,$U42+(1-$U42)*(Z$6-$K42+1)/$L42)),IF($J42="P",IF(AND(Z$6&gt;=$K42,Z$6&lt;$K42+$L42),$M42/$L42,0),IF($J42="X",$M42/12*(Z$6&lt;=12),0)))</f>
        <v>0</v>
      </c>
      <c r="AA42" s="43">
        <f>IF($J42="R",$O42/12*IF(AA$6&lt;$K42,$U42,MIN(1,$U42+(1-$U42)*(AA$6-$K42+1)/$L42)),IF($J42="P",IF(AND(AA$6&gt;=$K42,AA$6&lt;$K42+$L42),$M42/$L42,0),IF($J42="X",$M42/12*(AA$6&lt;=12),0)))</f>
        <v>0</v>
      </c>
      <c r="AB42" s="43">
        <f>IF($J42="R",$O42/12*IF(AB$6&lt;$K42,$U42,MIN(1,$U42+(1-$U42)*(AB$6-$K42+1)/$L42)),IF($J42="P",IF(AND(AB$6&gt;=$K42,AB$6&lt;$K42+$L42),$M42/$L42,0),IF($J42="X",$M42/12*(AB$6&lt;=12),0)))</f>
        <v>0</v>
      </c>
      <c r="AC42" s="43">
        <f>IF($J42="R",$O42/12*IF(AC$6&lt;$K42,$U42,MIN(1,$U42+(1-$U42)*(AC$6-$K42+1)/$L42)),IF($J42="P",IF(AND(AC$6&gt;=$K42,AC$6&lt;$K42+$L42),$M42/$L42,0),IF($J42="X",$M42/12*(AC$6&lt;=12),0)))</f>
        <v>0</v>
      </c>
      <c r="AD42" s="43">
        <f>IF($J42="R",$O42/12*IF(AD$6&lt;$K42,$U42,MIN(1,$U42+(1-$U42)*(AD$6-$K42+1)/$L42)),IF($J42="P",IF(AND(AD$6&gt;=$K42,AD$6&lt;$K42+$L42),$M42/$L42,0),IF($J42="X",$M42/12*(AD$6&lt;=12),0)))</f>
        <v>0</v>
      </c>
      <c r="AE42" s="43">
        <f>IF($J42="R",$O42/12*IF(AE$6&lt;$K42,$U42,MIN(1,$U42+(1-$U42)*(AE$6-$K42+1)/$L42)),IF($J42="P",IF(AND(AE$6&gt;=$K42,AE$6&lt;$K42+$L42),$M42/$L42,0),IF($J42="X",$M42/12*(AE$6&lt;=12),0)))</f>
        <v>0</v>
      </c>
      <c r="AF42" s="43">
        <f>IF($J42="R",$O42/12*IF(AF$6&lt;$K42,$U42,MIN(1,$U42+(1-$U42)*(AF$6-$K42+1)/$L42)),IF($J42="P",IF(AND(AF$6&gt;=$K42,AF$6&lt;$K42+$L42),$M42/$L42,0),IF($J42="X",$M42/12*(AF$6&lt;=12),0)))</f>
        <v>0</v>
      </c>
      <c r="AG42" s="43">
        <f>IF($J42="R",$O42/12*IF(AG$6&lt;$K42,$U42,MIN(1,$U42+(1-$U42)*(AG$6-$K42+1)/$L42)),IF($J42="P",IF(AND(AG$6&gt;=$K42,AG$6&lt;$K42+$L42),$M42/$L42,0),IF($J42="X",$M42/12*(AG$6&lt;=12),0)))</f>
        <v>0</v>
      </c>
      <c r="AH42" s="43">
        <f>IF($J42="R",$O42/12*IF(AH$6&lt;$K42,$U42,MIN(1,$U42+(1-$U42)*(AH$6-$K42+1)/$L42)),IF($J42="P",IF(AND(AH$6&gt;=$K42,AH$6&lt;$K42+$L42),$M42/$L42,0),IF($J42="X",$M42/12*(AH$6&lt;=12),0)))</f>
        <v>0</v>
      </c>
      <c r="AI42" s="43">
        <f>IF($J42="R",$O42/12*IF(AI$6&lt;$K42,$U42,MIN(1,$U42+(1-$U42)*(AI$6-$K42+1)/$L42)),IF($J42="P",IF(AND(AI$6&gt;=$K42,AI$6&lt;$K42+$L42),$M42/$L42,0),IF($J42="X",$M42/12*(AI$6&lt;=12),0)))</f>
        <v>0</v>
      </c>
      <c r="AJ42" s="43">
        <f>IF($J42="R",$O42/12*IF(AJ$6&lt;$K42,$U42,MIN(1,$U42+(1-$U42)*(AJ$6-$K42+1)/$L42)),IF($J42="P",IF(AND(AJ$6&gt;=$K42,AJ$6&lt;$K42+$L42),$M42/$L42,0),IF($J42="X",$M42/12*(AJ$6&lt;=12),0)))</f>
        <v>0</v>
      </c>
      <c r="AK42" s="43">
        <f>IF($J42="R",$O42/12*IF(AK$6&lt;$K42,$U42,MIN(1,$U42+(1-$U42)*(AK$6-$K42+1)/$L42)),IF($J42="P",IF(AND(AK$6&gt;=$K42,AK$6&lt;$K42+$L42),$M42/$L42,0),IF($J42="X",$M42/12*(AK$6&lt;=12),0)))</f>
        <v>0</v>
      </c>
      <c r="AL42" s="43">
        <f>IF($J42="R",$O42/12*IF(AL$6&lt;$K42,$U42,MIN(1,$U42+(1-$U42)*(AL$6-$K42+1)/$L42)),IF($J42="P",IF(AND(AL$6&gt;=$K42,AL$6&lt;$K42+$L42),$M42/$L42,0),IF($J42="X",$M42/12*(AL$6&lt;=12),0)))</f>
        <v>0</v>
      </c>
      <c r="AM42" s="43">
        <f>IF($J42="R",$O42/12*IF(AM$6&lt;$K42,$U42,MIN(1,$U42+(1-$U42)*(AM$6-$K42+1)/$L42)),IF($J42="P",IF(AND(AM$6&gt;=$K42,AM$6&lt;$K42+$L42),$M42/$L42,0),IF($J42="X",$M42/12*(AM$6&lt;=12),0)))</f>
        <v>0</v>
      </c>
      <c r="AN42" s="43">
        <f>IF($J42="R",$O42/12*IF(AN$6&lt;$K42,$U42,MIN(1,$U42+(1-$U42)*(AN$6-$K42+1)/$L42)),IF($J42="P",IF(AND(AN$6&gt;=$K42,AN$6&lt;$K42+$L42),$M42/$L42,0),IF($J42="X",$M42/12*(AN$6&lt;=12),0)))</f>
        <v>0</v>
      </c>
      <c r="AO42" s="43">
        <f>IF($J42="R",$O42/12*IF(AO$6&lt;$K42,$U42,MIN(1,$U42+(1-$U42)*(AO$6-$K42+1)/$L42)),IF($J42="P",IF(AND(AO$6&gt;=$K42,AO$6&lt;$K42+$L42),$M42/$L42,0),IF($J42="X",$M42/12*(AO$6&lt;=12),0)))</f>
        <v>0</v>
      </c>
      <c r="AP42" s="43">
        <f>IF($J42="R",$O42/12*IF(AP$6&lt;$K42,$U42,MIN(1,$U42+(1-$U42)*(AP$6-$K42+1)/$L42)),IF($J42="P",IF(AND(AP$6&gt;=$K42,AP$6&lt;$K42+$L42),$M42/$L42,0),IF($J42="X",$M42/12*(AP$6&lt;=12),0)))</f>
        <v>0</v>
      </c>
      <c r="AQ42" s="43">
        <f>IF($J42="R",$O42/12*IF(AQ$6&lt;$K42,$U42,MIN(1,$U42+(1-$U42)*(AQ$6-$K42+1)/$L42)),IF($J42="P",IF(AND(AQ$6&gt;=$K42,AQ$6&lt;$K42+$L42),$M42/$L42,0),IF($J42="X",$M42/12*(AQ$6&lt;=12),0)))</f>
        <v>0</v>
      </c>
      <c r="AR42" s="43">
        <f>IF($J42="R",$O42/12*IF(AR$6&lt;$K42,$U42,MIN(1,$U42+(1-$U42)*(AR$6-$K42+1)/$L42)),IF($J42="P",IF(AND(AR$6&gt;=$K42,AR$6&lt;$K42+$L42),$M42/$L42,0),IF($J42="X",$M42/12*(AR$6&lt;=12),0)))</f>
        <v>0</v>
      </c>
      <c r="AS42" s="43">
        <f>IF($J42="R",$O42/12*IF(AS$6&lt;$K42,$U42,MIN(1,$U42+(1-$U42)*(AS$6-$K42+1)/$L42)),IF($J42="P",IF(AND(AS$6&gt;=$K42,AS$6&lt;$K42+$L42),$M42/$L42,0),IF($J42="X",$M42/12*(AS$6&lt;=12),0)))</f>
        <v>0</v>
      </c>
      <c r="AT42" s="43">
        <f>IF($J42="R",$O42/12*IF(AT$6&lt;$K42,$U42,MIN(1,$U42+(1-$U42)*(AT$6-$K42+1)/$L42)),IF($J42="P",IF(AND(AT$6&gt;=$K42,AT$6&lt;$K42+$L42),$M42/$L42,0),IF($J42="X",$M42/12*(AT$6&lt;=12),0)))</f>
        <v>0</v>
      </c>
      <c r="AU42" s="43">
        <f>IF($J42="R",$O42/12*IF(AU$6&lt;$K42,$U42,MIN(1,$U42+(1-$U42)*(AU$6-$K42+1)/$L42)),IF($J42="P",IF(AND(AU$6&gt;=$K42,AU$6&lt;$K42+$L42),$M42/$L42,0),IF($J42="X",$M42/12*(AU$6&lt;=12),0)))</f>
        <v>0</v>
      </c>
      <c r="AV42" s="23">
        <f>SUM(X42:AI42)</f>
        <v>0</v>
      </c>
      <c r="AW42" s="23">
        <f>SUM(AJ42:AU42)</f>
        <v>0</v>
      </c>
      <c r="AX42" s="67" t="n">
        <v>1000000</v>
      </c>
      <c r="AY42" s="67" t="n">
        <v>7500000</v>
      </c>
      <c r="AZ42" s="67" t="n">
        <v>30000000</v>
      </c>
      <c r="BA42" s="25">
        <f>SUM(AV42:AZ42)</f>
        <v>38500000</v>
      </c>
    </row>
    <row r="43">
      <c r="A43" s="62" t="n">
        <v>34</v>
      </c>
      <c r="B43" s="15" t="inlineStr">
        <is>
          <t>글로벌</t>
        </is>
      </c>
      <c r="C43" s="15" t="inlineStr">
        <is>
          <t>글로벌(삼성채널)</t>
        </is>
      </c>
      <c r="D43" s="15" t="inlineStr">
        <is>
          <t>삼성 글로벌 채널(B2B 오퍼링 번들·시니어 모바일 앱) — 목표 대비 잔여</t>
        </is>
      </c>
      <c r="E43" s="15" t="inlineStr">
        <is>
          <t>파트너</t>
        </is>
      </c>
      <c r="F43" s="15" t="inlineStr">
        <is>
          <t>-</t>
        </is>
      </c>
      <c r="G43" s="15" t="inlineStr">
        <is>
          <t>신규</t>
        </is>
      </c>
      <c r="H43" s="15" t="inlineStr">
        <is>
          <t>C 신규 파이프라인(미확정)</t>
        </is>
      </c>
      <c r="I43" s="15" t="inlineStr">
        <is>
          <t>COH</t>
        </is>
      </c>
      <c r="J43" s="63" t="inlineStr">
        <is>
          <t>S</t>
        </is>
      </c>
      <c r="S43" s="65">
        <f>INDEX('8_가정'!$C$17:$E$24,MATCH($G43,'8_가정'!$A$17:$A$24,0),1)</f>
        <v>1</v>
      </c>
      <c r="V43" s="66" t="inlineStr">
        <is>
          <t>IR p.23·24: 삼성 B2B 오퍼링 번들(2028 글로벌 확장, 273개국). IR 총액과의 차이를 채우는 잔여 — 가장 불확실한 항목</t>
        </is>
      </c>
      <c r="X43" s="43">
        <f>IF($J43="R",$O43/12*IF(X$6&lt;$K43,$U43,MIN(1,$U43+(1-$U43)*(X$6-$K43+1)/$L43)),IF($J43="P",IF(AND(X$6&gt;=$K43,X$6&lt;$K43+$L43),$M43/$L43,0),IF($J43="X",$M43/12*(X$6&lt;=12),0)))</f>
        <v>0</v>
      </c>
      <c r="Y43" s="43">
        <f>IF($J43="R",$O43/12*IF(Y$6&lt;$K43,$U43,MIN(1,$U43+(1-$U43)*(Y$6-$K43+1)/$L43)),IF($J43="P",IF(AND(Y$6&gt;=$K43,Y$6&lt;$K43+$L43),$M43/$L43,0),IF($J43="X",$M43/12*(Y$6&lt;=12),0)))</f>
        <v>0</v>
      </c>
      <c r="Z43" s="43">
        <f>IF($J43="R",$O43/12*IF(Z$6&lt;$K43,$U43,MIN(1,$U43+(1-$U43)*(Z$6-$K43+1)/$L43)),IF($J43="P",IF(AND(Z$6&gt;=$K43,Z$6&lt;$K43+$L43),$M43/$L43,0),IF($J43="X",$M43/12*(Z$6&lt;=12),0)))</f>
        <v>0</v>
      </c>
      <c r="AA43" s="43">
        <f>IF($J43="R",$O43/12*IF(AA$6&lt;$K43,$U43,MIN(1,$U43+(1-$U43)*(AA$6-$K43+1)/$L43)),IF($J43="P",IF(AND(AA$6&gt;=$K43,AA$6&lt;$K43+$L43),$M43/$L43,0),IF($J43="X",$M43/12*(AA$6&lt;=12),0)))</f>
        <v>0</v>
      </c>
      <c r="AB43" s="43">
        <f>IF($J43="R",$O43/12*IF(AB$6&lt;$K43,$U43,MIN(1,$U43+(1-$U43)*(AB$6-$K43+1)/$L43)),IF($J43="P",IF(AND(AB$6&gt;=$K43,AB$6&lt;$K43+$L43),$M43/$L43,0),IF($J43="X",$M43/12*(AB$6&lt;=12),0)))</f>
        <v>0</v>
      </c>
      <c r="AC43" s="43">
        <f>IF($J43="R",$O43/12*IF(AC$6&lt;$K43,$U43,MIN(1,$U43+(1-$U43)*(AC$6-$K43+1)/$L43)),IF($J43="P",IF(AND(AC$6&gt;=$K43,AC$6&lt;$K43+$L43),$M43/$L43,0),IF($J43="X",$M43/12*(AC$6&lt;=12),0)))</f>
        <v>0</v>
      </c>
      <c r="AD43" s="43">
        <f>IF($J43="R",$O43/12*IF(AD$6&lt;$K43,$U43,MIN(1,$U43+(1-$U43)*(AD$6-$K43+1)/$L43)),IF($J43="P",IF(AND(AD$6&gt;=$K43,AD$6&lt;$K43+$L43),$M43/$L43,0),IF($J43="X",$M43/12*(AD$6&lt;=12),0)))</f>
        <v>0</v>
      </c>
      <c r="AE43" s="43">
        <f>IF($J43="R",$O43/12*IF(AE$6&lt;$K43,$U43,MIN(1,$U43+(1-$U43)*(AE$6-$K43+1)/$L43)),IF($J43="P",IF(AND(AE$6&gt;=$K43,AE$6&lt;$K43+$L43),$M43/$L43,0),IF($J43="X",$M43/12*(AE$6&lt;=12),0)))</f>
        <v>0</v>
      </c>
      <c r="AF43" s="43">
        <f>IF($J43="R",$O43/12*IF(AF$6&lt;$K43,$U43,MIN(1,$U43+(1-$U43)*(AF$6-$K43+1)/$L43)),IF($J43="P",IF(AND(AF$6&gt;=$K43,AF$6&lt;$K43+$L43),$M43/$L43,0),IF($J43="X",$M43/12*(AF$6&lt;=12),0)))</f>
        <v>0</v>
      </c>
      <c r="AG43" s="43">
        <f>IF($J43="R",$O43/12*IF(AG$6&lt;$K43,$U43,MIN(1,$U43+(1-$U43)*(AG$6-$K43+1)/$L43)),IF($J43="P",IF(AND(AG$6&gt;=$K43,AG$6&lt;$K43+$L43),$M43/$L43,0),IF($J43="X",$M43/12*(AG$6&lt;=12),0)))</f>
        <v>0</v>
      </c>
      <c r="AH43" s="43">
        <f>IF($J43="R",$O43/12*IF(AH$6&lt;$K43,$U43,MIN(1,$U43+(1-$U43)*(AH$6-$K43+1)/$L43)),IF($J43="P",IF(AND(AH$6&gt;=$K43,AH$6&lt;$K43+$L43),$M43/$L43,0),IF($J43="X",$M43/12*(AH$6&lt;=12),0)))</f>
        <v>0</v>
      </c>
      <c r="AI43" s="43">
        <f>IF($J43="R",$O43/12*IF(AI$6&lt;$K43,$U43,MIN(1,$U43+(1-$U43)*(AI$6-$K43+1)/$L43)),IF($J43="P",IF(AND(AI$6&gt;=$K43,AI$6&lt;$K43+$L43),$M43/$L43,0),IF($J43="X",$M43/12*(AI$6&lt;=12),0)))</f>
        <v>0</v>
      </c>
      <c r="AJ43" s="43">
        <f>IF($J43="R",$O43/12*IF(AJ$6&lt;$K43,$U43,MIN(1,$U43+(1-$U43)*(AJ$6-$K43+1)/$L43)),IF($J43="P",IF(AND(AJ$6&gt;=$K43,AJ$6&lt;$K43+$L43),$M43/$L43,0),IF($J43="X",$M43/12*(AJ$6&lt;=12),0)))</f>
        <v>0</v>
      </c>
      <c r="AK43" s="43">
        <f>IF($J43="R",$O43/12*IF(AK$6&lt;$K43,$U43,MIN(1,$U43+(1-$U43)*(AK$6-$K43+1)/$L43)),IF($J43="P",IF(AND(AK$6&gt;=$K43,AK$6&lt;$K43+$L43),$M43/$L43,0),IF($J43="X",$M43/12*(AK$6&lt;=12),0)))</f>
        <v>0</v>
      </c>
      <c r="AL43" s="43">
        <f>IF($J43="R",$O43/12*IF(AL$6&lt;$K43,$U43,MIN(1,$U43+(1-$U43)*(AL$6-$K43+1)/$L43)),IF($J43="P",IF(AND(AL$6&gt;=$K43,AL$6&lt;$K43+$L43),$M43/$L43,0),IF($J43="X",$M43/12*(AL$6&lt;=12),0)))</f>
        <v>0</v>
      </c>
      <c r="AM43" s="43">
        <f>IF($J43="R",$O43/12*IF(AM$6&lt;$K43,$U43,MIN(1,$U43+(1-$U43)*(AM$6-$K43+1)/$L43)),IF($J43="P",IF(AND(AM$6&gt;=$K43,AM$6&lt;$K43+$L43),$M43/$L43,0),IF($J43="X",$M43/12*(AM$6&lt;=12),0)))</f>
        <v>0</v>
      </c>
      <c r="AN43" s="43">
        <f>IF($J43="R",$O43/12*IF(AN$6&lt;$K43,$U43,MIN(1,$U43+(1-$U43)*(AN$6-$K43+1)/$L43)),IF($J43="P",IF(AND(AN$6&gt;=$K43,AN$6&lt;$K43+$L43),$M43/$L43,0),IF($J43="X",$M43/12*(AN$6&lt;=12),0)))</f>
        <v>0</v>
      </c>
      <c r="AO43" s="43">
        <f>IF($J43="R",$O43/12*IF(AO$6&lt;$K43,$U43,MIN(1,$U43+(1-$U43)*(AO$6-$K43+1)/$L43)),IF($J43="P",IF(AND(AO$6&gt;=$K43,AO$6&lt;$K43+$L43),$M43/$L43,0),IF($J43="X",$M43/12*(AO$6&lt;=12),0)))</f>
        <v>0</v>
      </c>
      <c r="AP43" s="43">
        <f>IF($J43="R",$O43/12*IF(AP$6&lt;$K43,$U43,MIN(1,$U43+(1-$U43)*(AP$6-$K43+1)/$L43)),IF($J43="P",IF(AND(AP$6&gt;=$K43,AP$6&lt;$K43+$L43),$M43/$L43,0),IF($J43="X",$M43/12*(AP$6&lt;=12),0)))</f>
        <v>0</v>
      </c>
      <c r="AQ43" s="43">
        <f>IF($J43="R",$O43/12*IF(AQ$6&lt;$K43,$U43,MIN(1,$U43+(1-$U43)*(AQ$6-$K43+1)/$L43)),IF($J43="P",IF(AND(AQ$6&gt;=$K43,AQ$6&lt;$K43+$L43),$M43/$L43,0),IF($J43="X",$M43/12*(AQ$6&lt;=12),0)))</f>
        <v>0</v>
      </c>
      <c r="AR43" s="43">
        <f>IF($J43="R",$O43/12*IF(AR$6&lt;$K43,$U43,MIN(1,$U43+(1-$U43)*(AR$6-$K43+1)/$L43)),IF($J43="P",IF(AND(AR$6&gt;=$K43,AR$6&lt;$K43+$L43),$M43/$L43,0),IF($J43="X",$M43/12*(AR$6&lt;=12),0)))</f>
        <v>0</v>
      </c>
      <c r="AS43" s="43">
        <f>IF($J43="R",$O43/12*IF(AS$6&lt;$K43,$U43,MIN(1,$U43+(1-$U43)*(AS$6-$K43+1)/$L43)),IF($J43="P",IF(AND(AS$6&gt;=$K43,AS$6&lt;$K43+$L43),$M43/$L43,0),IF($J43="X",$M43/12*(AS$6&lt;=12),0)))</f>
        <v>0</v>
      </c>
      <c r="AT43" s="43">
        <f>IF($J43="R",$O43/12*IF(AT$6&lt;$K43,$U43,MIN(1,$U43+(1-$U43)*(AT$6-$K43+1)/$L43)),IF($J43="P",IF(AND(AT$6&gt;=$K43,AT$6&lt;$K43+$L43),$M43/$L43,0),IF($J43="X",$M43/12*(AT$6&lt;=12),0)))</f>
        <v>0</v>
      </c>
      <c r="AU43" s="43">
        <f>IF($J43="R",$O43/12*IF(AU$6&lt;$K43,$U43,MIN(1,$U43+(1-$U43)*(AU$6-$K43+1)/$L43)),IF($J43="P",IF(AND(AU$6&gt;=$K43,AU$6&lt;$K43+$L43),$M43/$L43,0),IF($J43="X",$M43/12*(AU$6&lt;=12),0)))</f>
        <v>0</v>
      </c>
      <c r="AV43" s="23">
        <f>SUM(X43:AI43)</f>
        <v>0</v>
      </c>
      <c r="AW43" s="23">
        <f>SUM(AJ43:AU43)</f>
        <v>0</v>
      </c>
      <c r="AX43" s="24">
        <f>'8_가정'!$E$6-SUMPRODUCT($S$10:$S$42,AX10:AX42)</f>
        <v>4165688</v>
      </c>
      <c r="AY43" s="24">
        <f>'8_가정'!$F$6-SUMPRODUCT($S$10:$S$42,AY10:AY42)</f>
        <v>9195097.4</v>
      </c>
      <c r="AZ43" s="24">
        <f>'8_가정'!$G$6-SUMPRODUCT($S$10:$S$42,AZ10:AZ42)</f>
        <v>21511421.832</v>
      </c>
      <c r="BA43" s="25">
        <f>SUM(AV43:AZ43)</f>
        <v>34872207.232</v>
      </c>
    </row>
    <row r="44">
      <c r="D44" s="12" t="inlineStr">
        <is>
          <t>A 합계(S1 가중)</t>
        </is>
      </c>
      <c r="X44" s="26">
        <f>SUMPRODUCT($S$10:$S$43,X10:X43)</f>
        <v>54297</v>
      </c>
      <c r="Y44" s="26">
        <f>SUMPRODUCT($S$10:$S$43,Y10:Y43)</f>
        <v>42124</v>
      </c>
      <c r="Z44" s="26">
        <f>SUMPRODUCT($S$10:$S$43,Z10:Z43)</f>
        <v>66552</v>
      </c>
      <c r="AA44" s="26">
        <f>SUMPRODUCT($S$10:$S$43,AA10:AA43)</f>
        <v>20969</v>
      </c>
      <c r="AB44" s="26">
        <f>SUMPRODUCT($S$10:$S$43,AB10:AB43)</f>
        <v>28646</v>
      </c>
      <c r="AC44" s="26">
        <f>SUMPRODUCT($S$10:$S$43,AC10:AC43)</f>
        <v>60378</v>
      </c>
      <c r="AD44" s="26">
        <f>SUMPRODUCT($S$10:$S$43,AD10:AD43)</f>
        <v>24379</v>
      </c>
      <c r="AE44" s="26">
        <f>SUMPRODUCT($S$10:$S$43,AE10:AE43)</f>
        <v>16087</v>
      </c>
      <c r="AF44" s="26">
        <f>SUMPRODUCT($S$10:$S$43,AF10:AF43)</f>
        <v>46206</v>
      </c>
      <c r="AG44" s="26">
        <f>SUMPRODUCT($S$10:$S$43,AG10:AG43)</f>
        <v>70875</v>
      </c>
      <c r="AH44" s="26">
        <f>SUMPRODUCT($S$10:$S$43,AH10:AH43)</f>
        <v>249695</v>
      </c>
      <c r="AI44" s="26">
        <f>SUMPRODUCT($S$10:$S$43,AI10:AI43)</f>
        <v>594437</v>
      </c>
      <c r="AJ44" s="26">
        <f>SUMPRODUCT($S$10:$S$43,AJ10:AJ43)</f>
        <v>682975</v>
      </c>
      <c r="AK44" s="26">
        <f>SUMPRODUCT($S$10:$S$43,AK10:AK43)</f>
        <v>828775</v>
      </c>
      <c r="AL44" s="26">
        <f>SUMPRODUCT($S$10:$S$43,AL10:AL43)</f>
        <v>784575</v>
      </c>
      <c r="AM44" s="26">
        <f>SUMPRODUCT($S$10:$S$43,AM10:AM43)</f>
        <v>790375</v>
      </c>
      <c r="AN44" s="26">
        <f>SUMPRODUCT($S$10:$S$43,AN10:AN43)</f>
        <v>756175</v>
      </c>
      <c r="AO44" s="26">
        <f>SUMPRODUCT($S$10:$S$43,AO10:AO43)</f>
        <v>917775</v>
      </c>
      <c r="AP44" s="26">
        <f>SUMPRODUCT($S$10:$S$43,AP10:AP43)</f>
        <v>813575</v>
      </c>
      <c r="AQ44" s="26">
        <f>SUMPRODUCT($S$10:$S$43,AQ10:AQ43)</f>
        <v>793575</v>
      </c>
      <c r="AR44" s="26">
        <f>SUMPRODUCT($S$10:$S$43,AR10:AR43)</f>
        <v>819375</v>
      </c>
      <c r="AS44" s="26">
        <f>SUMPRODUCT($S$10:$S$43,AS10:AS43)</f>
        <v>974375</v>
      </c>
      <c r="AT44" s="26">
        <f>SUMPRODUCT($S$10:$S$43,AT10:AT43)</f>
        <v>900175</v>
      </c>
      <c r="AU44" s="26">
        <f>SUMPRODUCT($S$10:$S$43,AU10:AU43)</f>
        <v>943275</v>
      </c>
      <c r="AV44" s="27">
        <f>SUMPRODUCT($S$10:$S$43,AV10:AV43)</f>
        <v>1274645</v>
      </c>
      <c r="AW44" s="27">
        <f>SUMPRODUCT($S$10:$S$43,AW10:AW43)</f>
        <v>10005000</v>
      </c>
      <c r="AX44" s="28">
        <f>SUMPRODUCT($S$10:$S$43,AX10:AX43)</f>
        <v>33000000</v>
      </c>
      <c r="AY44" s="28">
        <f>SUMPRODUCT($S$10:$S$43,AY10:AY43)</f>
        <v>70000000</v>
      </c>
      <c r="AZ44" s="28">
        <f>SUMPRODUCT($S$10:$S$43,AZ10:AZ43)</f>
        <v>156000000</v>
      </c>
      <c r="BA44" s="26">
        <f>SUMPRODUCT($S$10:$S$43,BA10:BA43)</f>
        <v>270279645</v>
      </c>
    </row>
    <row r="45">
      <c r="D45" s="52" t="inlineStr">
        <is>
          <t>IR 매출 목표</t>
        </is>
      </c>
      <c r="AV45" s="18">
        <f>'8_가정'!$C$6</f>
        <v>1200000</v>
      </c>
      <c r="AW45" s="18">
        <f>'8_가정'!$D$6</f>
        <v>10005000</v>
      </c>
      <c r="AX45" s="18">
        <f>'8_가정'!$E$6</f>
        <v>33000000</v>
      </c>
      <c r="AY45" s="18">
        <f>'8_가정'!$F$6</f>
        <v>70000000</v>
      </c>
      <c r="AZ45" s="18">
        <f>'8_가정'!$G$6</f>
        <v>156000000</v>
      </c>
    </row>
    <row r="46">
      <c r="D46" s="52" t="inlineStr">
        <is>
          <t>차이(모델 − IR)</t>
        </is>
      </c>
      <c r="AV46" s="43">
        <f>AV44-AV45</f>
        <v>74645</v>
      </c>
      <c r="AW46" s="43">
        <f>AW44-AW45</f>
        <v>0</v>
      </c>
      <c r="AX46" s="43">
        <f>AX44-AX45</f>
        <v>0</v>
      </c>
      <c r="AY46" s="43">
        <f>AY44-AY45</f>
        <v>0</v>
      </c>
      <c r="AZ46" s="43">
        <f>AZ44-AZ45</f>
        <v>0</v>
      </c>
    </row>
    <row r="47">
      <c r="D47" s="52" t="inlineStr">
        <is>
          <t>차이 %</t>
        </is>
      </c>
      <c r="AV47" s="68">
        <f>IFERROR(AV46/AV45,0)</f>
        <v>0.0622041666666667</v>
      </c>
      <c r="AW47" s="68">
        <f>IFERROR(AW46/AW45,0)</f>
        <v>0</v>
      </c>
      <c r="AX47" s="68">
        <f>IFERROR(AX46/AX45,0)</f>
        <v>0</v>
      </c>
      <c r="AY47" s="68">
        <f>IFERROR(AY46/AY45,0)</f>
        <v>0</v>
      </c>
      <c r="AZ47" s="68">
        <f>IFERROR(AZ46/AZ45,0)</f>
        <v>0</v>
      </c>
    </row>
    <row r="50">
      <c r="A50" s="3" t="inlineStr">
        <is>
          <t>B. 선택 시나리오 적용 — 손익계산서 연동 (확률 × 지연 이동 / 성장배수 / 신규 달성률)</t>
        </is>
      </c>
    </row>
    <row r="51">
      <c r="A51" s="22" t="inlineStr">
        <is>
          <t>No</t>
        </is>
      </c>
      <c r="B51" s="22" t="inlineStr">
        <is>
          <t>국가</t>
        </is>
      </c>
      <c r="C51" s="22" t="inlineStr">
        <is>
          <t>지역</t>
        </is>
      </c>
      <c r="D51" s="22" t="inlineStr">
        <is>
          <t>거래처</t>
        </is>
      </c>
      <c r="E51" s="22" t="inlineStr">
        <is>
          <t>거래형태</t>
        </is>
      </c>
      <c r="F51" s="22" t="inlineStr">
        <is>
          <t>IR 단계</t>
        </is>
      </c>
      <c r="G51" s="22" t="inlineStr">
        <is>
          <t>모델 단계</t>
        </is>
      </c>
      <c r="H51" s="22" t="inlineStr">
        <is>
          <t>근거수준</t>
        </is>
      </c>
      <c r="I51" s="22" t="inlineStr">
        <is>
          <t>믹스</t>
        </is>
      </c>
      <c r="J51" s="22" t="inlineStr">
        <is>
          <t>유형</t>
        </is>
      </c>
      <c r="K51" s="22" t="inlineStr">
        <is>
          <t>확률(선택)</t>
        </is>
      </c>
      <c r="L51" s="22" t="inlineStr">
        <is>
          <t>지연(월)</t>
        </is>
      </c>
      <c r="M51" s="22" t="inlineStr"/>
      <c r="N51" s="22" t="inlineStr"/>
      <c r="O51" s="22" t="inlineStr"/>
      <c r="P51" s="22" t="inlineStr"/>
      <c r="Q51" s="22" t="inlineStr"/>
      <c r="R51" s="22" t="inlineStr"/>
      <c r="S51" s="22" t="inlineStr"/>
      <c r="T51" s="22" t="inlineStr"/>
      <c r="U51" s="22" t="inlineStr"/>
      <c r="V51" s="22" t="inlineStr">
        <is>
          <t>비고</t>
        </is>
      </c>
      <c r="X51" s="22" t="inlineStr">
        <is>
          <t>2026-01</t>
        </is>
      </c>
      <c r="Y51" s="22" t="inlineStr">
        <is>
          <t>2026-02</t>
        </is>
      </c>
      <c r="Z51" s="22" t="inlineStr">
        <is>
          <t>2026-03</t>
        </is>
      </c>
      <c r="AA51" s="22" t="inlineStr">
        <is>
          <t>2026-04</t>
        </is>
      </c>
      <c r="AB51" s="22" t="inlineStr">
        <is>
          <t>2026-05</t>
        </is>
      </c>
      <c r="AC51" s="22" t="inlineStr">
        <is>
          <t>2026-06</t>
        </is>
      </c>
      <c r="AD51" s="22" t="inlineStr">
        <is>
          <t>2026-07</t>
        </is>
      </c>
      <c r="AE51" s="22" t="inlineStr">
        <is>
          <t>2026-08</t>
        </is>
      </c>
      <c r="AF51" s="22" t="inlineStr">
        <is>
          <t>2026-09</t>
        </is>
      </c>
      <c r="AG51" s="22" t="inlineStr">
        <is>
          <t>2026-10</t>
        </is>
      </c>
      <c r="AH51" s="22" t="inlineStr">
        <is>
          <t>2026-11</t>
        </is>
      </c>
      <c r="AI51" s="22" t="inlineStr">
        <is>
          <t>2026-12</t>
        </is>
      </c>
      <c r="AJ51" s="22" t="inlineStr">
        <is>
          <t>2027-01</t>
        </is>
      </c>
      <c r="AK51" s="22" t="inlineStr">
        <is>
          <t>2027-02</t>
        </is>
      </c>
      <c r="AL51" s="22" t="inlineStr">
        <is>
          <t>2027-03</t>
        </is>
      </c>
      <c r="AM51" s="22" t="inlineStr">
        <is>
          <t>2027-04</t>
        </is>
      </c>
      <c r="AN51" s="22" t="inlineStr">
        <is>
          <t>2027-05</t>
        </is>
      </c>
      <c r="AO51" s="22" t="inlineStr">
        <is>
          <t>2027-06</t>
        </is>
      </c>
      <c r="AP51" s="22" t="inlineStr">
        <is>
          <t>2027-07</t>
        </is>
      </c>
      <c r="AQ51" s="22" t="inlineStr">
        <is>
          <t>2027-08</t>
        </is>
      </c>
      <c r="AR51" s="22" t="inlineStr">
        <is>
          <t>2027-09</t>
        </is>
      </c>
      <c r="AS51" s="22" t="inlineStr">
        <is>
          <t>2027-10</t>
        </is>
      </c>
      <c r="AT51" s="22" t="inlineStr">
        <is>
          <t>2027-11</t>
        </is>
      </c>
      <c r="AU51" s="22" t="inlineStr">
        <is>
          <t>2027-12</t>
        </is>
      </c>
      <c r="AV51" s="22" t="inlineStr">
        <is>
          <t>FY2026</t>
        </is>
      </c>
      <c r="AW51" s="22" t="inlineStr">
        <is>
          <t>FY2027</t>
        </is>
      </c>
      <c r="AX51" s="22" t="inlineStr">
        <is>
          <t>2028E</t>
        </is>
      </c>
      <c r="AY51" s="22" t="inlineStr">
        <is>
          <t>2029E</t>
        </is>
      </c>
      <c r="AZ51" s="22" t="inlineStr">
        <is>
          <t>2030E</t>
        </is>
      </c>
      <c r="BA51" s="22" t="inlineStr">
        <is>
          <t>5개년 합계</t>
        </is>
      </c>
    </row>
    <row r="52">
      <c r="A52" s="7">
        <f>A10</f>
        <v>1</v>
      </c>
      <c r="B52" s="15" t="str">
        <f>B10</f>
        <v>한국</v>
      </c>
      <c r="C52" s="15" t="str">
        <f>C10</f>
        <v>한국</v>
      </c>
      <c r="D52" s="15" t="str">
        <f>D10</f>
        <v>네이버(Bebefit/Monit) — 베이비</v>
      </c>
      <c r="E52" s="15" t="str">
        <f>E10</f>
        <v>온라인·B2C</v>
      </c>
      <c r="F52" s="15" t="str">
        <f>F10</f>
        <v>-</v>
      </c>
      <c r="G52" s="15" t="str">
        <f>G10</f>
        <v>기존</v>
      </c>
      <c r="H52" s="15" t="str">
        <f>H10</f>
        <v>A 계약·기존 거래</v>
      </c>
      <c r="I52" s="15" t="str">
        <f>I10</f>
        <v>BABY</v>
      </c>
      <c r="J52" s="15" t="str">
        <f>J10</f>
        <v>M</v>
      </c>
      <c r="K52" s="65">
        <f>INDEX('8_가정'!$C$17:$E$24,MATCH($G10,'8_가정'!$A$17:$A$24,0),'1_요약'!$C$5)</f>
        <v>1</v>
      </c>
      <c r="L52" s="69">
        <f>IF($T10="Y",INDEX('8_가정'!$F$17:$H$24,MATCH($G10,'8_가정'!$A$17:$A$24,0),'1_요약'!$C$5),0)</f>
        <v>0</v>
      </c>
      <c r="X52" s="18">
        <f>IF(X$6&lt;='8_가정'!$C$32,X10,$K52*IF(X$6-$L52&gt;'8_가정'!$C$32,INDEX($X10:$AU10,X$6-$L52),0))</f>
        <v>2371</v>
      </c>
      <c r="Y52" s="18">
        <f>IF(Y$6&lt;='8_가정'!$C$32,Y10,$K52*IF(Y$6-$L52&gt;'8_가정'!$C$32,INDEX($X10:$AU10,Y$6-$L52),0))</f>
        <v>1579</v>
      </c>
      <c r="Z52" s="18">
        <f>IF(Z$6&lt;='8_가정'!$C$32,Z10,$K52*IF(Z$6-$L52&gt;'8_가정'!$C$32,INDEX($X10:$AU10,Z$6-$L52),0))</f>
        <v>2546</v>
      </c>
      <c r="AA52" s="18">
        <f>IF(AA$6&lt;='8_가정'!$C$32,AA10,$K52*IF(AA$6-$L52&gt;'8_가정'!$C$32,INDEX($X10:$AU10,AA$6-$L52),0))</f>
        <v>3668</v>
      </c>
      <c r="AB52" s="18">
        <f>IF(AB$6&lt;='8_가정'!$C$32,AB10,$K52*IF(AB$6-$L52&gt;'8_가정'!$C$32,INDEX($X10:$AU10,AB$6-$L52),0))</f>
        <v>1798</v>
      </c>
      <c r="AC52" s="18">
        <f>IF(AC$6&lt;='8_가정'!$C$32,AC10,$K52*IF(AC$6-$L52&gt;'8_가정'!$C$32,INDEX($X10:$AU10,AC$6-$L52),0))</f>
        <v>1795</v>
      </c>
      <c r="AD52" s="18">
        <f>IF(AD$6&lt;='8_가정'!$C$32,AD10,$K52*IF(AD$6-$L52&gt;'8_가정'!$C$32,INDEX($X10:$AU10,AD$6-$L52),0))</f>
        <v>2955</v>
      </c>
      <c r="AE52" s="18">
        <f>IF(AE$6&lt;='8_가정'!$C$32,AE10,$K52*IF(AE$6-$L52&gt;'8_가정'!$C$32,INDEX($X10:$AU10,AE$6-$L52),0))</f>
        <v>1587</v>
      </c>
      <c r="AF52" s="18">
        <f>IF(AF$6&lt;='8_가정'!$C$32,AF10,$K52*IF(AF$6-$L52&gt;'8_가정'!$C$32,INDEX($X10:$AU10,AF$6-$L52),0))</f>
        <v>1879</v>
      </c>
      <c r="AG52" s="18">
        <f>IF(AG$6&lt;='8_가정'!$C$32,AG10,$K52*IF(AG$6-$L52&gt;'8_가정'!$C$32,INDEX($X10:$AU10,AG$6-$L52),0))</f>
        <v>0</v>
      </c>
      <c r="AH52" s="18">
        <f>IF(AH$6&lt;='8_가정'!$C$32,AH10,$K52*IF(AH$6-$L52&gt;'8_가정'!$C$32,INDEX($X10:$AU10,AH$6-$L52),0))</f>
        <v>0</v>
      </c>
      <c r="AI52" s="18">
        <f>IF(AI$6&lt;='8_가정'!$C$32,AI10,$K52*IF(AI$6-$L52&gt;'8_가정'!$C$32,INDEX($X10:$AU10,AI$6-$L52),0))</f>
        <v>0</v>
      </c>
      <c r="AJ52" s="18">
        <f>IF(AJ$6&lt;='8_가정'!$C$32,AJ10,$K52*IF(AJ$6-$L52&gt;'8_가정'!$C$32,INDEX($X10:$AU10,AJ$6-$L52),0))</f>
        <v>20000</v>
      </c>
      <c r="AK52" s="18">
        <f>IF(AK$6&lt;='8_가정'!$C$32,AK10,$K52*IF(AK$6-$L52&gt;'8_가정'!$C$32,INDEX($X10:$AU10,AK$6-$L52),0))</f>
        <v>20000</v>
      </c>
      <c r="AL52" s="18">
        <f>IF(AL$6&lt;='8_가정'!$C$32,AL10,$K52*IF(AL$6-$L52&gt;'8_가정'!$C$32,INDEX($X10:$AU10,AL$6-$L52),0))</f>
        <v>20000</v>
      </c>
      <c r="AM52" s="18">
        <f>IF(AM$6&lt;='8_가정'!$C$32,AM10,$K52*IF(AM$6-$L52&gt;'8_가정'!$C$32,INDEX($X10:$AU10,AM$6-$L52),0))</f>
        <v>20000</v>
      </c>
      <c r="AN52" s="18">
        <f>IF(AN$6&lt;='8_가정'!$C$32,AN10,$K52*IF(AN$6-$L52&gt;'8_가정'!$C$32,INDEX($X10:$AU10,AN$6-$L52),0))</f>
        <v>20000</v>
      </c>
      <c r="AO52" s="18">
        <f>IF(AO$6&lt;='8_가정'!$C$32,AO10,$K52*IF(AO$6-$L52&gt;'8_가정'!$C$32,INDEX($X10:$AU10,AO$6-$L52),0))</f>
        <v>20000</v>
      </c>
      <c r="AP52" s="18">
        <f>IF(AP$6&lt;='8_가정'!$C$32,AP10,$K52*IF(AP$6-$L52&gt;'8_가정'!$C$32,INDEX($X10:$AU10,AP$6-$L52),0))</f>
        <v>20000</v>
      </c>
      <c r="AQ52" s="18">
        <f>IF(AQ$6&lt;='8_가정'!$C$32,AQ10,$K52*IF(AQ$6-$L52&gt;'8_가정'!$C$32,INDEX($X10:$AU10,AQ$6-$L52),0))</f>
        <v>20000</v>
      </c>
      <c r="AR52" s="18">
        <f>IF(AR$6&lt;='8_가정'!$C$32,AR10,$K52*IF(AR$6-$L52&gt;'8_가정'!$C$32,INDEX($X10:$AU10,AR$6-$L52),0))</f>
        <v>20000</v>
      </c>
      <c r="AS52" s="18">
        <f>IF(AS$6&lt;='8_가정'!$C$32,AS10,$K52*IF(AS$6-$L52&gt;'8_가정'!$C$32,INDEX($X10:$AU10,AS$6-$L52),0))</f>
        <v>20000</v>
      </c>
      <c r="AT52" s="18">
        <f>IF(AT$6&lt;='8_가정'!$C$32,AT10,$K52*IF(AT$6-$L52&gt;'8_가정'!$C$32,INDEX($X10:$AU10,AT$6-$L52),0))</f>
        <v>20000</v>
      </c>
      <c r="AU52" s="18">
        <f>IF(AU$6&lt;='8_가정'!$C$32,AU10,$K52*IF(AU$6-$L52&gt;'8_가정'!$C$32,INDEX($X10:$AU10,AU$6-$L52),0))</f>
        <v>20000</v>
      </c>
      <c r="AV52" s="23">
        <f>SUM(X52:AI52)</f>
        <v>20178</v>
      </c>
      <c r="AW52" s="23">
        <f>SUM(AJ52:AU52)</f>
        <v>240000</v>
      </c>
      <c r="AX52" s="24">
        <f>$K52*$O10*(1+IF($P10&gt;0,$P10*'8_가정'!$G$27,$P10))</f>
        <v>336000</v>
      </c>
      <c r="AY52" s="24">
        <f>$K52*$O10*(1+IF($P10&gt;0,$P10*'8_가정'!$G$27,$P10))*(1+IF($Q10&gt;0,$Q10*'8_가정'!$G$27,$Q10))</f>
        <v>403200</v>
      </c>
      <c r="AZ52" s="24">
        <f>$K52*$O10*(1+IF($P10&gt;0,$P10*'8_가정'!$G$27,$P10))*(1+IF($Q10&gt;0,$Q10*'8_가정'!$G$27,$Q10))*(1+IF($R10&gt;0,$R10*'8_가정'!$G$27,$R10))</f>
        <v>451584</v>
      </c>
      <c r="BA52" s="25">
        <f>SUM(AV52:AZ52)</f>
        <v>1450962</v>
      </c>
    </row>
    <row r="53">
      <c r="A53" s="7">
        <f>A11</f>
        <v>2</v>
      </c>
      <c r="B53" s="15" t="str">
        <f>B11</f>
        <v>한국</v>
      </c>
      <c r="C53" s="15" t="str">
        <f>C11</f>
        <v>한국</v>
      </c>
      <c r="D53" s="15" t="str">
        <f>D11</f>
        <v>네이버(위탁상품) — 베이비</v>
      </c>
      <c r="E53" s="15" t="str">
        <f>E11</f>
        <v>온라인·B2C</v>
      </c>
      <c r="F53" s="15" t="str">
        <f>F11</f>
        <v>-</v>
      </c>
      <c r="G53" s="15" t="str">
        <f>G11</f>
        <v>기존</v>
      </c>
      <c r="H53" s="15" t="str">
        <f>H11</f>
        <v>A 계약·기존 거래</v>
      </c>
      <c r="I53" s="15" t="str">
        <f>I11</f>
        <v>BABY</v>
      </c>
      <c r="J53" s="15" t="str">
        <f>J11</f>
        <v>M</v>
      </c>
      <c r="K53" s="65">
        <f>INDEX('8_가정'!$C$17:$E$24,MATCH($G11,'8_가정'!$A$17:$A$24,0),'1_요약'!$C$5)</f>
        <v>1</v>
      </c>
      <c r="L53" s="69">
        <f>IF($T11="Y",INDEX('8_가정'!$F$17:$H$24,MATCH($G11,'8_가정'!$A$17:$A$24,0),'1_요약'!$C$5),0)</f>
        <v>0</v>
      </c>
      <c r="X53" s="18">
        <f>IF(X$6&lt;='8_가정'!$C$32,X11,$K53*IF(X$6-$L53&gt;'8_가정'!$C$32,INDEX($X11:$AU11,X$6-$L53),0))</f>
        <v>437</v>
      </c>
      <c r="Y53" s="18">
        <f>IF(Y$6&lt;='8_가정'!$C$32,Y11,$K53*IF(Y$6-$L53&gt;'8_가정'!$C$32,INDEX($X11:$AU11,Y$6-$L53),0))</f>
        <v>655</v>
      </c>
      <c r="Z53" s="18">
        <f>IF(Z$6&lt;='8_가정'!$C$32,Z11,$K53*IF(Z$6-$L53&gt;'8_가정'!$C$32,INDEX($X11:$AU11,Z$6-$L53),0))</f>
        <v>1002</v>
      </c>
      <c r="AA53" s="18">
        <f>IF(AA$6&lt;='8_가정'!$C$32,AA11,$K53*IF(AA$6-$L53&gt;'8_가정'!$C$32,INDEX($X11:$AU11,AA$6-$L53),0))</f>
        <v>735</v>
      </c>
      <c r="AB53" s="18">
        <f>IF(AB$6&lt;='8_가정'!$C$32,AB11,$K53*IF(AB$6-$L53&gt;'8_가정'!$C$32,INDEX($X11:$AU11,AB$6-$L53),0))</f>
        <v>721</v>
      </c>
      <c r="AC53" s="18">
        <f>IF(AC$6&lt;='8_가정'!$C$32,AC11,$K53*IF(AC$6-$L53&gt;'8_가정'!$C$32,INDEX($X11:$AU11,AC$6-$L53),0))</f>
        <v>498</v>
      </c>
      <c r="AD53" s="18">
        <f>IF(AD$6&lt;='8_가정'!$C$32,AD11,$K53*IF(AD$6-$L53&gt;'8_가정'!$C$32,INDEX($X11:$AU11,AD$6-$L53),0))</f>
        <v>835</v>
      </c>
      <c r="AE53" s="18">
        <f>IF(AE$6&lt;='8_가정'!$C$32,AE11,$K53*IF(AE$6-$L53&gt;'8_가정'!$C$32,INDEX($X11:$AU11,AE$6-$L53),0))</f>
        <v>473</v>
      </c>
      <c r="AF53" s="18">
        <f>IF(AF$6&lt;='8_가정'!$C$32,AF11,$K53*IF(AF$6-$L53&gt;'8_가정'!$C$32,INDEX($X11:$AU11,AF$6-$L53),0))</f>
        <v>1046</v>
      </c>
      <c r="AG53" s="18">
        <f>IF(AG$6&lt;='8_가정'!$C$32,AG11,$K53*IF(AG$6-$L53&gt;'8_가정'!$C$32,INDEX($X11:$AU11,AG$6-$L53),0))</f>
        <v>0</v>
      </c>
      <c r="AH53" s="18">
        <f>IF(AH$6&lt;='8_가정'!$C$32,AH11,$K53*IF(AH$6-$L53&gt;'8_가정'!$C$32,INDEX($X11:$AU11,AH$6-$L53),0))</f>
        <v>0</v>
      </c>
      <c r="AI53" s="18">
        <f>IF(AI$6&lt;='8_가정'!$C$32,AI11,$K53*IF(AI$6-$L53&gt;'8_가정'!$C$32,INDEX($X11:$AU11,AI$6-$L53),0))</f>
        <v>0</v>
      </c>
      <c r="AJ53" s="18">
        <f>IF(AJ$6&lt;='8_가정'!$C$32,AJ11,$K53*IF(AJ$6-$L53&gt;'8_가정'!$C$32,INDEX($X11:$AU11,AJ$6-$L53),0))</f>
        <v>10000</v>
      </c>
      <c r="AK53" s="18">
        <f>IF(AK$6&lt;='8_가정'!$C$32,AK11,$K53*IF(AK$6-$L53&gt;'8_가정'!$C$32,INDEX($X11:$AU11,AK$6-$L53),0))</f>
        <v>10000</v>
      </c>
      <c r="AL53" s="18">
        <f>IF(AL$6&lt;='8_가정'!$C$32,AL11,$K53*IF(AL$6-$L53&gt;'8_가정'!$C$32,INDEX($X11:$AU11,AL$6-$L53),0))</f>
        <v>10000</v>
      </c>
      <c r="AM53" s="18">
        <f>IF(AM$6&lt;='8_가정'!$C$32,AM11,$K53*IF(AM$6-$L53&gt;'8_가정'!$C$32,INDEX($X11:$AU11,AM$6-$L53),0))</f>
        <v>10000</v>
      </c>
      <c r="AN53" s="18">
        <f>IF(AN$6&lt;='8_가정'!$C$32,AN11,$K53*IF(AN$6-$L53&gt;'8_가정'!$C$32,INDEX($X11:$AU11,AN$6-$L53),0))</f>
        <v>10000</v>
      </c>
      <c r="AO53" s="18">
        <f>IF(AO$6&lt;='8_가정'!$C$32,AO11,$K53*IF(AO$6-$L53&gt;'8_가정'!$C$32,INDEX($X11:$AU11,AO$6-$L53),0))</f>
        <v>10000</v>
      </c>
      <c r="AP53" s="18">
        <f>IF(AP$6&lt;='8_가정'!$C$32,AP11,$K53*IF(AP$6-$L53&gt;'8_가정'!$C$32,INDEX($X11:$AU11,AP$6-$L53),0))</f>
        <v>10000</v>
      </c>
      <c r="AQ53" s="18">
        <f>IF(AQ$6&lt;='8_가정'!$C$32,AQ11,$K53*IF(AQ$6-$L53&gt;'8_가정'!$C$32,INDEX($X11:$AU11,AQ$6-$L53),0))</f>
        <v>10000</v>
      </c>
      <c r="AR53" s="18">
        <f>IF(AR$6&lt;='8_가정'!$C$32,AR11,$K53*IF(AR$6-$L53&gt;'8_가정'!$C$32,INDEX($X11:$AU11,AR$6-$L53),0))</f>
        <v>10000</v>
      </c>
      <c r="AS53" s="18">
        <f>IF(AS$6&lt;='8_가정'!$C$32,AS11,$K53*IF(AS$6-$L53&gt;'8_가정'!$C$32,INDEX($X11:$AU11,AS$6-$L53),0))</f>
        <v>10000</v>
      </c>
      <c r="AT53" s="18">
        <f>IF(AT$6&lt;='8_가정'!$C$32,AT11,$K53*IF(AT$6-$L53&gt;'8_가정'!$C$32,INDEX($X11:$AU11,AT$6-$L53),0))</f>
        <v>10000</v>
      </c>
      <c r="AU53" s="18">
        <f>IF(AU$6&lt;='8_가정'!$C$32,AU11,$K53*IF(AU$6-$L53&gt;'8_가정'!$C$32,INDEX($X11:$AU11,AU$6-$L53),0))</f>
        <v>10000</v>
      </c>
      <c r="AV53" s="23">
        <f>SUM(X53:AI53)</f>
        <v>6402</v>
      </c>
      <c r="AW53" s="23">
        <f>SUM(AJ53:AU53)</f>
        <v>120000</v>
      </c>
      <c r="AX53" s="24">
        <f>$K53*$O11*(1+IF($P11&gt;0,$P11*'8_가정'!$G$27,$P11))</f>
        <v>168000</v>
      </c>
      <c r="AY53" s="24">
        <f>$K53*$O11*(1+IF($P11&gt;0,$P11*'8_가정'!$G$27,$P11))*(1+IF($Q11&gt;0,$Q11*'8_가정'!$G$27,$Q11))</f>
        <v>201600</v>
      </c>
      <c r="AZ53" s="24">
        <f>$K53*$O11*(1+IF($P11&gt;0,$P11*'8_가정'!$G$27,$P11))*(1+IF($Q11&gt;0,$Q11*'8_가정'!$G$27,$Q11))*(1+IF($R11&gt;0,$R11*'8_가정'!$G$27,$R11))</f>
        <v>225792</v>
      </c>
      <c r="BA53" s="25">
        <f>SUM(AV53:AZ53)</f>
        <v>721794</v>
      </c>
    </row>
    <row r="54">
      <c r="A54" s="7">
        <f>A12</f>
        <v>3</v>
      </c>
      <c r="B54" s="15" t="str">
        <f>B12</f>
        <v>한국</v>
      </c>
      <c r="C54" s="15" t="str">
        <f>C12</f>
        <v>한국</v>
      </c>
      <c r="D54" s="15" t="str">
        <f>D12</f>
        <v>쿠팡 — 베이비</v>
      </c>
      <c r="E54" s="15" t="str">
        <f>E12</f>
        <v>온라인·B2C</v>
      </c>
      <c r="F54" s="15" t="str">
        <f>F12</f>
        <v>-</v>
      </c>
      <c r="G54" s="15" t="str">
        <f>G12</f>
        <v>기존</v>
      </c>
      <c r="H54" s="15" t="str">
        <f>H12</f>
        <v>A 계약·기존 거래</v>
      </c>
      <c r="I54" s="15" t="str">
        <f>I12</f>
        <v>BABY</v>
      </c>
      <c r="J54" s="15" t="str">
        <f>J12</f>
        <v>M</v>
      </c>
      <c r="K54" s="65">
        <f>INDEX('8_가정'!$C$17:$E$24,MATCH($G12,'8_가정'!$A$17:$A$24,0),'1_요약'!$C$5)</f>
        <v>1</v>
      </c>
      <c r="L54" s="69">
        <f>IF($T12="Y",INDEX('8_가정'!$F$17:$H$24,MATCH($G12,'8_가정'!$A$17:$A$24,0),'1_요약'!$C$5),0)</f>
        <v>0</v>
      </c>
      <c r="X54" s="18">
        <f>IF(X$6&lt;='8_가정'!$C$32,X12,$K54*IF(X$6-$L54&gt;'8_가정'!$C$32,INDEX($X12:$AU12,X$6-$L54),0))</f>
        <v>2678</v>
      </c>
      <c r="Y54" s="18">
        <f>IF(Y$6&lt;='8_가정'!$C$32,Y12,$K54*IF(Y$6-$L54&gt;'8_가정'!$C$32,INDEX($X12:$AU12,Y$6-$L54),0))</f>
        <v>3941</v>
      </c>
      <c r="Z54" s="18">
        <f>IF(Z$6&lt;='8_가정'!$C$32,Z12,$K54*IF(Z$6-$L54&gt;'8_가정'!$C$32,INDEX($X12:$AU12,Z$6-$L54),0))</f>
        <v>4603</v>
      </c>
      <c r="AA54" s="18">
        <f>IF(AA$6&lt;='8_가정'!$C$32,AA12,$K54*IF(AA$6-$L54&gt;'8_가정'!$C$32,INDEX($X12:$AU12,AA$6-$L54),0))</f>
        <v>3442</v>
      </c>
      <c r="AB54" s="18">
        <f>IF(AB$6&lt;='8_가정'!$C$32,AB12,$K54*IF(AB$6-$L54&gt;'8_가정'!$C$32,INDEX($X12:$AU12,AB$6-$L54),0))</f>
        <v>1575</v>
      </c>
      <c r="AC54" s="18">
        <f>IF(AC$6&lt;='8_가정'!$C$32,AC12,$K54*IF(AC$6-$L54&gt;'8_가정'!$C$32,INDEX($X12:$AU12,AC$6-$L54),0))</f>
        <v>7345</v>
      </c>
      <c r="AD54" s="18">
        <f>IF(AD$6&lt;='8_가정'!$C$32,AD12,$K54*IF(AD$6-$L54&gt;'8_가정'!$C$32,INDEX($X12:$AU12,AD$6-$L54),0))</f>
        <v>3789</v>
      </c>
      <c r="AE54" s="18">
        <f>IF(AE$6&lt;='8_가정'!$C$32,AE12,$K54*IF(AE$6-$L54&gt;'8_가정'!$C$32,INDEX($X12:$AU12,AE$6-$L54),0))</f>
        <v>3603</v>
      </c>
      <c r="AF54" s="18">
        <f>IF(AF$6&lt;='8_가정'!$C$32,AF12,$K54*IF(AF$6-$L54&gt;'8_가정'!$C$32,INDEX($X12:$AU12,AF$6-$L54),0))</f>
        <v>2983</v>
      </c>
      <c r="AG54" s="18">
        <f>IF(AG$6&lt;='8_가정'!$C$32,AG12,$K54*IF(AG$6-$L54&gt;'8_가정'!$C$32,INDEX($X12:$AU12,AG$6-$L54),0))</f>
        <v>0</v>
      </c>
      <c r="AH54" s="18">
        <f>IF(AH$6&lt;='8_가정'!$C$32,AH12,$K54*IF(AH$6-$L54&gt;'8_가정'!$C$32,INDEX($X12:$AU12,AH$6-$L54),0))</f>
        <v>0</v>
      </c>
      <c r="AI54" s="18">
        <f>IF(AI$6&lt;='8_가정'!$C$32,AI12,$K54*IF(AI$6-$L54&gt;'8_가정'!$C$32,INDEX($X12:$AU12,AI$6-$L54),0))</f>
        <v>0</v>
      </c>
      <c r="AJ54" s="18">
        <f>IF(AJ$6&lt;='8_가정'!$C$32,AJ12,$K54*IF(AJ$6-$L54&gt;'8_가정'!$C$32,INDEX($X12:$AU12,AJ$6-$L54),0))</f>
        <v>20000</v>
      </c>
      <c r="AK54" s="18">
        <f>IF(AK$6&lt;='8_가정'!$C$32,AK12,$K54*IF(AK$6-$L54&gt;'8_가정'!$C$32,INDEX($X12:$AU12,AK$6-$L54),0))</f>
        <v>20000</v>
      </c>
      <c r="AL54" s="18">
        <f>IF(AL$6&lt;='8_가정'!$C$32,AL12,$K54*IF(AL$6-$L54&gt;'8_가정'!$C$32,INDEX($X12:$AU12,AL$6-$L54),0))</f>
        <v>20000</v>
      </c>
      <c r="AM54" s="18">
        <f>IF(AM$6&lt;='8_가정'!$C$32,AM12,$K54*IF(AM$6-$L54&gt;'8_가정'!$C$32,INDEX($X12:$AU12,AM$6-$L54),0))</f>
        <v>20000</v>
      </c>
      <c r="AN54" s="18">
        <f>IF(AN$6&lt;='8_가정'!$C$32,AN12,$K54*IF(AN$6-$L54&gt;'8_가정'!$C$32,INDEX($X12:$AU12,AN$6-$L54),0))</f>
        <v>20000</v>
      </c>
      <c r="AO54" s="18">
        <f>IF(AO$6&lt;='8_가정'!$C$32,AO12,$K54*IF(AO$6-$L54&gt;'8_가정'!$C$32,INDEX($X12:$AU12,AO$6-$L54),0))</f>
        <v>20000</v>
      </c>
      <c r="AP54" s="18">
        <f>IF(AP$6&lt;='8_가정'!$C$32,AP12,$K54*IF(AP$6-$L54&gt;'8_가정'!$C$32,INDEX($X12:$AU12,AP$6-$L54),0))</f>
        <v>20000</v>
      </c>
      <c r="AQ54" s="18">
        <f>IF(AQ$6&lt;='8_가정'!$C$32,AQ12,$K54*IF(AQ$6-$L54&gt;'8_가정'!$C$32,INDEX($X12:$AU12,AQ$6-$L54),0))</f>
        <v>20000</v>
      </c>
      <c r="AR54" s="18">
        <f>IF(AR$6&lt;='8_가정'!$C$32,AR12,$K54*IF(AR$6-$L54&gt;'8_가정'!$C$32,INDEX($X12:$AU12,AR$6-$L54),0))</f>
        <v>20000</v>
      </c>
      <c r="AS54" s="18">
        <f>IF(AS$6&lt;='8_가정'!$C$32,AS12,$K54*IF(AS$6-$L54&gt;'8_가정'!$C$32,INDEX($X12:$AU12,AS$6-$L54),0))</f>
        <v>20000</v>
      </c>
      <c r="AT54" s="18">
        <f>IF(AT$6&lt;='8_가정'!$C$32,AT12,$K54*IF(AT$6-$L54&gt;'8_가정'!$C$32,INDEX($X12:$AU12,AT$6-$L54),0))</f>
        <v>20000</v>
      </c>
      <c r="AU54" s="18">
        <f>IF(AU$6&lt;='8_가정'!$C$32,AU12,$K54*IF(AU$6-$L54&gt;'8_가정'!$C$32,INDEX($X12:$AU12,AU$6-$L54),0))</f>
        <v>20000</v>
      </c>
      <c r="AV54" s="23">
        <f>SUM(X54:AI54)</f>
        <v>33959</v>
      </c>
      <c r="AW54" s="23">
        <f>SUM(AJ54:AU54)</f>
        <v>240000</v>
      </c>
      <c r="AX54" s="24">
        <f>$K54*$O12*(1+IF($P12&gt;0,$P12*'8_가정'!$G$27,$P12))</f>
        <v>336000</v>
      </c>
      <c r="AY54" s="24">
        <f>$K54*$O12*(1+IF($P12&gt;0,$P12*'8_가정'!$G$27,$P12))*(1+IF($Q12&gt;0,$Q12*'8_가정'!$G$27,$Q12))</f>
        <v>403200</v>
      </c>
      <c r="AZ54" s="24">
        <f>$K54*$O12*(1+IF($P12&gt;0,$P12*'8_가정'!$G$27,$P12))*(1+IF($Q12&gt;0,$Q12*'8_가정'!$G$27,$Q12))*(1+IF($R12&gt;0,$R12*'8_가정'!$G$27,$R12))</f>
        <v>451584</v>
      </c>
      <c r="BA54" s="25">
        <f>SUM(AV54:AZ54)</f>
        <v>1464743</v>
      </c>
    </row>
    <row r="55">
      <c r="A55" s="7">
        <f>A13</f>
        <v>4</v>
      </c>
      <c r="B55" s="15" t="str">
        <f>B13</f>
        <v>한국</v>
      </c>
      <c r="C55" s="15" t="str">
        <f>C13</f>
        <v>한국</v>
      </c>
      <c r="D55" s="15" t="str">
        <f>D13</f>
        <v>기타 B2C — 베이비</v>
      </c>
      <c r="E55" s="15" t="str">
        <f>E13</f>
        <v>온라인·B2C</v>
      </c>
      <c r="F55" s="15" t="str">
        <f>F13</f>
        <v>-</v>
      </c>
      <c r="G55" s="15" t="str">
        <f>G13</f>
        <v>기존</v>
      </c>
      <c r="H55" s="15" t="str">
        <f>H13</f>
        <v>A 계약·기존 거래</v>
      </c>
      <c r="I55" s="15" t="str">
        <f>I13</f>
        <v>BABY</v>
      </c>
      <c r="J55" s="15" t="str">
        <f>J13</f>
        <v>M</v>
      </c>
      <c r="K55" s="65">
        <f>INDEX('8_가정'!$C$17:$E$24,MATCH($G13,'8_가정'!$A$17:$A$24,0),'1_요약'!$C$5)</f>
        <v>1</v>
      </c>
      <c r="L55" s="69">
        <f>IF($T13="Y",INDEX('8_가정'!$F$17:$H$24,MATCH($G13,'8_가정'!$A$17:$A$24,0),'1_요약'!$C$5),0)</f>
        <v>0</v>
      </c>
      <c r="X55" s="18">
        <f>IF(X$6&lt;='8_가정'!$C$32,X13,$K55*IF(X$6-$L55&gt;'8_가정'!$C$32,INDEX($X13:$AU13,X$6-$L55),0))</f>
        <v>2252</v>
      </c>
      <c r="Y55" s="18">
        <f>IF(Y$6&lt;='8_가정'!$C$32,Y13,$K55*IF(Y$6-$L55&gt;'8_가정'!$C$32,INDEX($X13:$AU13,Y$6-$L55),0))</f>
        <v>3394</v>
      </c>
      <c r="Z55" s="18">
        <f>IF(Z$6&lt;='8_가정'!$C$32,Z13,$K55*IF(Z$6-$L55&gt;'8_가정'!$C$32,INDEX($X13:$AU13,Z$6-$L55),0))</f>
        <v>2263</v>
      </c>
      <c r="AA55" s="18">
        <f>IF(AA$6&lt;='8_가정'!$C$32,AA13,$K55*IF(AA$6-$L55&gt;'8_가정'!$C$32,INDEX($X13:$AU13,AA$6-$L55),0))</f>
        <v>2605</v>
      </c>
      <c r="AB55" s="18">
        <f>IF(AB$6&lt;='8_가정'!$C$32,AB13,$K55*IF(AB$6-$L55&gt;'8_가정'!$C$32,INDEX($X13:$AU13,AB$6-$L55),0))</f>
        <v>2220</v>
      </c>
      <c r="AC55" s="18">
        <f>IF(AC$6&lt;='8_가정'!$C$32,AC13,$K55*IF(AC$6-$L55&gt;'8_가정'!$C$32,INDEX($X13:$AU13,AC$6-$L55),0))</f>
        <v>1490</v>
      </c>
      <c r="AD55" s="18">
        <f>IF(AD$6&lt;='8_가정'!$C$32,AD13,$K55*IF(AD$6-$L55&gt;'8_가정'!$C$32,INDEX($X13:$AU13,AD$6-$L55),0))</f>
        <v>4052</v>
      </c>
      <c r="AE55" s="18">
        <f>IF(AE$6&lt;='8_가정'!$C$32,AE13,$K55*IF(AE$6-$L55&gt;'8_가정'!$C$32,INDEX($X13:$AU13,AE$6-$L55),0))</f>
        <v>1576</v>
      </c>
      <c r="AF55" s="18">
        <f>IF(AF$6&lt;='8_가정'!$C$32,AF13,$K55*IF(AF$6-$L55&gt;'8_가정'!$C$32,INDEX($X13:$AU13,AF$6-$L55),0))</f>
        <v>1220</v>
      </c>
      <c r="AG55" s="18">
        <f>IF(AG$6&lt;='8_가정'!$C$32,AG13,$K55*IF(AG$6-$L55&gt;'8_가정'!$C$32,INDEX($X13:$AU13,AG$6-$L55),0))</f>
        <v>0</v>
      </c>
      <c r="AH55" s="18">
        <f>IF(AH$6&lt;='8_가정'!$C$32,AH13,$K55*IF(AH$6-$L55&gt;'8_가정'!$C$32,INDEX($X13:$AU13,AH$6-$L55),0))</f>
        <v>0</v>
      </c>
      <c r="AI55" s="18">
        <f>IF(AI$6&lt;='8_가정'!$C$32,AI13,$K55*IF(AI$6-$L55&gt;'8_가정'!$C$32,INDEX($X13:$AU13,AI$6-$L55),0))</f>
        <v>0</v>
      </c>
      <c r="AJ55" s="18">
        <f>IF(AJ$6&lt;='8_가정'!$C$32,AJ13,$K55*IF(AJ$6-$L55&gt;'8_가정'!$C$32,INDEX($X13:$AU13,AJ$6-$L55),0))</f>
        <v>18000</v>
      </c>
      <c r="AK55" s="18">
        <f>IF(AK$6&lt;='8_가정'!$C$32,AK13,$K55*IF(AK$6-$L55&gt;'8_가정'!$C$32,INDEX($X13:$AU13,AK$6-$L55),0))</f>
        <v>18000</v>
      </c>
      <c r="AL55" s="18">
        <f>IF(AL$6&lt;='8_가정'!$C$32,AL13,$K55*IF(AL$6-$L55&gt;'8_가정'!$C$32,INDEX($X13:$AU13,AL$6-$L55),0))</f>
        <v>18000</v>
      </c>
      <c r="AM55" s="18">
        <f>IF(AM$6&lt;='8_가정'!$C$32,AM13,$K55*IF(AM$6-$L55&gt;'8_가정'!$C$32,INDEX($X13:$AU13,AM$6-$L55),0))</f>
        <v>18000</v>
      </c>
      <c r="AN55" s="18">
        <f>IF(AN$6&lt;='8_가정'!$C$32,AN13,$K55*IF(AN$6-$L55&gt;'8_가정'!$C$32,INDEX($X13:$AU13,AN$6-$L55),0))</f>
        <v>18000</v>
      </c>
      <c r="AO55" s="18">
        <f>IF(AO$6&lt;='8_가정'!$C$32,AO13,$K55*IF(AO$6-$L55&gt;'8_가정'!$C$32,INDEX($X13:$AU13,AO$6-$L55),0))</f>
        <v>18000</v>
      </c>
      <c r="AP55" s="18">
        <f>IF(AP$6&lt;='8_가정'!$C$32,AP13,$K55*IF(AP$6-$L55&gt;'8_가정'!$C$32,INDEX($X13:$AU13,AP$6-$L55),0))</f>
        <v>18000</v>
      </c>
      <c r="AQ55" s="18">
        <f>IF(AQ$6&lt;='8_가정'!$C$32,AQ13,$K55*IF(AQ$6-$L55&gt;'8_가정'!$C$32,INDEX($X13:$AU13,AQ$6-$L55),0))</f>
        <v>18000</v>
      </c>
      <c r="AR55" s="18">
        <f>IF(AR$6&lt;='8_가정'!$C$32,AR13,$K55*IF(AR$6-$L55&gt;'8_가정'!$C$32,INDEX($X13:$AU13,AR$6-$L55),0))</f>
        <v>18000</v>
      </c>
      <c r="AS55" s="18">
        <f>IF(AS$6&lt;='8_가정'!$C$32,AS13,$K55*IF(AS$6-$L55&gt;'8_가정'!$C$32,INDEX($X13:$AU13,AS$6-$L55),0))</f>
        <v>18000</v>
      </c>
      <c r="AT55" s="18">
        <f>IF(AT$6&lt;='8_가정'!$C$32,AT13,$K55*IF(AT$6-$L55&gt;'8_가정'!$C$32,INDEX($X13:$AU13,AT$6-$L55),0))</f>
        <v>18000</v>
      </c>
      <c r="AU55" s="18">
        <f>IF(AU$6&lt;='8_가정'!$C$32,AU13,$K55*IF(AU$6-$L55&gt;'8_가정'!$C$32,INDEX($X13:$AU13,AU$6-$L55),0))</f>
        <v>18000</v>
      </c>
      <c r="AV55" s="23">
        <f>SUM(X55:AI55)</f>
        <v>21072</v>
      </c>
      <c r="AW55" s="23">
        <f>SUM(AJ55:AU55)</f>
        <v>216000</v>
      </c>
      <c r="AX55" s="24">
        <f>$K55*$O13*(1+IF($P13&gt;0,$P13*'8_가정'!$G$27,$P13))</f>
        <v>302400</v>
      </c>
      <c r="AY55" s="24">
        <f>$K55*$O13*(1+IF($P13&gt;0,$P13*'8_가정'!$G$27,$P13))*(1+IF($Q13&gt;0,$Q13*'8_가정'!$G$27,$Q13))</f>
        <v>362880</v>
      </c>
      <c r="AZ55" s="24">
        <f>$K55*$O13*(1+IF($P13&gt;0,$P13*'8_가정'!$G$27,$P13))*(1+IF($Q13&gt;0,$Q13*'8_가정'!$G$27,$Q13))*(1+IF($R13&gt;0,$R13*'8_가정'!$G$27,$R13))</f>
        <v>406425.6</v>
      </c>
      <c r="BA55" s="25">
        <f>SUM(AV55:AZ55)</f>
        <v>1308777.6</v>
      </c>
    </row>
    <row r="56">
      <c r="A56" s="7">
        <f>A14</f>
        <v>5</v>
      </c>
      <c r="B56" s="15" t="str">
        <f>B14</f>
        <v>한국</v>
      </c>
      <c r="C56" s="15" t="str">
        <f>C14</f>
        <v>한국</v>
      </c>
      <c r="D56" s="15" t="str">
        <f>D14</f>
        <v>B2B(국내) — 베이비</v>
      </c>
      <c r="E56" s="15" t="str">
        <f>E14</f>
        <v>국내 B2B</v>
      </c>
      <c r="F56" s="15" t="str">
        <f>F14</f>
        <v>-</v>
      </c>
      <c r="G56" s="15" t="str">
        <f>G14</f>
        <v>기존</v>
      </c>
      <c r="H56" s="15" t="str">
        <f>H14</f>
        <v>A 계약·기존 거래</v>
      </c>
      <c r="I56" s="15" t="str">
        <f>I14</f>
        <v>BABY</v>
      </c>
      <c r="J56" s="15" t="str">
        <f>J14</f>
        <v>M</v>
      </c>
      <c r="K56" s="65">
        <f>INDEX('8_가정'!$C$17:$E$24,MATCH($G14,'8_가정'!$A$17:$A$24,0),'1_요약'!$C$5)</f>
        <v>1</v>
      </c>
      <c r="L56" s="69">
        <f>IF($T14="Y",INDEX('8_가정'!$F$17:$H$24,MATCH($G14,'8_가정'!$A$17:$A$24,0),'1_요약'!$C$5),0)</f>
        <v>0</v>
      </c>
      <c r="X56" s="18">
        <f>IF(X$6&lt;='8_가정'!$C$32,X14,$K56*IF(X$6-$L56&gt;'8_가정'!$C$32,INDEX($X14:$AU14,X$6-$L56),0))</f>
        <v>7230</v>
      </c>
      <c r="Y56" s="18">
        <f>IF(Y$6&lt;='8_가정'!$C$32,Y14,$K56*IF(Y$6-$L56&gt;'8_가정'!$C$32,INDEX($X14:$AU14,Y$6-$L56),0))</f>
        <v>5984</v>
      </c>
      <c r="Z56" s="18">
        <f>IF(Z$6&lt;='8_가정'!$C$32,Z14,$K56*IF(Z$6-$L56&gt;'8_가정'!$C$32,INDEX($X14:$AU14,Z$6-$L56),0))</f>
        <v>10098</v>
      </c>
      <c r="AA56" s="18">
        <f>IF(AA$6&lt;='8_가정'!$C$32,AA14,$K56*IF(AA$6-$L56&gt;'8_가정'!$C$32,INDEX($X14:$AU14,AA$6-$L56),0))</f>
        <v>10034</v>
      </c>
      <c r="AB56" s="18">
        <f>IF(AB$6&lt;='8_가정'!$C$32,AB14,$K56*IF(AB$6-$L56&gt;'8_가정'!$C$32,INDEX($X14:$AU14,AB$6-$L56),0))</f>
        <v>6329</v>
      </c>
      <c r="AC56" s="18">
        <f>IF(AC$6&lt;='8_가정'!$C$32,AC14,$K56*IF(AC$6-$L56&gt;'8_가정'!$C$32,INDEX($X14:$AU14,AC$6-$L56),0))</f>
        <v>8925</v>
      </c>
      <c r="AD56" s="18">
        <f>IF(AD$6&lt;='8_가정'!$C$32,AD14,$K56*IF(AD$6-$L56&gt;'8_가정'!$C$32,INDEX($X14:$AU14,AD$6-$L56),0))</f>
        <v>10423</v>
      </c>
      <c r="AE56" s="18">
        <f>IF(AE$6&lt;='8_가정'!$C$32,AE14,$K56*IF(AE$6-$L56&gt;'8_가정'!$C$32,INDEX($X14:$AU14,AE$6-$L56),0))</f>
        <v>8161</v>
      </c>
      <c r="AF56" s="18">
        <f>IF(AF$6&lt;='8_가정'!$C$32,AF14,$K56*IF(AF$6-$L56&gt;'8_가정'!$C$32,INDEX($X14:$AU14,AF$6-$L56),0))</f>
        <v>5477</v>
      </c>
      <c r="AG56" s="18">
        <f>IF(AG$6&lt;='8_가정'!$C$32,AG14,$K56*IF(AG$6-$L56&gt;'8_가정'!$C$32,INDEX($X14:$AU14,AG$6-$L56),0))</f>
        <v>0</v>
      </c>
      <c r="AH56" s="18">
        <f>IF(AH$6&lt;='8_가정'!$C$32,AH14,$K56*IF(AH$6-$L56&gt;'8_가정'!$C$32,INDEX($X14:$AU14,AH$6-$L56),0))</f>
        <v>0</v>
      </c>
      <c r="AI56" s="18">
        <f>IF(AI$6&lt;='8_가정'!$C$32,AI14,$K56*IF(AI$6-$L56&gt;'8_가정'!$C$32,INDEX($X14:$AU14,AI$6-$L56),0))</f>
        <v>0</v>
      </c>
      <c r="AJ56" s="18">
        <f>IF(AJ$6&lt;='8_가정'!$C$32,AJ14,$K56*IF(AJ$6-$L56&gt;'8_가정'!$C$32,INDEX($X14:$AU14,AJ$6-$L56),0))</f>
        <v>20000</v>
      </c>
      <c r="AK56" s="18">
        <f>IF(AK$6&lt;='8_가정'!$C$32,AK14,$K56*IF(AK$6-$L56&gt;'8_가정'!$C$32,INDEX($X14:$AU14,AK$6-$L56),0))</f>
        <v>20000</v>
      </c>
      <c r="AL56" s="18">
        <f>IF(AL$6&lt;='8_가정'!$C$32,AL14,$K56*IF(AL$6-$L56&gt;'8_가정'!$C$32,INDEX($X14:$AU14,AL$6-$L56),0))</f>
        <v>20000</v>
      </c>
      <c r="AM56" s="18">
        <f>IF(AM$6&lt;='8_가정'!$C$32,AM14,$K56*IF(AM$6-$L56&gt;'8_가정'!$C$32,INDEX($X14:$AU14,AM$6-$L56),0))</f>
        <v>20000</v>
      </c>
      <c r="AN56" s="18">
        <f>IF(AN$6&lt;='8_가정'!$C$32,AN14,$K56*IF(AN$6-$L56&gt;'8_가정'!$C$32,INDEX($X14:$AU14,AN$6-$L56),0))</f>
        <v>20000</v>
      </c>
      <c r="AO56" s="18">
        <f>IF(AO$6&lt;='8_가정'!$C$32,AO14,$K56*IF(AO$6-$L56&gt;'8_가정'!$C$32,INDEX($X14:$AU14,AO$6-$L56),0))</f>
        <v>20000</v>
      </c>
      <c r="AP56" s="18">
        <f>IF(AP$6&lt;='8_가정'!$C$32,AP14,$K56*IF(AP$6-$L56&gt;'8_가정'!$C$32,INDEX($X14:$AU14,AP$6-$L56),0))</f>
        <v>10000</v>
      </c>
      <c r="AQ56" s="18">
        <f>IF(AQ$6&lt;='8_가정'!$C$32,AQ14,$K56*IF(AQ$6-$L56&gt;'8_가정'!$C$32,INDEX($X14:$AU14,AQ$6-$L56),0))</f>
        <v>10000</v>
      </c>
      <c r="AR56" s="18">
        <f>IF(AR$6&lt;='8_가정'!$C$32,AR14,$K56*IF(AR$6-$L56&gt;'8_가정'!$C$32,INDEX($X14:$AU14,AR$6-$L56),0))</f>
        <v>20000</v>
      </c>
      <c r="AS56" s="18">
        <f>IF(AS$6&lt;='8_가정'!$C$32,AS14,$K56*IF(AS$6-$L56&gt;'8_가정'!$C$32,INDEX($X14:$AU14,AS$6-$L56),0))</f>
        <v>20000</v>
      </c>
      <c r="AT56" s="18">
        <f>IF(AT$6&lt;='8_가정'!$C$32,AT14,$K56*IF(AT$6-$L56&gt;'8_가정'!$C$32,INDEX($X14:$AU14,AT$6-$L56),0))</f>
        <v>20000</v>
      </c>
      <c r="AU56" s="18">
        <f>IF(AU$6&lt;='8_가정'!$C$32,AU14,$K56*IF(AU$6-$L56&gt;'8_가정'!$C$32,INDEX($X14:$AU14,AU$6-$L56),0))</f>
        <v>20000</v>
      </c>
      <c r="AV56" s="23">
        <f>SUM(X56:AI56)</f>
        <v>72661</v>
      </c>
      <c r="AW56" s="23">
        <f>SUM(AJ56:AU56)</f>
        <v>220000</v>
      </c>
      <c r="AX56" s="24">
        <f>$K56*$O14*(1+IF($P14&gt;0,$P14*'8_가정'!$G$27,$P14))</f>
        <v>308000</v>
      </c>
      <c r="AY56" s="24">
        <f>$K56*$O14*(1+IF($P14&gt;0,$P14*'8_가정'!$G$27,$P14))*(1+IF($Q14&gt;0,$Q14*'8_가정'!$G$27,$Q14))</f>
        <v>369600</v>
      </c>
      <c r="AZ56" s="24">
        <f>$K56*$O14*(1+IF($P14&gt;0,$P14*'8_가정'!$G$27,$P14))*(1+IF($Q14&gt;0,$Q14*'8_가정'!$G$27,$Q14))*(1+IF($R14&gt;0,$R14*'8_가정'!$G$27,$R14))</f>
        <v>413952</v>
      </c>
      <c r="BA56" s="25">
        <f>SUM(AV56:AZ56)</f>
        <v>1384213</v>
      </c>
    </row>
    <row r="57">
      <c r="A57" s="7">
        <f>A15</f>
        <v>6</v>
      </c>
      <c r="B57" s="15" t="str">
        <f>B15</f>
        <v>한국</v>
      </c>
      <c r="C57" s="15" t="str">
        <f>C15</f>
        <v>한국</v>
      </c>
      <c r="D57" s="15" t="str">
        <f>D15</f>
        <v>APP KOREA — 유아(스마트 베이비 기저귀)</v>
      </c>
      <c r="E57" s="15" t="str">
        <f>E15</f>
        <v>파트너</v>
      </c>
      <c r="F57" s="15" t="str">
        <f>F15</f>
        <v>-</v>
      </c>
      <c r="G57" s="15" t="str">
        <f>G15</f>
        <v>계약</v>
      </c>
      <c r="H57" s="15" t="str">
        <f>H15</f>
        <v>A 계약·기존 거래</v>
      </c>
      <c r="I57" s="15" t="str">
        <f>I15</f>
        <v>BABY</v>
      </c>
      <c r="J57" s="15" t="str">
        <f>J15</f>
        <v>M</v>
      </c>
      <c r="K57" s="65">
        <f>INDEX('8_가정'!$C$17:$E$24,MATCH($G15,'8_가정'!$A$17:$A$24,0),'1_요약'!$C$5)</f>
        <v>1</v>
      </c>
      <c r="L57" s="69">
        <f>IF($T15="Y",INDEX('8_가정'!$F$17:$H$24,MATCH($G15,'8_가정'!$A$17:$A$24,0),'1_요약'!$C$5),0)</f>
        <v>0</v>
      </c>
      <c r="X57" s="18">
        <f>IF(X$6&lt;='8_가정'!$C$32,X15,$K57*IF(X$6-$L57&gt;'8_가정'!$C$32,INDEX($X15:$AU15,X$6-$L57),0))</f>
        <v>0</v>
      </c>
      <c r="Y57" s="18">
        <f>IF(Y$6&lt;='8_가정'!$C$32,Y15,$K57*IF(Y$6-$L57&gt;'8_가정'!$C$32,INDEX($X15:$AU15,Y$6-$L57),0))</f>
        <v>0</v>
      </c>
      <c r="Z57" s="18">
        <f>IF(Z$6&lt;='8_가정'!$C$32,Z15,$K57*IF(Z$6-$L57&gt;'8_가정'!$C$32,INDEX($X15:$AU15,Z$6-$L57),0))</f>
        <v>0</v>
      </c>
      <c r="AA57" s="18">
        <f>IF(AA$6&lt;='8_가정'!$C$32,AA15,$K57*IF(AA$6-$L57&gt;'8_가정'!$C$32,INDEX($X15:$AU15,AA$6-$L57),0))</f>
        <v>0</v>
      </c>
      <c r="AB57" s="18">
        <f>IF(AB$6&lt;='8_가정'!$C$32,AB15,$K57*IF(AB$6-$L57&gt;'8_가정'!$C$32,INDEX($X15:$AU15,AB$6-$L57),0))</f>
        <v>0</v>
      </c>
      <c r="AC57" s="18">
        <f>IF(AC$6&lt;='8_가정'!$C$32,AC15,$K57*IF(AC$6-$L57&gt;'8_가정'!$C$32,INDEX($X15:$AU15,AC$6-$L57),0))</f>
        <v>0</v>
      </c>
      <c r="AD57" s="18">
        <f>IF(AD$6&lt;='8_가정'!$C$32,AD15,$K57*IF(AD$6-$L57&gt;'8_가정'!$C$32,INDEX($X15:$AU15,AD$6-$L57),0))</f>
        <v>0</v>
      </c>
      <c r="AE57" s="18">
        <f>IF(AE$6&lt;='8_가정'!$C$32,AE15,$K57*IF(AE$6-$L57&gt;'8_가정'!$C$32,INDEX($X15:$AU15,AE$6-$L57),0))</f>
        <v>0</v>
      </c>
      <c r="AF57" s="18">
        <f>IF(AF$6&lt;='8_가정'!$C$32,AF15,$K57*IF(AF$6-$L57&gt;'8_가정'!$C$32,INDEX($X15:$AU15,AF$6-$L57),0))</f>
        <v>0</v>
      </c>
      <c r="AG57" s="18">
        <f>IF(AG$6&lt;='8_가정'!$C$32,AG15,$K57*IF(AG$6-$L57&gt;'8_가정'!$C$32,INDEX($X15:$AU15,AG$6-$L57),0))</f>
        <v>0</v>
      </c>
      <c r="AH57" s="18">
        <f>IF(AH$6&lt;='8_가정'!$C$32,AH15,$K57*IF(AH$6-$L57&gt;'8_가정'!$C$32,INDEX($X15:$AU15,AH$6-$L57),0))</f>
        <v>0</v>
      </c>
      <c r="AI57" s="18">
        <f>IF(AI$6&lt;='8_가정'!$C$32,AI15,$K57*IF(AI$6-$L57&gt;'8_가정'!$C$32,INDEX($X15:$AU15,AI$6-$L57),0))</f>
        <v>0</v>
      </c>
      <c r="AJ57" s="18">
        <f>IF(AJ$6&lt;='8_가정'!$C$32,AJ15,$K57*IF(AJ$6-$L57&gt;'8_가정'!$C$32,INDEX($X15:$AU15,AJ$6-$L57),0))</f>
        <v>100000</v>
      </c>
      <c r="AK57" s="18">
        <f>IF(AK$6&lt;='8_가정'!$C$32,AK15,$K57*IF(AK$6-$L57&gt;'8_가정'!$C$32,INDEX($X15:$AU15,AK$6-$L57),0))</f>
        <v>100000</v>
      </c>
      <c r="AL57" s="18">
        <f>IF(AL$6&lt;='8_가정'!$C$32,AL15,$K57*IF(AL$6-$L57&gt;'8_가정'!$C$32,INDEX($X15:$AU15,AL$6-$L57),0))</f>
        <v>100000</v>
      </c>
      <c r="AM57" s="18">
        <f>IF(AM$6&lt;='8_가정'!$C$32,AM15,$K57*IF(AM$6-$L57&gt;'8_가정'!$C$32,INDEX($X15:$AU15,AM$6-$L57),0))</f>
        <v>100000</v>
      </c>
      <c r="AN57" s="18">
        <f>IF(AN$6&lt;='8_가정'!$C$32,AN15,$K57*IF(AN$6-$L57&gt;'8_가정'!$C$32,INDEX($X15:$AU15,AN$6-$L57),0))</f>
        <v>100000</v>
      </c>
      <c r="AO57" s="18">
        <f>IF(AO$6&lt;='8_가정'!$C$32,AO15,$K57*IF(AO$6-$L57&gt;'8_가정'!$C$32,INDEX($X15:$AU15,AO$6-$L57),0))</f>
        <v>100000</v>
      </c>
      <c r="AP57" s="18">
        <f>IF(AP$6&lt;='8_가정'!$C$32,AP15,$K57*IF(AP$6-$L57&gt;'8_가정'!$C$32,INDEX($X15:$AU15,AP$6-$L57),0))</f>
        <v>100000</v>
      </c>
      <c r="AQ57" s="18">
        <f>IF(AQ$6&lt;='8_가정'!$C$32,AQ15,$K57*IF(AQ$6-$L57&gt;'8_가정'!$C$32,INDEX($X15:$AU15,AQ$6-$L57),0))</f>
        <v>100000</v>
      </c>
      <c r="AR57" s="18">
        <f>IF(AR$6&lt;='8_가정'!$C$32,AR15,$K57*IF(AR$6-$L57&gt;'8_가정'!$C$32,INDEX($X15:$AU15,AR$6-$L57),0))</f>
        <v>100000</v>
      </c>
      <c r="AS57" s="18">
        <f>IF(AS$6&lt;='8_가정'!$C$32,AS15,$K57*IF(AS$6-$L57&gt;'8_가정'!$C$32,INDEX($X15:$AU15,AS$6-$L57),0))</f>
        <v>100000</v>
      </c>
      <c r="AT57" s="18">
        <f>IF(AT$6&lt;='8_가정'!$C$32,AT15,$K57*IF(AT$6-$L57&gt;'8_가정'!$C$32,INDEX($X15:$AU15,AT$6-$L57),0))</f>
        <v>100000</v>
      </c>
      <c r="AU57" s="18">
        <f>IF(AU$6&lt;='8_가정'!$C$32,AU15,$K57*IF(AU$6-$L57&gt;'8_가정'!$C$32,INDEX($X15:$AU15,AU$6-$L57),0))</f>
        <v>100000</v>
      </c>
      <c r="AV57" s="23">
        <f>SUM(X57:AI57)</f>
        <v>0</v>
      </c>
      <c r="AW57" s="23">
        <f>SUM(AJ57:AU57)</f>
        <v>1200000</v>
      </c>
      <c r="AX57" s="24">
        <f>$K57*$O15*(1+IF($P15&gt;0,$P15*'8_가정'!$G$27,$P15))</f>
        <v>1968000</v>
      </c>
      <c r="AY57" s="24">
        <f>$K57*$O15*(1+IF($P15&gt;0,$P15*'8_가정'!$G$27,$P15))*(1+IF($Q15&gt;0,$Q15*'8_가정'!$G$27,$Q15))</f>
        <v>2558400</v>
      </c>
      <c r="AZ57" s="24">
        <f>$K57*$O15*(1+IF($P15&gt;0,$P15*'8_가정'!$G$27,$P15))*(1+IF($Q15&gt;0,$Q15*'8_가정'!$G$27,$Q15))*(1+IF($R15&gt;0,$R15*'8_가정'!$G$27,$R15))</f>
        <v>3070080</v>
      </c>
      <c r="BA57" s="25">
        <f>SUM(AV57:AZ57)</f>
        <v>8796480</v>
      </c>
    </row>
    <row r="58">
      <c r="A58" s="7">
        <f>A16</f>
        <v>7</v>
      </c>
      <c r="B58" s="15" t="str">
        <f>B16</f>
        <v>대만</v>
      </c>
      <c r="C58" s="15" t="str">
        <f>C16</f>
        <v>동남아·APAC</v>
      </c>
      <c r="D58" s="15" t="str">
        <f>D16</f>
        <v>Little Loft(대만, 베이비)</v>
      </c>
      <c r="E58" s="15" t="str">
        <f>E16</f>
        <v>총판</v>
      </c>
      <c r="F58" s="15" t="str">
        <f>F16</f>
        <v>-</v>
      </c>
      <c r="G58" s="15" t="str">
        <f>G16</f>
        <v>계약</v>
      </c>
      <c r="H58" s="15" t="str">
        <f>H16</f>
        <v>A 계약·기존 거래</v>
      </c>
      <c r="I58" s="15" t="str">
        <f>I16</f>
        <v>BABY</v>
      </c>
      <c r="J58" s="15" t="str">
        <f>J16</f>
        <v>M</v>
      </c>
      <c r="K58" s="65">
        <f>INDEX('8_가정'!$C$17:$E$24,MATCH($G16,'8_가정'!$A$17:$A$24,0),'1_요약'!$C$5)</f>
        <v>1</v>
      </c>
      <c r="L58" s="69">
        <f>IF($T16="Y",INDEX('8_가정'!$F$17:$H$24,MATCH($G16,'8_가정'!$A$17:$A$24,0),'1_요약'!$C$5),0)</f>
        <v>0</v>
      </c>
      <c r="X58" s="18">
        <f>IF(X$6&lt;='8_가정'!$C$32,X16,$K58*IF(X$6-$L58&gt;'8_가정'!$C$32,INDEX($X16:$AU16,X$6-$L58),0))</f>
        <v>0</v>
      </c>
      <c r="Y58" s="18">
        <f>IF(Y$6&lt;='8_가정'!$C$32,Y16,$K58*IF(Y$6-$L58&gt;'8_가정'!$C$32,INDEX($X16:$AU16,Y$6-$L58),0))</f>
        <v>0</v>
      </c>
      <c r="Z58" s="18">
        <f>IF(Z$6&lt;='8_가정'!$C$32,Z16,$K58*IF(Z$6-$L58&gt;'8_가정'!$C$32,INDEX($X16:$AU16,Z$6-$L58),0))</f>
        <v>0</v>
      </c>
      <c r="AA58" s="18">
        <f>IF(AA$6&lt;='8_가정'!$C$32,AA16,$K58*IF(AA$6-$L58&gt;'8_가정'!$C$32,INDEX($X16:$AU16,AA$6-$L58),0))</f>
        <v>0</v>
      </c>
      <c r="AB58" s="18">
        <f>IF(AB$6&lt;='8_가정'!$C$32,AB16,$K58*IF(AB$6-$L58&gt;'8_가정'!$C$32,INDEX($X16:$AU16,AB$6-$L58),0))</f>
        <v>15004</v>
      </c>
      <c r="AC58" s="18">
        <f>IF(AC$6&lt;='8_가정'!$C$32,AC16,$K58*IF(AC$6-$L58&gt;'8_가정'!$C$32,INDEX($X16:$AU16,AC$6-$L58),0))</f>
        <v>15946</v>
      </c>
      <c r="AD58" s="18">
        <f>IF(AD$6&lt;='8_가정'!$C$32,AD16,$K58*IF(AD$6-$L58&gt;'8_가정'!$C$32,INDEX($X16:$AU16,AD$6-$L58),0))</f>
        <v>0</v>
      </c>
      <c r="AE58" s="18">
        <f>IF(AE$6&lt;='8_가정'!$C$32,AE16,$K58*IF(AE$6-$L58&gt;'8_가정'!$C$32,INDEX($X16:$AU16,AE$6-$L58),0))</f>
        <v>0</v>
      </c>
      <c r="AF58" s="18">
        <f>IF(AF$6&lt;='8_가정'!$C$32,AF16,$K58*IF(AF$6-$L58&gt;'8_가정'!$C$32,INDEX($X16:$AU16,AF$6-$L58),0))</f>
        <v>0</v>
      </c>
      <c r="AG58" s="18">
        <f>IF(AG$6&lt;='8_가정'!$C$32,AG16,$K58*IF(AG$6-$L58&gt;'8_가정'!$C$32,INDEX($X16:$AU16,AG$6-$L58),0))</f>
        <v>0</v>
      </c>
      <c r="AH58" s="18">
        <f>IF(AH$6&lt;='8_가정'!$C$32,AH16,$K58*IF(AH$6-$L58&gt;'8_가정'!$C$32,INDEX($X16:$AU16,AH$6-$L58),0))</f>
        <v>0</v>
      </c>
      <c r="AI58" s="18">
        <f>IF(AI$6&lt;='8_가정'!$C$32,AI16,$K58*IF(AI$6-$L58&gt;'8_가정'!$C$32,INDEX($X16:$AU16,AI$6-$L58),0))</f>
        <v>0</v>
      </c>
      <c r="AJ58" s="18">
        <f>IF(AJ$6&lt;='8_가정'!$C$32,AJ16,$K58*IF(AJ$6-$L58&gt;'8_가정'!$C$32,INDEX($X16:$AU16,AJ$6-$L58),0))</f>
        <v>45000</v>
      </c>
      <c r="AK58" s="18">
        <f>IF(AK$6&lt;='8_가정'!$C$32,AK16,$K58*IF(AK$6-$L58&gt;'8_가정'!$C$32,INDEX($X16:$AU16,AK$6-$L58),0))</f>
        <v>0</v>
      </c>
      <c r="AL58" s="18">
        <f>IF(AL$6&lt;='8_가정'!$C$32,AL16,$K58*IF(AL$6-$L58&gt;'8_가정'!$C$32,INDEX($X16:$AU16,AL$6-$L58),0))</f>
        <v>0</v>
      </c>
      <c r="AM58" s="18">
        <f>IF(AM$6&lt;='8_가정'!$C$32,AM16,$K58*IF(AM$6-$L58&gt;'8_가정'!$C$32,INDEX($X16:$AU16,AM$6-$L58),0))</f>
        <v>0</v>
      </c>
      <c r="AN58" s="18">
        <f>IF(AN$6&lt;='8_가정'!$C$32,AN16,$K58*IF(AN$6-$L58&gt;'8_가정'!$C$32,INDEX($X16:$AU16,AN$6-$L58),0))</f>
        <v>45000</v>
      </c>
      <c r="AO58" s="18">
        <f>IF(AO$6&lt;='8_가정'!$C$32,AO16,$K58*IF(AO$6-$L58&gt;'8_가정'!$C$32,INDEX($X16:$AU16,AO$6-$L58),0))</f>
        <v>0</v>
      </c>
      <c r="AP58" s="18">
        <f>IF(AP$6&lt;='8_가정'!$C$32,AP16,$K58*IF(AP$6-$L58&gt;'8_가정'!$C$32,INDEX($X16:$AU16,AP$6-$L58),0))</f>
        <v>0</v>
      </c>
      <c r="AQ58" s="18">
        <f>IF(AQ$6&lt;='8_가정'!$C$32,AQ16,$K58*IF(AQ$6-$L58&gt;'8_가정'!$C$32,INDEX($X16:$AU16,AQ$6-$L58),0))</f>
        <v>0</v>
      </c>
      <c r="AR58" s="18">
        <f>IF(AR$6&lt;='8_가정'!$C$32,AR16,$K58*IF(AR$6-$L58&gt;'8_가정'!$C$32,INDEX($X16:$AU16,AR$6-$L58),0))</f>
        <v>45000</v>
      </c>
      <c r="AS58" s="18">
        <f>IF(AS$6&lt;='8_가정'!$C$32,AS16,$K58*IF(AS$6-$L58&gt;'8_가정'!$C$32,INDEX($X16:$AU16,AS$6-$L58),0))</f>
        <v>0</v>
      </c>
      <c r="AT58" s="18">
        <f>IF(AT$6&lt;='8_가정'!$C$32,AT16,$K58*IF(AT$6-$L58&gt;'8_가정'!$C$32,INDEX($X16:$AU16,AT$6-$L58),0))</f>
        <v>0</v>
      </c>
      <c r="AU58" s="18">
        <f>IF(AU$6&lt;='8_가정'!$C$32,AU16,$K58*IF(AU$6-$L58&gt;'8_가정'!$C$32,INDEX($X16:$AU16,AU$6-$L58),0))</f>
        <v>0</v>
      </c>
      <c r="AV58" s="23">
        <f>SUM(X58:AI58)</f>
        <v>30950</v>
      </c>
      <c r="AW58" s="23">
        <f>SUM(AJ58:AU58)</f>
        <v>135000</v>
      </c>
      <c r="AX58" s="24">
        <f>$K58*$O16*(1+IF($P16&gt;0,$P16*'8_가정'!$G$27,$P16))</f>
        <v>351000</v>
      </c>
      <c r="AY58" s="24">
        <f>$K58*$O16*(1+IF($P16&gt;0,$P16*'8_가정'!$G$27,$P16))*(1+IF($Q16&gt;0,$Q16*'8_가정'!$G$27,$Q16))</f>
        <v>631800</v>
      </c>
      <c r="AZ58" s="24">
        <f>$K58*$O16*(1+IF($P16&gt;0,$P16*'8_가정'!$G$27,$P16))*(1+IF($Q16&gt;0,$Q16*'8_가정'!$G$27,$Q16))*(1+IF($R16&gt;0,$R16*'8_가정'!$G$27,$R16))</f>
        <v>935064</v>
      </c>
      <c r="BA58" s="25">
        <f>SUM(AV58:AZ58)</f>
        <v>2083814</v>
      </c>
    </row>
    <row r="59">
      <c r="A59" s="7">
        <f>A17</f>
        <v>8</v>
      </c>
      <c r="B59" s="15" t="str">
        <f>B17</f>
        <v>태국</v>
      </c>
      <c r="C59" s="15" t="str">
        <f>C17</f>
        <v>동남아·APAC</v>
      </c>
      <c r="D59" s="15" t="str">
        <f>D17</f>
        <v>Punnita House(태국, 베이비)</v>
      </c>
      <c r="E59" s="15" t="str">
        <f>E17</f>
        <v>총판</v>
      </c>
      <c r="F59" s="15" t="str">
        <f>F17</f>
        <v>-</v>
      </c>
      <c r="G59" s="15" t="str">
        <f>G17</f>
        <v>계약</v>
      </c>
      <c r="H59" s="15" t="str">
        <f>H17</f>
        <v>A 계약·기존 거래</v>
      </c>
      <c r="I59" s="15" t="str">
        <f>I17</f>
        <v>BABY</v>
      </c>
      <c r="J59" s="15" t="str">
        <f>J17</f>
        <v>M</v>
      </c>
      <c r="K59" s="65">
        <f>INDEX('8_가정'!$C$17:$E$24,MATCH($G17,'8_가정'!$A$17:$A$24,0),'1_요약'!$C$5)</f>
        <v>1</v>
      </c>
      <c r="L59" s="69">
        <f>IF($T17="Y",INDEX('8_가정'!$F$17:$H$24,MATCH($G17,'8_가정'!$A$17:$A$24,0),'1_요약'!$C$5),0)</f>
        <v>0</v>
      </c>
      <c r="X59" s="18">
        <f>IF(X$6&lt;='8_가정'!$C$32,X17,$K59*IF(X$6-$L59&gt;'8_가정'!$C$32,INDEX($X17:$AU17,X$6-$L59),0))</f>
        <v>0</v>
      </c>
      <c r="Y59" s="18">
        <f>IF(Y$6&lt;='8_가정'!$C$32,Y17,$K59*IF(Y$6-$L59&gt;'8_가정'!$C$32,INDEX($X17:$AU17,Y$6-$L59),0))</f>
        <v>0</v>
      </c>
      <c r="Z59" s="18">
        <f>IF(Z$6&lt;='8_가정'!$C$32,Z17,$K59*IF(Z$6-$L59&gt;'8_가정'!$C$32,INDEX($X17:$AU17,Z$6-$L59),0))</f>
        <v>22595</v>
      </c>
      <c r="AA59" s="18">
        <f>IF(AA$6&lt;='8_가정'!$C$32,AA17,$K59*IF(AA$6-$L59&gt;'8_가정'!$C$32,INDEX($X17:$AU17,AA$6-$L59),0))</f>
        <v>0</v>
      </c>
      <c r="AB59" s="18">
        <f>IF(AB$6&lt;='8_가정'!$C$32,AB17,$K59*IF(AB$6-$L59&gt;'8_가정'!$C$32,INDEX($X17:$AU17,AB$6-$L59),0))</f>
        <v>0</v>
      </c>
      <c r="AC59" s="18">
        <f>IF(AC$6&lt;='8_가정'!$C$32,AC17,$K59*IF(AC$6-$L59&gt;'8_가정'!$C$32,INDEX($X17:$AU17,AC$6-$L59),0))</f>
        <v>23287</v>
      </c>
      <c r="AD59" s="18">
        <f>IF(AD$6&lt;='8_가정'!$C$32,AD17,$K59*IF(AD$6-$L59&gt;'8_가정'!$C$32,INDEX($X17:$AU17,AD$6-$L59),0))</f>
        <v>0</v>
      </c>
      <c r="AE59" s="18">
        <f>IF(AE$6&lt;='8_가정'!$C$32,AE17,$K59*IF(AE$6-$L59&gt;'8_가정'!$C$32,INDEX($X17:$AU17,AE$6-$L59),0))</f>
        <v>0</v>
      </c>
      <c r="AF59" s="18">
        <f>IF(AF$6&lt;='8_가정'!$C$32,AF17,$K59*IF(AF$6-$L59&gt;'8_가정'!$C$32,INDEX($X17:$AU17,AF$6-$L59),0))</f>
        <v>0</v>
      </c>
      <c r="AG59" s="18">
        <f>IF(AG$6&lt;='8_가정'!$C$32,AG17,$K59*IF(AG$6-$L59&gt;'8_가정'!$C$32,INDEX($X17:$AU17,AG$6-$L59),0))</f>
        <v>0</v>
      </c>
      <c r="AH59" s="18">
        <f>IF(AH$6&lt;='8_가정'!$C$32,AH17,$K59*IF(AH$6-$L59&gt;'8_가정'!$C$32,INDEX($X17:$AU17,AH$6-$L59),0))</f>
        <v>0</v>
      </c>
      <c r="AI59" s="18">
        <f>IF(AI$6&lt;='8_가정'!$C$32,AI17,$K59*IF(AI$6-$L59&gt;'8_가정'!$C$32,INDEX($X17:$AU17,AI$6-$L59),0))</f>
        <v>81000</v>
      </c>
      <c r="AJ59" s="18">
        <f>IF(AJ$6&lt;='8_가정'!$C$32,AJ17,$K59*IF(AJ$6-$L59&gt;'8_가정'!$C$32,INDEX($X17:$AU17,AJ$6-$L59),0))</f>
        <v>0</v>
      </c>
      <c r="AK59" s="18">
        <f>IF(AK$6&lt;='8_가정'!$C$32,AK17,$K59*IF(AK$6-$L59&gt;'8_가정'!$C$32,INDEX($X17:$AU17,AK$6-$L59),0))</f>
        <v>0</v>
      </c>
      <c r="AL59" s="18">
        <f>IF(AL$6&lt;='8_가정'!$C$32,AL17,$K59*IF(AL$6-$L59&gt;'8_가정'!$C$32,INDEX($X17:$AU17,AL$6-$L59),0))</f>
        <v>45000</v>
      </c>
      <c r="AM59" s="18">
        <f>IF(AM$6&lt;='8_가정'!$C$32,AM17,$K59*IF(AM$6-$L59&gt;'8_가정'!$C$32,INDEX($X17:$AU17,AM$6-$L59),0))</f>
        <v>0</v>
      </c>
      <c r="AN59" s="18">
        <f>IF(AN$6&lt;='8_가정'!$C$32,AN17,$K59*IF(AN$6-$L59&gt;'8_가정'!$C$32,INDEX($X17:$AU17,AN$6-$L59),0))</f>
        <v>0</v>
      </c>
      <c r="AO59" s="18">
        <f>IF(AO$6&lt;='8_가정'!$C$32,AO17,$K59*IF(AO$6-$L59&gt;'8_가정'!$C$32,INDEX($X17:$AU17,AO$6-$L59),0))</f>
        <v>0</v>
      </c>
      <c r="AP59" s="18">
        <f>IF(AP$6&lt;='8_가정'!$C$32,AP17,$K59*IF(AP$6-$L59&gt;'8_가정'!$C$32,INDEX($X17:$AU17,AP$6-$L59),0))</f>
        <v>45000</v>
      </c>
      <c r="AQ59" s="18">
        <f>IF(AQ$6&lt;='8_가정'!$C$32,AQ17,$K59*IF(AQ$6-$L59&gt;'8_가정'!$C$32,INDEX($X17:$AU17,AQ$6-$L59),0))</f>
        <v>0</v>
      </c>
      <c r="AR59" s="18">
        <f>IF(AR$6&lt;='8_가정'!$C$32,AR17,$K59*IF(AR$6-$L59&gt;'8_가정'!$C$32,INDEX($X17:$AU17,AR$6-$L59),0))</f>
        <v>0</v>
      </c>
      <c r="AS59" s="18">
        <f>IF(AS$6&lt;='8_가정'!$C$32,AS17,$K59*IF(AS$6-$L59&gt;'8_가정'!$C$32,INDEX($X17:$AU17,AS$6-$L59),0))</f>
        <v>0</v>
      </c>
      <c r="AT59" s="18">
        <f>IF(AT$6&lt;='8_가정'!$C$32,AT17,$K59*IF(AT$6-$L59&gt;'8_가정'!$C$32,INDEX($X17:$AU17,AT$6-$L59),0))</f>
        <v>45000</v>
      </c>
      <c r="AU59" s="18">
        <f>IF(AU$6&lt;='8_가정'!$C$32,AU17,$K59*IF(AU$6-$L59&gt;'8_가정'!$C$32,INDEX($X17:$AU17,AU$6-$L59),0))</f>
        <v>0</v>
      </c>
      <c r="AV59" s="23">
        <f>SUM(X59:AI59)</f>
        <v>126882</v>
      </c>
      <c r="AW59" s="23">
        <f>SUM(AJ59:AU59)</f>
        <v>135000</v>
      </c>
      <c r="AX59" s="24">
        <f>$K59*$O17*(1+IF($P17&gt;0,$P17*'8_가정'!$G$27,$P17))</f>
        <v>351000</v>
      </c>
      <c r="AY59" s="24">
        <f>$K59*$O17*(1+IF($P17&gt;0,$P17*'8_가정'!$G$27,$P17))*(1+IF($Q17&gt;0,$Q17*'8_가정'!$G$27,$Q17))</f>
        <v>631800</v>
      </c>
      <c r="AZ59" s="24">
        <f>$K59*$O17*(1+IF($P17&gt;0,$P17*'8_가정'!$G$27,$P17))*(1+IF($Q17&gt;0,$Q17*'8_가정'!$G$27,$Q17))*(1+IF($R17&gt;0,$R17*'8_가정'!$G$27,$R17))</f>
        <v>935064</v>
      </c>
      <c r="BA59" s="25">
        <f>SUM(AV59:AZ59)</f>
        <v>2179746</v>
      </c>
    </row>
    <row r="60">
      <c r="A60" s="7">
        <f>A18</f>
        <v>9</v>
      </c>
      <c r="B60" s="15" t="str">
        <f>B18</f>
        <v>미정</v>
      </c>
      <c r="C60" s="15" t="str">
        <f>C18</f>
        <v>동남아·APAC</v>
      </c>
      <c r="D60" s="15" t="str">
        <f>D18</f>
        <v>신규 거래선-1 Swara Baby(베이비)</v>
      </c>
      <c r="E60" s="15" t="str">
        <f>E18</f>
        <v>총판</v>
      </c>
      <c r="F60" s="15" t="str">
        <f>F18</f>
        <v>-</v>
      </c>
      <c r="G60" s="15" t="str">
        <f>G18</f>
        <v>진행중</v>
      </c>
      <c r="H60" s="15" t="str">
        <f>H18</f>
        <v>B 등록·입찰·협의 단계</v>
      </c>
      <c r="I60" s="15" t="str">
        <f>I18</f>
        <v>BABY</v>
      </c>
      <c r="J60" s="15" t="str">
        <f>J18</f>
        <v>M</v>
      </c>
      <c r="K60" s="65">
        <f>INDEX('8_가정'!$C$17:$E$24,MATCH($G18,'8_가정'!$A$17:$A$24,0),'1_요약'!$C$5)</f>
        <v>1</v>
      </c>
      <c r="L60" s="69">
        <f>IF($T18="Y",INDEX('8_가정'!$F$17:$H$24,MATCH($G18,'8_가정'!$A$17:$A$24,0),'1_요약'!$C$5),0)</f>
        <v>0</v>
      </c>
      <c r="X60" s="18">
        <f>IF(X$6&lt;='8_가정'!$C$32,X18,$K60*IF(X$6-$L60&gt;'8_가정'!$C$32,INDEX($X18:$AU18,X$6-$L60),0))</f>
        <v>0</v>
      </c>
      <c r="Y60" s="18">
        <f>IF(Y$6&lt;='8_가정'!$C$32,Y18,$K60*IF(Y$6-$L60&gt;'8_가정'!$C$32,INDEX($X18:$AU18,Y$6-$L60),0))</f>
        <v>0</v>
      </c>
      <c r="Z60" s="18">
        <f>IF(Z$6&lt;='8_가정'!$C$32,Z18,$K60*IF(Z$6-$L60&gt;'8_가정'!$C$32,INDEX($X18:$AU18,Z$6-$L60),0))</f>
        <v>0</v>
      </c>
      <c r="AA60" s="18">
        <f>IF(AA$6&lt;='8_가정'!$C$32,AA18,$K60*IF(AA$6-$L60&gt;'8_가정'!$C$32,INDEX($X18:$AU18,AA$6-$L60),0))</f>
        <v>0</v>
      </c>
      <c r="AB60" s="18">
        <f>IF(AB$6&lt;='8_가정'!$C$32,AB18,$K60*IF(AB$6-$L60&gt;'8_가정'!$C$32,INDEX($X18:$AU18,AB$6-$L60),0))</f>
        <v>0</v>
      </c>
      <c r="AC60" s="18">
        <f>IF(AC$6&lt;='8_가정'!$C$32,AC18,$K60*IF(AC$6-$L60&gt;'8_가정'!$C$32,INDEX($X18:$AU18,AC$6-$L60),0))</f>
        <v>0</v>
      </c>
      <c r="AD60" s="18">
        <f>IF(AD$6&lt;='8_가정'!$C$32,AD18,$K60*IF(AD$6-$L60&gt;'8_가정'!$C$32,INDEX($X18:$AU18,AD$6-$L60),0))</f>
        <v>0</v>
      </c>
      <c r="AE60" s="18">
        <f>IF(AE$6&lt;='8_가정'!$C$32,AE18,$K60*IF(AE$6-$L60&gt;'8_가정'!$C$32,INDEX($X18:$AU18,AE$6-$L60),0))</f>
        <v>0</v>
      </c>
      <c r="AF60" s="18">
        <f>IF(AF$6&lt;='8_가정'!$C$32,AF18,$K60*IF(AF$6-$L60&gt;'8_가정'!$C$32,INDEX($X18:$AU18,AF$6-$L60),0))</f>
        <v>0</v>
      </c>
      <c r="AG60" s="18">
        <f>IF(AG$6&lt;='8_가정'!$C$32,AG18,$K60*IF(AG$6-$L60&gt;'8_가정'!$C$32,INDEX($X18:$AU18,AG$6-$L60),0))</f>
        <v>0</v>
      </c>
      <c r="AH60" s="18">
        <f>IF(AH$6&lt;='8_가정'!$C$32,AH18,$K60*IF(AH$6-$L60&gt;'8_가정'!$C$32,INDEX($X18:$AU18,AH$6-$L60),0))</f>
        <v>0</v>
      </c>
      <c r="AI60" s="18">
        <f>IF(AI$6&lt;='8_가정'!$C$32,AI18,$K60*IF(AI$6-$L60&gt;'8_가정'!$C$32,INDEX($X18:$AU18,AI$6-$L60),0))</f>
        <v>0</v>
      </c>
      <c r="AJ60" s="18">
        <f>IF(AJ$6&lt;='8_가정'!$C$32,AJ18,$K60*IF(AJ$6-$L60&gt;'8_가정'!$C$32,INDEX($X18:$AU18,AJ$6-$L60),0))</f>
        <v>0</v>
      </c>
      <c r="AK60" s="18">
        <f>IF(AK$6&lt;='8_가정'!$C$32,AK18,$K60*IF(AK$6-$L60&gt;'8_가정'!$C$32,INDEX($X18:$AU18,AK$6-$L60),0))</f>
        <v>0</v>
      </c>
      <c r="AL60" s="18">
        <f>IF(AL$6&lt;='8_가정'!$C$32,AL18,$K60*IF(AL$6-$L60&gt;'8_가정'!$C$32,INDEX($X18:$AU18,AL$6-$L60),0))</f>
        <v>0</v>
      </c>
      <c r="AM60" s="18">
        <f>IF(AM$6&lt;='8_가정'!$C$32,AM18,$K60*IF(AM$6-$L60&gt;'8_가정'!$C$32,INDEX($X18:$AU18,AM$6-$L60),0))</f>
        <v>45000</v>
      </c>
      <c r="AN60" s="18">
        <f>IF(AN$6&lt;='8_가정'!$C$32,AN18,$K60*IF(AN$6-$L60&gt;'8_가정'!$C$32,INDEX($X18:$AU18,AN$6-$L60),0))</f>
        <v>0</v>
      </c>
      <c r="AO60" s="18">
        <f>IF(AO$6&lt;='8_가정'!$C$32,AO18,$K60*IF(AO$6-$L60&gt;'8_가정'!$C$32,INDEX($X18:$AU18,AO$6-$L60),0))</f>
        <v>0</v>
      </c>
      <c r="AP60" s="18">
        <f>IF(AP$6&lt;='8_가정'!$C$32,AP18,$K60*IF(AP$6-$L60&gt;'8_가정'!$C$32,INDEX($X18:$AU18,AP$6-$L60),0))</f>
        <v>0</v>
      </c>
      <c r="AQ60" s="18">
        <f>IF(AQ$6&lt;='8_가정'!$C$32,AQ18,$K60*IF(AQ$6-$L60&gt;'8_가정'!$C$32,INDEX($X18:$AU18,AQ$6-$L60),0))</f>
        <v>45000</v>
      </c>
      <c r="AR60" s="18">
        <f>IF(AR$6&lt;='8_가정'!$C$32,AR18,$K60*IF(AR$6-$L60&gt;'8_가정'!$C$32,INDEX($X18:$AU18,AR$6-$L60),0))</f>
        <v>0</v>
      </c>
      <c r="AS60" s="18">
        <f>IF(AS$6&lt;='8_가정'!$C$32,AS18,$K60*IF(AS$6-$L60&gt;'8_가정'!$C$32,INDEX($X18:$AU18,AS$6-$L60),0))</f>
        <v>0</v>
      </c>
      <c r="AT60" s="18">
        <f>IF(AT$6&lt;='8_가정'!$C$32,AT18,$K60*IF(AT$6-$L60&gt;'8_가정'!$C$32,INDEX($X18:$AU18,AT$6-$L60),0))</f>
        <v>0</v>
      </c>
      <c r="AU60" s="18">
        <f>IF(AU$6&lt;='8_가정'!$C$32,AU18,$K60*IF(AU$6-$L60&gt;'8_가정'!$C$32,INDEX($X18:$AU18,AU$6-$L60),0))</f>
        <v>45000</v>
      </c>
      <c r="AV60" s="23">
        <f>SUM(X60:AI60)</f>
        <v>0</v>
      </c>
      <c r="AW60" s="23">
        <f>SUM(AJ60:AU60)</f>
        <v>135000</v>
      </c>
      <c r="AX60" s="24">
        <f>$K60*$O18*(1+IF($P18&gt;0,$P18*'8_가정'!$G$27,$P18))</f>
        <v>351000</v>
      </c>
      <c r="AY60" s="24">
        <f>$K60*$O18*(1+IF($P18&gt;0,$P18*'8_가정'!$G$27,$P18))*(1+IF($Q18&gt;0,$Q18*'8_가정'!$G$27,$Q18))</f>
        <v>631800</v>
      </c>
      <c r="AZ60" s="24">
        <f>$K60*$O18*(1+IF($P18&gt;0,$P18*'8_가정'!$G$27,$P18))*(1+IF($Q18&gt;0,$Q18*'8_가정'!$G$27,$Q18))*(1+IF($R18&gt;0,$R18*'8_가정'!$G$27,$R18))</f>
        <v>935064</v>
      </c>
      <c r="BA60" s="25">
        <f>SUM(AV60:AZ60)</f>
        <v>2052864</v>
      </c>
    </row>
    <row r="61">
      <c r="A61" s="7">
        <f>A19</f>
        <v>10</v>
      </c>
      <c r="B61" s="15" t="str">
        <f>B19</f>
        <v>미정</v>
      </c>
      <c r="C61" s="15" t="str">
        <f>C19</f>
        <v>동남아·APAC</v>
      </c>
      <c r="D61" s="15" t="str">
        <f>D19</f>
        <v>신규 거래선-2(베이비)</v>
      </c>
      <c r="E61" s="15" t="str">
        <f>E19</f>
        <v>총판</v>
      </c>
      <c r="F61" s="15" t="str">
        <f>F19</f>
        <v>-</v>
      </c>
      <c r="G61" s="15" t="str">
        <f>G19</f>
        <v>진행중</v>
      </c>
      <c r="H61" s="15" t="str">
        <f>H19</f>
        <v>B 등록·입찰·협의 단계</v>
      </c>
      <c r="I61" s="15" t="str">
        <f>I19</f>
        <v>BABY</v>
      </c>
      <c r="J61" s="15" t="str">
        <f>J19</f>
        <v>M</v>
      </c>
      <c r="K61" s="65">
        <f>INDEX('8_가정'!$C$17:$E$24,MATCH($G19,'8_가정'!$A$17:$A$24,0),'1_요약'!$C$5)</f>
        <v>1</v>
      </c>
      <c r="L61" s="69">
        <f>IF($T19="Y",INDEX('8_가정'!$F$17:$H$24,MATCH($G19,'8_가정'!$A$17:$A$24,0),'1_요약'!$C$5),0)</f>
        <v>0</v>
      </c>
      <c r="X61" s="18">
        <f>IF(X$6&lt;='8_가정'!$C$32,X19,$K61*IF(X$6-$L61&gt;'8_가정'!$C$32,INDEX($X19:$AU19,X$6-$L61),0))</f>
        <v>0</v>
      </c>
      <c r="Y61" s="18">
        <f>IF(Y$6&lt;='8_가정'!$C$32,Y19,$K61*IF(Y$6-$L61&gt;'8_가정'!$C$32,INDEX($X19:$AU19,Y$6-$L61),0))</f>
        <v>0</v>
      </c>
      <c r="Z61" s="18">
        <f>IF(Z$6&lt;='8_가정'!$C$32,Z19,$K61*IF(Z$6-$L61&gt;'8_가정'!$C$32,INDEX($X19:$AU19,Z$6-$L61),0))</f>
        <v>0</v>
      </c>
      <c r="AA61" s="18">
        <f>IF(AA$6&lt;='8_가정'!$C$32,AA19,$K61*IF(AA$6-$L61&gt;'8_가정'!$C$32,INDEX($X19:$AU19,AA$6-$L61),0))</f>
        <v>0</v>
      </c>
      <c r="AB61" s="18">
        <f>IF(AB$6&lt;='8_가정'!$C$32,AB19,$K61*IF(AB$6-$L61&gt;'8_가정'!$C$32,INDEX($X19:$AU19,AB$6-$L61),0))</f>
        <v>0</v>
      </c>
      <c r="AC61" s="18">
        <f>IF(AC$6&lt;='8_가정'!$C$32,AC19,$K61*IF(AC$6-$L61&gt;'8_가정'!$C$32,INDEX($X19:$AU19,AC$6-$L61),0))</f>
        <v>0</v>
      </c>
      <c r="AD61" s="18">
        <f>IF(AD$6&lt;='8_가정'!$C$32,AD19,$K61*IF(AD$6-$L61&gt;'8_가정'!$C$32,INDEX($X19:$AU19,AD$6-$L61),0))</f>
        <v>0</v>
      </c>
      <c r="AE61" s="18">
        <f>IF(AE$6&lt;='8_가정'!$C$32,AE19,$K61*IF(AE$6-$L61&gt;'8_가정'!$C$32,INDEX($X19:$AU19,AE$6-$L61),0))</f>
        <v>0</v>
      </c>
      <c r="AF61" s="18">
        <f>IF(AF$6&lt;='8_가정'!$C$32,AF19,$K61*IF(AF$6-$L61&gt;'8_가정'!$C$32,INDEX($X19:$AU19,AF$6-$L61),0))</f>
        <v>0</v>
      </c>
      <c r="AG61" s="18">
        <f>IF(AG$6&lt;='8_가정'!$C$32,AG19,$K61*IF(AG$6-$L61&gt;'8_가정'!$C$32,INDEX($X19:$AU19,AG$6-$L61),0))</f>
        <v>0</v>
      </c>
      <c r="AH61" s="18">
        <f>IF(AH$6&lt;='8_가정'!$C$32,AH19,$K61*IF(AH$6-$L61&gt;'8_가정'!$C$32,INDEX($X19:$AU19,AH$6-$L61),0))</f>
        <v>0</v>
      </c>
      <c r="AI61" s="18">
        <f>IF(AI$6&lt;='8_가정'!$C$32,AI19,$K61*IF(AI$6-$L61&gt;'8_가정'!$C$32,INDEX($X19:$AU19,AI$6-$L61),0))</f>
        <v>0</v>
      </c>
      <c r="AJ61" s="18">
        <f>IF(AJ$6&lt;='8_가정'!$C$32,AJ19,$K61*IF(AJ$6-$L61&gt;'8_가정'!$C$32,INDEX($X19:$AU19,AJ$6-$L61),0))</f>
        <v>0</v>
      </c>
      <c r="AK61" s="18">
        <f>IF(AK$6&lt;='8_가정'!$C$32,AK19,$K61*IF(AK$6-$L61&gt;'8_가정'!$C$32,INDEX($X19:$AU19,AK$6-$L61),0))</f>
        <v>45000</v>
      </c>
      <c r="AL61" s="18">
        <f>IF(AL$6&lt;='8_가정'!$C$32,AL19,$K61*IF(AL$6-$L61&gt;'8_가정'!$C$32,INDEX($X19:$AU19,AL$6-$L61),0))</f>
        <v>0</v>
      </c>
      <c r="AM61" s="18">
        <f>IF(AM$6&lt;='8_가정'!$C$32,AM19,$K61*IF(AM$6-$L61&gt;'8_가정'!$C$32,INDEX($X19:$AU19,AM$6-$L61),0))</f>
        <v>0</v>
      </c>
      <c r="AN61" s="18">
        <f>IF(AN$6&lt;='8_가정'!$C$32,AN19,$K61*IF(AN$6-$L61&gt;'8_가정'!$C$32,INDEX($X19:$AU19,AN$6-$L61),0))</f>
        <v>0</v>
      </c>
      <c r="AO61" s="18">
        <f>IF(AO$6&lt;='8_가정'!$C$32,AO19,$K61*IF(AO$6-$L61&gt;'8_가정'!$C$32,INDEX($X19:$AU19,AO$6-$L61),0))</f>
        <v>45000</v>
      </c>
      <c r="AP61" s="18">
        <f>IF(AP$6&lt;='8_가정'!$C$32,AP19,$K61*IF(AP$6-$L61&gt;'8_가정'!$C$32,INDEX($X19:$AU19,AP$6-$L61),0))</f>
        <v>0</v>
      </c>
      <c r="AQ61" s="18">
        <f>IF(AQ$6&lt;='8_가정'!$C$32,AQ19,$K61*IF(AQ$6-$L61&gt;'8_가정'!$C$32,INDEX($X19:$AU19,AQ$6-$L61),0))</f>
        <v>0</v>
      </c>
      <c r="AR61" s="18">
        <f>IF(AR$6&lt;='8_가정'!$C$32,AR19,$K61*IF(AR$6-$L61&gt;'8_가정'!$C$32,INDEX($X19:$AU19,AR$6-$L61),0))</f>
        <v>0</v>
      </c>
      <c r="AS61" s="18">
        <f>IF(AS$6&lt;='8_가정'!$C$32,AS19,$K61*IF(AS$6-$L61&gt;'8_가정'!$C$32,INDEX($X19:$AU19,AS$6-$L61),0))</f>
        <v>45000</v>
      </c>
      <c r="AT61" s="18">
        <f>IF(AT$6&lt;='8_가정'!$C$32,AT19,$K61*IF(AT$6-$L61&gt;'8_가정'!$C$32,INDEX($X19:$AU19,AT$6-$L61),0))</f>
        <v>0</v>
      </c>
      <c r="AU61" s="18">
        <f>IF(AU$6&lt;='8_가정'!$C$32,AU19,$K61*IF(AU$6-$L61&gt;'8_가정'!$C$32,INDEX($X19:$AU19,AU$6-$L61),0))</f>
        <v>0</v>
      </c>
      <c r="AV61" s="23">
        <f>SUM(X61:AI61)</f>
        <v>0</v>
      </c>
      <c r="AW61" s="23">
        <f>SUM(AJ61:AU61)</f>
        <v>135000</v>
      </c>
      <c r="AX61" s="24">
        <f>$K61*$O19*(1+IF($P19&gt;0,$P19*'8_가정'!$G$27,$P19))</f>
        <v>351000</v>
      </c>
      <c r="AY61" s="24">
        <f>$K61*$O19*(1+IF($P19&gt;0,$P19*'8_가정'!$G$27,$P19))*(1+IF($Q19&gt;0,$Q19*'8_가정'!$G$27,$Q19))</f>
        <v>631800</v>
      </c>
      <c r="AZ61" s="24">
        <f>$K61*$O19*(1+IF($P19&gt;0,$P19*'8_가정'!$G$27,$P19))*(1+IF($Q19&gt;0,$Q19*'8_가정'!$G$27,$Q19))*(1+IF($R19&gt;0,$R19*'8_가정'!$G$27,$R19))</f>
        <v>935064</v>
      </c>
      <c r="BA61" s="25">
        <f>SUM(AV61:AZ61)</f>
        <v>2052864</v>
      </c>
    </row>
    <row r="62">
      <c r="A62" s="7">
        <f>A20</f>
        <v>11</v>
      </c>
      <c r="B62" s="15" t="str">
        <f>B20</f>
        <v>한국</v>
      </c>
      <c r="C62" s="15" t="str">
        <f>C20</f>
        <v>한국</v>
      </c>
      <c r="D62" s="15" t="str">
        <f>D20</f>
        <v>삼성노블카운티</v>
      </c>
      <c r="E62" s="15" t="str">
        <f>E20</f>
        <v>기관(직접)</v>
      </c>
      <c r="F62" s="15" t="str">
        <f>F20</f>
        <v>-</v>
      </c>
      <c r="G62" s="15" t="str">
        <f>G20</f>
        <v>계약</v>
      </c>
      <c r="H62" s="15" t="str">
        <f>H20</f>
        <v>A 계약·기존 거래</v>
      </c>
      <c r="I62" s="15" t="str">
        <f>I20</f>
        <v>SUB</v>
      </c>
      <c r="J62" s="15" t="str">
        <f>J20</f>
        <v>M</v>
      </c>
      <c r="K62" s="65">
        <f>INDEX('8_가정'!$C$17:$E$24,MATCH($G20,'8_가정'!$A$17:$A$24,0),'1_요약'!$C$5)</f>
        <v>1</v>
      </c>
      <c r="L62" s="69">
        <f>IF($T20="Y",INDEX('8_가정'!$F$17:$H$24,MATCH($G20,'8_가정'!$A$17:$A$24,0),'1_요약'!$C$5),0)</f>
        <v>0</v>
      </c>
      <c r="X62" s="18">
        <f>IF(X$6&lt;='8_가정'!$C$32,X20,$K62*IF(X$6-$L62&gt;'8_가정'!$C$32,INDEX($X20:$AU20,X$6-$L62),0))</f>
        <v>0</v>
      </c>
      <c r="Y62" s="18">
        <f>IF(Y$6&lt;='8_가정'!$C$32,Y20,$K62*IF(Y$6-$L62&gt;'8_가정'!$C$32,INDEX($X20:$AU20,Y$6-$L62),0))</f>
        <v>0</v>
      </c>
      <c r="Z62" s="18">
        <f>IF(Z$6&lt;='8_가정'!$C$32,Z20,$K62*IF(Z$6-$L62&gt;'8_가정'!$C$32,INDEX($X20:$AU20,Z$6-$L62),0))</f>
        <v>0</v>
      </c>
      <c r="AA62" s="18">
        <f>IF(AA$6&lt;='8_가정'!$C$32,AA20,$K62*IF(AA$6-$L62&gt;'8_가정'!$C$32,INDEX($X20:$AU20,AA$6-$L62),0))</f>
        <v>0</v>
      </c>
      <c r="AB62" s="18">
        <f>IF(AB$6&lt;='8_가정'!$C$32,AB20,$K62*IF(AB$6-$L62&gt;'8_가정'!$C$32,INDEX($X20:$AU20,AB$6-$L62),0))</f>
        <v>0</v>
      </c>
      <c r="AC62" s="18">
        <f>IF(AC$6&lt;='8_가정'!$C$32,AC20,$K62*IF(AC$6-$L62&gt;'8_가정'!$C$32,INDEX($X20:$AU20,AC$6-$L62),0))</f>
        <v>0</v>
      </c>
      <c r="AD62" s="18">
        <f>IF(AD$6&lt;='8_가정'!$C$32,AD20,$K62*IF(AD$6-$L62&gt;'8_가정'!$C$32,INDEX($X20:$AU20,AD$6-$L62),0))</f>
        <v>0</v>
      </c>
      <c r="AE62" s="18">
        <f>IF(AE$6&lt;='8_가정'!$C$32,AE20,$K62*IF(AE$6-$L62&gt;'8_가정'!$C$32,INDEX($X20:$AU20,AE$6-$L62),0))</f>
        <v>0</v>
      </c>
      <c r="AF62" s="18">
        <f>IF(AF$6&lt;='8_가정'!$C$32,AF20,$K62*IF(AF$6-$L62&gt;'8_가정'!$C$32,INDEX($X20:$AU20,AF$6-$L62),0))</f>
        <v>0</v>
      </c>
      <c r="AG62" s="18">
        <f>IF(AG$6&lt;='8_가정'!$C$32,AG20,$K62*IF(AG$6-$L62&gt;'8_가정'!$C$32,INDEX($X20:$AU20,AG$6-$L62),0))</f>
        <v>0</v>
      </c>
      <c r="AH62" s="18">
        <f>IF(AH$6&lt;='8_가정'!$C$32,AH20,$K62*IF(AH$6-$L62&gt;'8_가정'!$C$32,INDEX($X20:$AU20,AH$6-$L62),0))</f>
        <v>7900</v>
      </c>
      <c r="AI62" s="18">
        <f>IF(AI$6&lt;='8_가정'!$C$32,AI20,$K62*IF(AI$6-$L62&gt;'8_가정'!$C$32,INDEX($X20:$AU20,AI$6-$L62),0))</f>
        <v>7900</v>
      </c>
      <c r="AJ62" s="18">
        <f>IF(AJ$6&lt;='8_가정'!$C$32,AJ20,$K62*IF(AJ$6-$L62&gt;'8_가정'!$C$32,INDEX($X20:$AU20,AJ$6-$L62),0))</f>
        <v>1975</v>
      </c>
      <c r="AK62" s="18">
        <f>IF(AK$6&lt;='8_가정'!$C$32,AK20,$K62*IF(AK$6-$L62&gt;'8_가정'!$C$32,INDEX($X20:$AU20,AK$6-$L62),0))</f>
        <v>1975</v>
      </c>
      <c r="AL62" s="18">
        <f>IF(AL$6&lt;='8_가정'!$C$32,AL20,$K62*IF(AL$6-$L62&gt;'8_가정'!$C$32,INDEX($X20:$AU20,AL$6-$L62),0))</f>
        <v>1975</v>
      </c>
      <c r="AM62" s="18">
        <f>IF(AM$6&lt;='8_가정'!$C$32,AM20,$K62*IF(AM$6-$L62&gt;'8_가정'!$C$32,INDEX($X20:$AU20,AM$6-$L62),0))</f>
        <v>1975</v>
      </c>
      <c r="AN62" s="18">
        <f>IF(AN$6&lt;='8_가정'!$C$32,AN20,$K62*IF(AN$6-$L62&gt;'8_가정'!$C$32,INDEX($X20:$AU20,AN$6-$L62),0))</f>
        <v>1975</v>
      </c>
      <c r="AO62" s="18">
        <f>IF(AO$6&lt;='8_가정'!$C$32,AO20,$K62*IF(AO$6-$L62&gt;'8_가정'!$C$32,INDEX($X20:$AU20,AO$6-$L62),0))</f>
        <v>1975</v>
      </c>
      <c r="AP62" s="18">
        <f>IF(AP$6&lt;='8_가정'!$C$32,AP20,$K62*IF(AP$6-$L62&gt;'8_가정'!$C$32,INDEX($X20:$AU20,AP$6-$L62),0))</f>
        <v>1975</v>
      </c>
      <c r="AQ62" s="18">
        <f>IF(AQ$6&lt;='8_가정'!$C$32,AQ20,$K62*IF(AQ$6-$L62&gt;'8_가정'!$C$32,INDEX($X20:$AU20,AQ$6-$L62),0))</f>
        <v>1975</v>
      </c>
      <c r="AR62" s="18">
        <f>IF(AR$6&lt;='8_가정'!$C$32,AR20,$K62*IF(AR$6-$L62&gt;'8_가정'!$C$32,INDEX($X20:$AU20,AR$6-$L62),0))</f>
        <v>1975</v>
      </c>
      <c r="AS62" s="18">
        <f>IF(AS$6&lt;='8_가정'!$C$32,AS20,$K62*IF(AS$6-$L62&gt;'8_가정'!$C$32,INDEX($X20:$AU20,AS$6-$L62),0))</f>
        <v>1975</v>
      </c>
      <c r="AT62" s="18">
        <f>IF(AT$6&lt;='8_가정'!$C$32,AT20,$K62*IF(AT$6-$L62&gt;'8_가정'!$C$32,INDEX($X20:$AU20,AT$6-$L62),0))</f>
        <v>1975</v>
      </c>
      <c r="AU62" s="18">
        <f>IF(AU$6&lt;='8_가정'!$C$32,AU20,$K62*IF(AU$6-$L62&gt;'8_가정'!$C$32,INDEX($X20:$AU20,AU$6-$L62),0))</f>
        <v>1975</v>
      </c>
      <c r="AV62" s="23">
        <f>SUM(X62:AI62)</f>
        <v>15800</v>
      </c>
      <c r="AW62" s="23">
        <f>SUM(AJ62:AU62)</f>
        <v>23700</v>
      </c>
      <c r="AX62" s="24">
        <f>$K62*$O20*(1+IF($P20&gt;0,$P20*'8_가정'!$G$27,$P20))</f>
        <v>31284</v>
      </c>
      <c r="AY62" s="24">
        <f>$K62*$O20*(1+IF($P20&gt;0,$P20*'8_가정'!$G$27,$P20))*(1+IF($Q20&gt;0,$Q20*'8_가정'!$G$27,$Q20))</f>
        <v>35976.6</v>
      </c>
      <c r="AZ62" s="24">
        <f>$K62*$O20*(1+IF($P20&gt;0,$P20*'8_가정'!$G$27,$P20))*(1+IF($Q20&gt;0,$Q20*'8_가정'!$G$27,$Q20))*(1+IF($R20&gt;0,$R20*'8_가정'!$G$27,$R20))</f>
        <v>38854.728</v>
      </c>
      <c r="BA62" s="25">
        <f>SUM(AV62:AZ62)</f>
        <v>145615.328</v>
      </c>
    </row>
    <row r="63">
      <c r="A63" s="7">
        <f>A21</f>
        <v>12</v>
      </c>
      <c r="B63" s="15" t="str">
        <f>B21</f>
        <v>한국</v>
      </c>
      <c r="C63" s="15" t="str">
        <f>C21</f>
        <v>한국</v>
      </c>
      <c r="D63" s="15" t="str">
        <f>D21</f>
        <v>국내 요양병원·시설 구독 매출</v>
      </c>
      <c r="E63" s="15" t="str">
        <f>E21</f>
        <v>총판</v>
      </c>
      <c r="F63" s="15" t="str">
        <f>F21</f>
        <v>-</v>
      </c>
      <c r="G63" s="15" t="str">
        <f>G21</f>
        <v>진행중</v>
      </c>
      <c r="H63" s="15" t="str">
        <f>H21</f>
        <v>B 등록·입찰·협의 단계</v>
      </c>
      <c r="I63" s="15" t="str">
        <f>I21</f>
        <v>SUB</v>
      </c>
      <c r="J63" s="15" t="str">
        <f>J21</f>
        <v>M</v>
      </c>
      <c r="K63" s="65">
        <f>INDEX('8_가정'!$C$17:$E$24,MATCH($G21,'8_가정'!$A$17:$A$24,0),'1_요약'!$C$5)</f>
        <v>1</v>
      </c>
      <c r="L63" s="69">
        <f>IF($T21="Y",INDEX('8_가정'!$F$17:$H$24,MATCH($G21,'8_가정'!$A$17:$A$24,0),'1_요약'!$C$5),0)</f>
        <v>0</v>
      </c>
      <c r="X63" s="18">
        <f>IF(X$6&lt;='8_가정'!$C$32,X21,$K63*IF(X$6-$L63&gt;'8_가정'!$C$32,INDEX($X21:$AU21,X$6-$L63),0))</f>
        <v>0</v>
      </c>
      <c r="Y63" s="18">
        <f>IF(Y$6&lt;='8_가정'!$C$32,Y21,$K63*IF(Y$6-$L63&gt;'8_가정'!$C$32,INDEX($X21:$AU21,Y$6-$L63),0))</f>
        <v>0</v>
      </c>
      <c r="Z63" s="18">
        <f>IF(Z$6&lt;='8_가정'!$C$32,Z21,$K63*IF(Z$6-$L63&gt;'8_가정'!$C$32,INDEX($X21:$AU21,Z$6-$L63),0))</f>
        <v>0</v>
      </c>
      <c r="AA63" s="18">
        <f>IF(AA$6&lt;='8_가정'!$C$32,AA21,$K63*IF(AA$6-$L63&gt;'8_가정'!$C$32,INDEX($X21:$AU21,AA$6-$L63),0))</f>
        <v>0</v>
      </c>
      <c r="AB63" s="18">
        <f>IF(AB$6&lt;='8_가정'!$C$32,AB21,$K63*IF(AB$6-$L63&gt;'8_가정'!$C$32,INDEX($X21:$AU21,AB$6-$L63),0))</f>
        <v>0</v>
      </c>
      <c r="AC63" s="18">
        <f>IF(AC$6&lt;='8_가정'!$C$32,AC21,$K63*IF(AC$6-$L63&gt;'8_가정'!$C$32,INDEX($X21:$AU21,AC$6-$L63),0))</f>
        <v>0</v>
      </c>
      <c r="AD63" s="18">
        <f>IF(AD$6&lt;='8_가정'!$C$32,AD21,$K63*IF(AD$6-$L63&gt;'8_가정'!$C$32,INDEX($X21:$AU21,AD$6-$L63),0))</f>
        <v>0</v>
      </c>
      <c r="AE63" s="18">
        <f>IF(AE$6&lt;='8_가정'!$C$32,AE21,$K63*IF(AE$6-$L63&gt;'8_가정'!$C$32,INDEX($X21:$AU21,AE$6-$L63),0))</f>
        <v>0</v>
      </c>
      <c r="AF63" s="18">
        <f>IF(AF$6&lt;='8_가정'!$C$32,AF21,$K63*IF(AF$6-$L63&gt;'8_가정'!$C$32,INDEX($X21:$AU21,AF$6-$L63),0))</f>
        <v>0</v>
      </c>
      <c r="AG63" s="18">
        <f>IF(AG$6&lt;='8_가정'!$C$32,AG21,$K63*IF(AG$6-$L63&gt;'8_가정'!$C$32,INDEX($X21:$AU21,AG$6-$L63),0))</f>
        <v>0</v>
      </c>
      <c r="AH63" s="18">
        <f>IF(AH$6&lt;='8_가정'!$C$32,AH21,$K63*IF(AH$6-$L63&gt;'8_가정'!$C$32,INDEX($X21:$AU21,AH$6-$L63),0))</f>
        <v>22120</v>
      </c>
      <c r="AI63" s="18">
        <f>IF(AI$6&lt;='8_가정'!$C$32,AI21,$K63*IF(AI$6-$L63&gt;'8_가정'!$C$32,INDEX($X21:$AU21,AI$6-$L63),0))</f>
        <v>41080</v>
      </c>
      <c r="AJ63" s="18">
        <f>IF(AJ$6&lt;='8_가정'!$C$32,AJ21,$K63*IF(AJ$6-$L63&gt;'8_가정'!$C$32,INDEX($X21:$AU21,AJ$6-$L63),0))</f>
        <v>158000</v>
      </c>
      <c r="AK63" s="18">
        <f>IF(AK$6&lt;='8_가정'!$C$32,AK21,$K63*IF(AK$6-$L63&gt;'8_가정'!$C$32,INDEX($X21:$AU21,AK$6-$L63),0))</f>
        <v>173800</v>
      </c>
      <c r="AL63" s="18">
        <f>IF(AL$6&lt;='8_가정'!$C$32,AL21,$K63*IF(AL$6-$L63&gt;'8_가정'!$C$32,INDEX($X21:$AU21,AL$6-$L63),0))</f>
        <v>189600</v>
      </c>
      <c r="AM63" s="18">
        <f>IF(AM$6&lt;='8_가정'!$C$32,AM21,$K63*IF(AM$6-$L63&gt;'8_가정'!$C$32,INDEX($X21:$AU21,AM$6-$L63),0))</f>
        <v>205400</v>
      </c>
      <c r="AN63" s="18">
        <f>IF(AN$6&lt;='8_가정'!$C$32,AN21,$K63*IF(AN$6-$L63&gt;'8_가정'!$C$32,INDEX($X21:$AU21,AN$6-$L63),0))</f>
        <v>221200</v>
      </c>
      <c r="AO63" s="18">
        <f>IF(AO$6&lt;='8_가정'!$C$32,AO21,$K63*IF(AO$6-$L63&gt;'8_가정'!$C$32,INDEX($X21:$AU21,AO$6-$L63),0))</f>
        <v>252800</v>
      </c>
      <c r="AP63" s="18">
        <f>IF(AP$6&lt;='8_가정'!$C$32,AP21,$K63*IF(AP$6-$L63&gt;'8_가정'!$C$32,INDEX($X21:$AU21,AP$6-$L63),0))</f>
        <v>268600</v>
      </c>
      <c r="AQ63" s="18">
        <f>IF(AQ$6&lt;='8_가정'!$C$32,AQ21,$K63*IF(AQ$6-$L63&gt;'8_가정'!$C$32,INDEX($X21:$AU21,AQ$6-$L63),0))</f>
        <v>268600</v>
      </c>
      <c r="AR63" s="18">
        <f>IF(AR$6&lt;='8_가정'!$C$32,AR21,$K63*IF(AR$6-$L63&gt;'8_가정'!$C$32,INDEX($X21:$AU21,AR$6-$L63),0))</f>
        <v>284400</v>
      </c>
      <c r="AS63" s="18">
        <f>IF(AS$6&lt;='8_가정'!$C$32,AS21,$K63*IF(AS$6-$L63&gt;'8_가정'!$C$32,INDEX($X21:$AU21,AS$6-$L63),0))</f>
        <v>309400</v>
      </c>
      <c r="AT63" s="18">
        <f>IF(AT$6&lt;='8_가정'!$C$32,AT21,$K63*IF(AT$6-$L63&gt;'8_가정'!$C$32,INDEX($X21:$AU21,AT$6-$L63),0))</f>
        <v>325200</v>
      </c>
      <c r="AU63" s="18">
        <f>IF(AU$6&lt;='8_가정'!$C$32,AU21,$K63*IF(AU$6-$L63&gt;'8_가정'!$C$32,INDEX($X21:$AU21,AU$6-$L63),0))</f>
        <v>341000</v>
      </c>
      <c r="AV63" s="23">
        <f>SUM(X63:AI63)</f>
        <v>63200</v>
      </c>
      <c r="AW63" s="23">
        <f>SUM(AJ63:AU63)</f>
        <v>2998000</v>
      </c>
      <c r="AX63" s="24">
        <f>$K63*$O21*(1+IF($P21&gt;0,$P21*'8_가정'!$G$27,$P21))</f>
        <v>7315120</v>
      </c>
      <c r="AY63" s="24">
        <f>$K63*$O21*(1+IF($P21&gt;0,$P21*'8_가정'!$G$27,$P21))*(1+IF($Q21&gt;0,$Q21*'8_가정'!$G$27,$Q21))</f>
        <v>12435704</v>
      </c>
      <c r="AZ63" s="24">
        <f>$K63*$O21*(1+IF($P21&gt;0,$P21*'8_가정'!$G$27,$P21))*(1+IF($Q21&gt;0,$Q21*'8_가정'!$G$27,$Q21))*(1+IF($R21&gt;0,$R21*'8_가정'!$G$27,$R21))</f>
        <v>17409985.6</v>
      </c>
      <c r="BA63" s="25">
        <f>SUM(AV63:AZ63)</f>
        <v>40222009.6</v>
      </c>
    </row>
    <row r="64">
      <c r="A64" s="7">
        <f>A22</f>
        <v>13</v>
      </c>
      <c r="B64" s="15" t="str">
        <f>B22</f>
        <v>한국</v>
      </c>
      <c r="C64" s="15" t="str">
        <f>C22</f>
        <v>한국</v>
      </c>
      <c r="D64" s="15" t="str">
        <f>D22</f>
        <v>피플앤피플 실증사업</v>
      </c>
      <c r="E64" s="15" t="str">
        <f>E22</f>
        <v>기관(직접)</v>
      </c>
      <c r="F64" s="15" t="str">
        <f>F22</f>
        <v>-</v>
      </c>
      <c r="G64" s="15" t="str">
        <f>G22</f>
        <v>계약</v>
      </c>
      <c r="H64" s="15" t="str">
        <f>H22</f>
        <v>A 계약·기존 거래</v>
      </c>
      <c r="I64" s="15" t="str">
        <f>I22</f>
        <v>RND</v>
      </c>
      <c r="J64" s="15" t="str">
        <f>J22</f>
        <v>M</v>
      </c>
      <c r="K64" s="65">
        <f>INDEX('8_가정'!$C$17:$E$24,MATCH($G22,'8_가정'!$A$17:$A$24,0),'1_요약'!$C$5)</f>
        <v>1</v>
      </c>
      <c r="L64" s="69">
        <f>IF($T22="Y",INDEX('8_가정'!$F$17:$H$24,MATCH($G22,'8_가정'!$A$17:$A$24,0),'1_요약'!$C$5),0)</f>
        <v>0</v>
      </c>
      <c r="X64" s="18">
        <f>IF(X$6&lt;='8_가정'!$C$32,X22,$K64*IF(X$6-$L64&gt;'8_가정'!$C$32,INDEX($X22:$AU22,X$6-$L64),0))</f>
        <v>0</v>
      </c>
      <c r="Y64" s="18">
        <f>IF(Y$6&lt;='8_가정'!$C$32,Y22,$K64*IF(Y$6-$L64&gt;'8_가정'!$C$32,INDEX($X22:$AU22,Y$6-$L64),0))</f>
        <v>0</v>
      </c>
      <c r="Z64" s="18">
        <f>IF(Z$6&lt;='8_가정'!$C$32,Z22,$K64*IF(Z$6-$L64&gt;'8_가정'!$C$32,INDEX($X22:$AU22,Z$6-$L64),0))</f>
        <v>0</v>
      </c>
      <c r="AA64" s="18">
        <f>IF(AA$6&lt;='8_가정'!$C$32,AA22,$K64*IF(AA$6-$L64&gt;'8_가정'!$C$32,INDEX($X22:$AU22,AA$6-$L64),0))</f>
        <v>0</v>
      </c>
      <c r="AB64" s="18">
        <f>IF(AB$6&lt;='8_가정'!$C$32,AB22,$K64*IF(AB$6-$L64&gt;'8_가정'!$C$32,INDEX($X22:$AU22,AB$6-$L64),0))</f>
        <v>0</v>
      </c>
      <c r="AC64" s="18">
        <f>IF(AC$6&lt;='8_가정'!$C$32,AC22,$K64*IF(AC$6-$L64&gt;'8_가정'!$C$32,INDEX($X22:$AU22,AC$6-$L64),0))</f>
        <v>0</v>
      </c>
      <c r="AD64" s="18">
        <f>IF(AD$6&lt;='8_가정'!$C$32,AD22,$K64*IF(AD$6-$L64&gt;'8_가정'!$C$32,INDEX($X22:$AU22,AD$6-$L64),0))</f>
        <v>0</v>
      </c>
      <c r="AE64" s="18">
        <f>IF(AE$6&lt;='8_가정'!$C$32,AE22,$K64*IF(AE$6-$L64&gt;'8_가정'!$C$32,INDEX($X22:$AU22,AE$6-$L64),0))</f>
        <v>0</v>
      </c>
      <c r="AF64" s="18">
        <f>IF(AF$6&lt;='8_가정'!$C$32,AF22,$K64*IF(AF$6-$L64&gt;'8_가정'!$C$32,INDEX($X22:$AU22,AF$6-$L64),0))</f>
        <v>0</v>
      </c>
      <c r="AG64" s="18">
        <f>IF(AG$6&lt;='8_가정'!$C$32,AG22,$K64*IF(AG$6-$L64&gt;'8_가정'!$C$32,INDEX($X22:$AU22,AG$6-$L64),0))</f>
        <v>0</v>
      </c>
      <c r="AH64" s="18">
        <f>IF(AH$6&lt;='8_가정'!$C$32,AH22,$K64*IF(AH$6-$L64&gt;'8_가정'!$C$32,INDEX($X22:$AU22,AH$6-$L64),0))</f>
        <v>0</v>
      </c>
      <c r="AI64" s="18">
        <f>IF(AI$6&lt;='8_가정'!$C$32,AI22,$K64*IF(AI$6-$L64&gt;'8_가정'!$C$32,INDEX($X22:$AU22,AI$6-$L64),0))</f>
        <v>35000</v>
      </c>
      <c r="AJ64" s="18">
        <f>IF(AJ$6&lt;='8_가정'!$C$32,AJ22,$K64*IF(AJ$6-$L64&gt;'8_가정'!$C$32,INDEX($X22:$AU22,AJ$6-$L64),0))</f>
        <v>0</v>
      </c>
      <c r="AK64" s="18">
        <f>IF(AK$6&lt;='8_가정'!$C$32,AK22,$K64*IF(AK$6-$L64&gt;'8_가정'!$C$32,INDEX($X22:$AU22,AK$6-$L64),0))</f>
        <v>0</v>
      </c>
      <c r="AL64" s="18">
        <f>IF(AL$6&lt;='8_가정'!$C$32,AL22,$K64*IF(AL$6-$L64&gt;'8_가정'!$C$32,INDEX($X22:$AU22,AL$6-$L64),0))</f>
        <v>0</v>
      </c>
      <c r="AM64" s="18">
        <f>IF(AM$6&lt;='8_가정'!$C$32,AM22,$K64*IF(AM$6-$L64&gt;'8_가정'!$C$32,INDEX($X22:$AU22,AM$6-$L64),0))</f>
        <v>0</v>
      </c>
      <c r="AN64" s="18">
        <f>IF(AN$6&lt;='8_가정'!$C$32,AN22,$K64*IF(AN$6-$L64&gt;'8_가정'!$C$32,INDEX($X22:$AU22,AN$6-$L64),0))</f>
        <v>0</v>
      </c>
      <c r="AO64" s="18">
        <f>IF(AO$6&lt;='8_가정'!$C$32,AO22,$K64*IF(AO$6-$L64&gt;'8_가정'!$C$32,INDEX($X22:$AU22,AO$6-$L64),0))</f>
        <v>0</v>
      </c>
      <c r="AP64" s="18">
        <f>IF(AP$6&lt;='8_가정'!$C$32,AP22,$K64*IF(AP$6-$L64&gt;'8_가정'!$C$32,INDEX($X22:$AU22,AP$6-$L64),0))</f>
        <v>0</v>
      </c>
      <c r="AQ64" s="18">
        <f>IF(AQ$6&lt;='8_가정'!$C$32,AQ22,$K64*IF(AQ$6-$L64&gt;'8_가정'!$C$32,INDEX($X22:$AU22,AQ$6-$L64),0))</f>
        <v>0</v>
      </c>
      <c r="AR64" s="18">
        <f>IF(AR$6&lt;='8_가정'!$C$32,AR22,$K64*IF(AR$6-$L64&gt;'8_가정'!$C$32,INDEX($X22:$AU22,AR$6-$L64),0))</f>
        <v>0</v>
      </c>
      <c r="AS64" s="18">
        <f>IF(AS$6&lt;='8_가정'!$C$32,AS22,$K64*IF(AS$6-$L64&gt;'8_가정'!$C$32,INDEX($X22:$AU22,AS$6-$L64),0))</f>
        <v>0</v>
      </c>
      <c r="AT64" s="18">
        <f>IF(AT$6&lt;='8_가정'!$C$32,AT22,$K64*IF(AT$6-$L64&gt;'8_가정'!$C$32,INDEX($X22:$AU22,AT$6-$L64),0))</f>
        <v>0</v>
      </c>
      <c r="AU64" s="18">
        <f>IF(AU$6&lt;='8_가정'!$C$32,AU22,$K64*IF(AU$6-$L64&gt;'8_가정'!$C$32,INDEX($X22:$AU22,AU$6-$L64),0))</f>
        <v>0</v>
      </c>
      <c r="AV64" s="23">
        <f>SUM(X64:AI64)</f>
        <v>35000</v>
      </c>
      <c r="AW64" s="23">
        <f>SUM(AJ64:AU64)</f>
        <v>0</v>
      </c>
      <c r="AX64" s="24">
        <f>$K64*$O22*(1+IF($P22&gt;0,$P22*'8_가정'!$G$27,$P22))</f>
        <v>0</v>
      </c>
      <c r="AY64" s="24">
        <f>$K64*$O22*(1+IF($P22&gt;0,$P22*'8_가정'!$G$27,$P22))*(1+IF($Q22&gt;0,$Q22*'8_가정'!$G$27,$Q22))</f>
        <v>0</v>
      </c>
      <c r="AZ64" s="24">
        <f>$K64*$O22*(1+IF($P22&gt;0,$P22*'8_가정'!$G$27,$P22))*(1+IF($Q22&gt;0,$Q22*'8_가정'!$G$27,$Q22))*(1+IF($R22&gt;0,$R22*'8_가정'!$G$27,$R22))</f>
        <v>0</v>
      </c>
      <c r="BA64" s="25">
        <f>SUM(AV64:AZ64)</f>
        <v>35000</v>
      </c>
    </row>
    <row r="65">
      <c r="A65" s="7">
        <f>A23</f>
        <v>14</v>
      </c>
      <c r="B65" s="15" t="str">
        <f>B23</f>
        <v>한국</v>
      </c>
      <c r="C65" s="15" t="str">
        <f>C23</f>
        <v>한국</v>
      </c>
      <c r="D65" s="15" t="str">
        <f>D23</f>
        <v>네이버 — 엘더리</v>
      </c>
      <c r="E65" s="15" t="str">
        <f>E23</f>
        <v>온라인·B2C</v>
      </c>
      <c r="F65" s="15" t="str">
        <f>F23</f>
        <v>-</v>
      </c>
      <c r="G65" s="15" t="str">
        <f>G23</f>
        <v>기존</v>
      </c>
      <c r="H65" s="15" t="str">
        <f>H23</f>
        <v>A 계약·기존 거래</v>
      </c>
      <c r="I65" s="15" t="str">
        <f>I23</f>
        <v>SUB</v>
      </c>
      <c r="J65" s="15" t="str">
        <f>J23</f>
        <v>M</v>
      </c>
      <c r="K65" s="65">
        <f>INDEX('8_가정'!$C$17:$E$24,MATCH($G23,'8_가정'!$A$17:$A$24,0),'1_요약'!$C$5)</f>
        <v>1</v>
      </c>
      <c r="L65" s="69">
        <f>IF($T23="Y",INDEX('8_가정'!$F$17:$H$24,MATCH($G23,'8_가정'!$A$17:$A$24,0),'1_요약'!$C$5),0)</f>
        <v>0</v>
      </c>
      <c r="X65" s="18">
        <f>IF(X$6&lt;='8_가정'!$C$32,X23,$K65*IF(X$6-$L65&gt;'8_가정'!$C$32,INDEX($X23:$AU23,X$6-$L65),0))</f>
        <v>16399</v>
      </c>
      <c r="Y65" s="18">
        <f>IF(Y$6&lt;='8_가정'!$C$32,Y23,$K65*IF(Y$6-$L65&gt;'8_가정'!$C$32,INDEX($X23:$AU23,Y$6-$L65),0))</f>
        <v>22103</v>
      </c>
      <c r="Z65" s="18">
        <f>IF(Z$6&lt;='8_가정'!$C$32,Z23,$K65*IF(Z$6-$L65&gt;'8_가정'!$C$32,INDEX($X23:$AU23,Z$6-$L65),0))</f>
        <v>1001</v>
      </c>
      <c r="AA65" s="18">
        <f>IF(AA$6&lt;='8_가정'!$C$32,AA23,$K65*IF(AA$6-$L65&gt;'8_가정'!$C$32,INDEX($X23:$AU23,AA$6-$L65),0))</f>
        <v>49</v>
      </c>
      <c r="AB65" s="18">
        <f>IF(AB$6&lt;='8_가정'!$C$32,AB23,$K65*IF(AB$6-$L65&gt;'8_가정'!$C$32,INDEX($X23:$AU23,AB$6-$L65),0))</f>
        <v>310</v>
      </c>
      <c r="AC65" s="18">
        <f>IF(AC$6&lt;='8_가정'!$C$32,AC23,$K65*IF(AC$6-$L65&gt;'8_가정'!$C$32,INDEX($X23:$AU23,AC$6-$L65),0))</f>
        <v>651</v>
      </c>
      <c r="AD65" s="18">
        <f>IF(AD$6&lt;='8_가정'!$C$32,AD23,$K65*IF(AD$6-$L65&gt;'8_가정'!$C$32,INDEX($X23:$AU23,AD$6-$L65),0))</f>
        <v>254</v>
      </c>
      <c r="AE65" s="18">
        <f>IF(AE$6&lt;='8_가정'!$C$32,AE23,$K65*IF(AE$6-$L65&gt;'8_가정'!$C$32,INDEX($X23:$AU23,AE$6-$L65),0))</f>
        <v>135</v>
      </c>
      <c r="AF65" s="18">
        <f>IF(AF$6&lt;='8_가정'!$C$32,AF23,$K65*IF(AF$6-$L65&gt;'8_가정'!$C$32,INDEX($X23:$AU23,AF$6-$L65),0))</f>
        <v>103</v>
      </c>
      <c r="AG65" s="18">
        <f>IF(AG$6&lt;='8_가정'!$C$32,AG23,$K65*IF(AG$6-$L65&gt;'8_가정'!$C$32,INDEX($X23:$AU23,AG$6-$L65),0))</f>
        <v>0</v>
      </c>
      <c r="AH65" s="18">
        <f>IF(AH$6&lt;='8_가정'!$C$32,AH23,$K65*IF(AH$6-$L65&gt;'8_가정'!$C$32,INDEX($X23:$AU23,AH$6-$L65),0))</f>
        <v>0</v>
      </c>
      <c r="AI65" s="18">
        <f>IF(AI$6&lt;='8_가정'!$C$32,AI23,$K65*IF(AI$6-$L65&gt;'8_가정'!$C$32,INDEX($X23:$AU23,AI$6-$L65),0))</f>
        <v>0</v>
      </c>
      <c r="AJ65" s="18">
        <f>IF(AJ$6&lt;='8_가정'!$C$32,AJ23,$K65*IF(AJ$6-$L65&gt;'8_가정'!$C$32,INDEX($X23:$AU23,AJ$6-$L65),0))</f>
        <v>0</v>
      </c>
      <c r="AK65" s="18">
        <f>IF(AK$6&lt;='8_가정'!$C$32,AK23,$K65*IF(AK$6-$L65&gt;'8_가정'!$C$32,INDEX($X23:$AU23,AK$6-$L65),0))</f>
        <v>0</v>
      </c>
      <c r="AL65" s="18">
        <f>IF(AL$6&lt;='8_가정'!$C$32,AL23,$K65*IF(AL$6-$L65&gt;'8_가정'!$C$32,INDEX($X23:$AU23,AL$6-$L65),0))</f>
        <v>0</v>
      </c>
      <c r="AM65" s="18">
        <f>IF(AM$6&lt;='8_가정'!$C$32,AM23,$K65*IF(AM$6-$L65&gt;'8_가정'!$C$32,INDEX($X23:$AU23,AM$6-$L65),0))</f>
        <v>0</v>
      </c>
      <c r="AN65" s="18">
        <f>IF(AN$6&lt;='8_가정'!$C$32,AN23,$K65*IF(AN$6-$L65&gt;'8_가정'!$C$32,INDEX($X23:$AU23,AN$6-$L65),0))</f>
        <v>0</v>
      </c>
      <c r="AO65" s="18">
        <f>IF(AO$6&lt;='8_가정'!$C$32,AO23,$K65*IF(AO$6-$L65&gt;'8_가정'!$C$32,INDEX($X23:$AU23,AO$6-$L65),0))</f>
        <v>0</v>
      </c>
      <c r="AP65" s="18">
        <f>IF(AP$6&lt;='8_가정'!$C$32,AP23,$K65*IF(AP$6-$L65&gt;'8_가정'!$C$32,INDEX($X23:$AU23,AP$6-$L65),0))</f>
        <v>0</v>
      </c>
      <c r="AQ65" s="18">
        <f>IF(AQ$6&lt;='8_가정'!$C$32,AQ23,$K65*IF(AQ$6-$L65&gt;'8_가정'!$C$32,INDEX($X23:$AU23,AQ$6-$L65),0))</f>
        <v>0</v>
      </c>
      <c r="AR65" s="18">
        <f>IF(AR$6&lt;='8_가정'!$C$32,AR23,$K65*IF(AR$6-$L65&gt;'8_가정'!$C$32,INDEX($X23:$AU23,AR$6-$L65),0))</f>
        <v>0</v>
      </c>
      <c r="AS65" s="18">
        <f>IF(AS$6&lt;='8_가정'!$C$32,AS23,$K65*IF(AS$6-$L65&gt;'8_가정'!$C$32,INDEX($X23:$AU23,AS$6-$L65),0))</f>
        <v>0</v>
      </c>
      <c r="AT65" s="18">
        <f>IF(AT$6&lt;='8_가정'!$C$32,AT23,$K65*IF(AT$6-$L65&gt;'8_가정'!$C$32,INDEX($X23:$AU23,AT$6-$L65),0))</f>
        <v>0</v>
      </c>
      <c r="AU65" s="18">
        <f>IF(AU$6&lt;='8_가정'!$C$32,AU23,$K65*IF(AU$6-$L65&gt;'8_가정'!$C$32,INDEX($X23:$AU23,AU$6-$L65),0))</f>
        <v>0</v>
      </c>
      <c r="AV65" s="23">
        <f>SUM(X65:AI65)</f>
        <v>41005</v>
      </c>
      <c r="AW65" s="23">
        <f>SUM(AJ65:AU65)</f>
        <v>0</v>
      </c>
      <c r="AX65" s="24">
        <f>$K65*$O23*(1+IF($P23&gt;0,$P23*'8_가정'!$G$27,$P23))</f>
        <v>0</v>
      </c>
      <c r="AY65" s="24">
        <f>$K65*$O23*(1+IF($P23&gt;0,$P23*'8_가정'!$G$27,$P23))*(1+IF($Q23&gt;0,$Q23*'8_가정'!$G$27,$Q23))</f>
        <v>0</v>
      </c>
      <c r="AZ65" s="24">
        <f>$K65*$O23*(1+IF($P23&gt;0,$P23*'8_가정'!$G$27,$P23))*(1+IF($Q23&gt;0,$Q23*'8_가정'!$G$27,$Q23))*(1+IF($R23&gt;0,$R23*'8_가정'!$G$27,$R23))</f>
        <v>0</v>
      </c>
      <c r="BA65" s="25">
        <f>SUM(AV65:AZ65)</f>
        <v>41005</v>
      </c>
    </row>
    <row r="66">
      <c r="A66" s="7">
        <f>A24</f>
        <v>15</v>
      </c>
      <c r="B66" s="15" t="str">
        <f>B24</f>
        <v>한국</v>
      </c>
      <c r="C66" s="15" t="str">
        <f>C24</f>
        <v>한국</v>
      </c>
      <c r="D66" s="15" t="str">
        <f>D24</f>
        <v>쿠팡 — 엘더리</v>
      </c>
      <c r="E66" s="15" t="str">
        <f>E24</f>
        <v>온라인·B2C</v>
      </c>
      <c r="F66" s="15" t="str">
        <f>F24</f>
        <v>-</v>
      </c>
      <c r="G66" s="15" t="str">
        <f>G24</f>
        <v>기존</v>
      </c>
      <c r="H66" s="15" t="str">
        <f>H24</f>
        <v>A 계약·기존 거래</v>
      </c>
      <c r="I66" s="15" t="str">
        <f>I24</f>
        <v>SUB</v>
      </c>
      <c r="J66" s="15" t="str">
        <f>J24</f>
        <v>M</v>
      </c>
      <c r="K66" s="65">
        <f>INDEX('8_가정'!$C$17:$E$24,MATCH($G24,'8_가정'!$A$17:$A$24,0),'1_요약'!$C$5)</f>
        <v>1</v>
      </c>
      <c r="L66" s="69">
        <f>IF($T24="Y",INDEX('8_가정'!$F$17:$H$24,MATCH($G24,'8_가정'!$A$17:$A$24,0),'1_요약'!$C$5),0)</f>
        <v>0</v>
      </c>
      <c r="X66" s="18">
        <f>IF(X$6&lt;='8_가정'!$C$32,X24,$K66*IF(X$6-$L66&gt;'8_가정'!$C$32,INDEX($X24:$AU24,X$6-$L66),0))</f>
        <v>245</v>
      </c>
      <c r="Y66" s="18">
        <f>IF(Y$6&lt;='8_가정'!$C$32,Y24,$K66*IF(Y$6-$L66&gt;'8_가정'!$C$32,INDEX($X24:$AU24,Y$6-$L66),0))</f>
        <v>489</v>
      </c>
      <c r="Z66" s="18">
        <f>IF(Z$6&lt;='8_가정'!$C$32,Z24,$K66*IF(Z$6-$L66&gt;'8_가정'!$C$32,INDEX($X24:$AU24,Z$6-$L66),0))</f>
        <v>1033</v>
      </c>
      <c r="AA66" s="18">
        <f>IF(AA$6&lt;='8_가정'!$C$32,AA24,$K66*IF(AA$6-$L66&gt;'8_가정'!$C$32,INDEX($X24:$AU24,AA$6-$L66),0))</f>
        <v>436</v>
      </c>
      <c r="AB66" s="18">
        <f>IF(AB$6&lt;='8_가정'!$C$32,AB24,$K66*IF(AB$6-$L66&gt;'8_가정'!$C$32,INDEX($X24:$AU24,AB$6-$L66),0))</f>
        <v>689</v>
      </c>
      <c r="AC66" s="18">
        <f>IF(AC$6&lt;='8_가정'!$C$32,AC24,$K66*IF(AC$6-$L66&gt;'8_가정'!$C$32,INDEX($X24:$AU24,AC$6-$L66),0))</f>
        <v>441</v>
      </c>
      <c r="AD66" s="18">
        <f>IF(AD$6&lt;='8_가정'!$C$32,AD24,$K66*IF(AD$6-$L66&gt;'8_가정'!$C$32,INDEX($X24:$AU24,AD$6-$L66),0))</f>
        <v>787</v>
      </c>
      <c r="AE66" s="18">
        <f>IF(AE$6&lt;='8_가정'!$C$32,AE24,$K66*IF(AE$6-$L66&gt;'8_가정'!$C$32,INDEX($X24:$AU24,AE$6-$L66),0))</f>
        <v>323</v>
      </c>
      <c r="AF66" s="18">
        <f>IF(AF$6&lt;='8_가정'!$C$32,AF24,$K66*IF(AF$6-$L66&gt;'8_가정'!$C$32,INDEX($X24:$AU24,AF$6-$L66),0))</f>
        <v>292</v>
      </c>
      <c r="AG66" s="18">
        <f>IF(AG$6&lt;='8_가정'!$C$32,AG24,$K66*IF(AG$6-$L66&gt;'8_가정'!$C$32,INDEX($X24:$AU24,AG$6-$L66),0))</f>
        <v>0</v>
      </c>
      <c r="AH66" s="18">
        <f>IF(AH$6&lt;='8_가정'!$C$32,AH24,$K66*IF(AH$6-$L66&gt;'8_가정'!$C$32,INDEX($X24:$AU24,AH$6-$L66),0))</f>
        <v>0</v>
      </c>
      <c r="AI66" s="18">
        <f>IF(AI$6&lt;='8_가정'!$C$32,AI24,$K66*IF(AI$6-$L66&gt;'8_가정'!$C$32,INDEX($X24:$AU24,AI$6-$L66),0))</f>
        <v>0</v>
      </c>
      <c r="AJ66" s="18">
        <f>IF(AJ$6&lt;='8_가정'!$C$32,AJ24,$K66*IF(AJ$6-$L66&gt;'8_가정'!$C$32,INDEX($X24:$AU24,AJ$6-$L66),0))</f>
        <v>20000</v>
      </c>
      <c r="AK66" s="18">
        <f>IF(AK$6&lt;='8_가정'!$C$32,AK24,$K66*IF(AK$6-$L66&gt;'8_가정'!$C$32,INDEX($X24:$AU24,AK$6-$L66),0))</f>
        <v>20000</v>
      </c>
      <c r="AL66" s="18">
        <f>IF(AL$6&lt;='8_가정'!$C$32,AL24,$K66*IF(AL$6-$L66&gt;'8_가정'!$C$32,INDEX($X24:$AU24,AL$6-$L66),0))</f>
        <v>20000</v>
      </c>
      <c r="AM66" s="18">
        <f>IF(AM$6&lt;='8_가정'!$C$32,AM24,$K66*IF(AM$6-$L66&gt;'8_가정'!$C$32,INDEX($X24:$AU24,AM$6-$L66),0))</f>
        <v>20000</v>
      </c>
      <c r="AN66" s="18">
        <f>IF(AN$6&lt;='8_가정'!$C$32,AN24,$K66*IF(AN$6-$L66&gt;'8_가정'!$C$32,INDEX($X24:$AU24,AN$6-$L66),0))</f>
        <v>20000</v>
      </c>
      <c r="AO66" s="18">
        <f>IF(AO$6&lt;='8_가정'!$C$32,AO24,$K66*IF(AO$6-$L66&gt;'8_가정'!$C$32,INDEX($X24:$AU24,AO$6-$L66),0))</f>
        <v>20000</v>
      </c>
      <c r="AP66" s="18">
        <f>IF(AP$6&lt;='8_가정'!$C$32,AP24,$K66*IF(AP$6-$L66&gt;'8_가정'!$C$32,INDEX($X24:$AU24,AP$6-$L66),0))</f>
        <v>20000</v>
      </c>
      <c r="AQ66" s="18">
        <f>IF(AQ$6&lt;='8_가정'!$C$32,AQ24,$K66*IF(AQ$6-$L66&gt;'8_가정'!$C$32,INDEX($X24:$AU24,AQ$6-$L66),0))</f>
        <v>20000</v>
      </c>
      <c r="AR66" s="18">
        <f>IF(AR$6&lt;='8_가정'!$C$32,AR24,$K66*IF(AR$6-$L66&gt;'8_가정'!$C$32,INDEX($X24:$AU24,AR$6-$L66),0))</f>
        <v>20000</v>
      </c>
      <c r="AS66" s="18">
        <f>IF(AS$6&lt;='8_가정'!$C$32,AS24,$K66*IF(AS$6-$L66&gt;'8_가정'!$C$32,INDEX($X24:$AU24,AS$6-$L66),0))</f>
        <v>20000</v>
      </c>
      <c r="AT66" s="18">
        <f>IF(AT$6&lt;='8_가정'!$C$32,AT24,$K66*IF(AT$6-$L66&gt;'8_가정'!$C$32,INDEX($X24:$AU24,AT$6-$L66),0))</f>
        <v>20000</v>
      </c>
      <c r="AU66" s="18">
        <f>IF(AU$6&lt;='8_가정'!$C$32,AU24,$K66*IF(AU$6-$L66&gt;'8_가정'!$C$32,INDEX($X24:$AU24,AU$6-$L66),0))</f>
        <v>20000</v>
      </c>
      <c r="AV66" s="23">
        <f>SUM(X66:AI66)</f>
        <v>4735</v>
      </c>
      <c r="AW66" s="23">
        <f>SUM(AJ66:AU66)</f>
        <v>240000</v>
      </c>
      <c r="AX66" s="24">
        <f>$K66*$O24*(1+IF($P24&gt;0,$P24*'8_가정'!$G$27,$P24))</f>
        <v>355200</v>
      </c>
      <c r="AY66" s="24">
        <f>$K66*$O24*(1+IF($P24&gt;0,$P24*'8_가정'!$G$27,$P24))*(1+IF($Q24&gt;0,$Q24*'8_가정'!$G$27,$Q24))</f>
        <v>444000</v>
      </c>
      <c r="AZ66" s="24">
        <f>$K66*$O24*(1+IF($P24&gt;0,$P24*'8_가정'!$G$27,$P24))*(1+IF($Q24&gt;0,$Q24*'8_가정'!$G$27,$Q24))*(1+IF($R24&gt;0,$R24*'8_가정'!$G$27,$R24))</f>
        <v>515040</v>
      </c>
      <c r="BA66" s="25">
        <f>SUM(AV66:AZ66)</f>
        <v>1558975</v>
      </c>
    </row>
    <row r="67">
      <c r="A67" s="7">
        <f>A25</f>
        <v>16</v>
      </c>
      <c r="B67" s="15" t="str">
        <f>B25</f>
        <v>한국</v>
      </c>
      <c r="C67" s="15" t="str">
        <f>C25</f>
        <v>한국</v>
      </c>
      <c r="D67" s="15" t="str">
        <f>D25</f>
        <v>복지용구(NHIS 급여, 기저귀센서)</v>
      </c>
      <c r="E67" s="15" t="str">
        <f>E25</f>
        <v>B2G·제도</v>
      </c>
      <c r="F67" s="15" t="str">
        <f>F25</f>
        <v>-</v>
      </c>
      <c r="G67" s="15" t="str">
        <f>G25</f>
        <v>등록완료</v>
      </c>
      <c r="H67" s="15" t="str">
        <f>H25</f>
        <v>B 등록·입찰·협의 단계</v>
      </c>
      <c r="I67" s="15" t="str">
        <f>I25</f>
        <v>NHIS</v>
      </c>
      <c r="J67" s="15" t="str">
        <f>J25</f>
        <v>M</v>
      </c>
      <c r="K67" s="65">
        <f>INDEX('8_가정'!$C$17:$E$24,MATCH($G25,'8_가정'!$A$17:$A$24,0),'1_요약'!$C$5)</f>
        <v>1</v>
      </c>
      <c r="L67" s="69">
        <f>IF($T25="Y",INDEX('8_가정'!$F$17:$H$24,MATCH($G25,'8_가정'!$A$17:$A$24,0),'1_요약'!$C$5),0)</f>
        <v>0</v>
      </c>
      <c r="X67" s="18">
        <f>IF(X$6&lt;='8_가정'!$C$32,X25,$K67*IF(X$6-$L67&gt;'8_가정'!$C$32,INDEX($X25:$AU25,X$6-$L67),0))</f>
        <v>9806</v>
      </c>
      <c r="Y67" s="18">
        <f>IF(Y$6&lt;='8_가정'!$C$32,Y25,$K67*IF(Y$6-$L67&gt;'8_가정'!$C$32,INDEX($X25:$AU25,Y$6-$L67),0))</f>
        <v>3979</v>
      </c>
      <c r="Z67" s="18">
        <f>IF(Z$6&lt;='8_가정'!$C$32,Z25,$K67*IF(Z$6-$L67&gt;'8_가정'!$C$32,INDEX($X25:$AU25,Z$6-$L67),0))</f>
        <v>2010</v>
      </c>
      <c r="AA67" s="18">
        <f>IF(AA$6&lt;='8_가정'!$C$32,AA25,$K67*IF(AA$6-$L67&gt;'8_가정'!$C$32,INDEX($X25:$AU25,AA$6-$L67),0))</f>
        <v>0</v>
      </c>
      <c r="AB67" s="18">
        <f>IF(AB$6&lt;='8_가정'!$C$32,AB25,$K67*IF(AB$6-$L67&gt;'8_가정'!$C$32,INDEX($X25:$AU25,AB$6-$L67),0))</f>
        <v>0</v>
      </c>
      <c r="AC67" s="18">
        <f>IF(AC$6&lt;='8_가정'!$C$32,AC25,$K67*IF(AC$6-$L67&gt;'8_가정'!$C$32,INDEX($X25:$AU25,AC$6-$L67),0))</f>
        <v>0</v>
      </c>
      <c r="AD67" s="18">
        <f>IF(AD$6&lt;='8_가정'!$C$32,AD25,$K67*IF(AD$6-$L67&gt;'8_가정'!$C$32,INDEX($X25:$AU25,AD$6-$L67),0))</f>
        <v>0</v>
      </c>
      <c r="AE67" s="18">
        <f>IF(AE$6&lt;='8_가정'!$C$32,AE25,$K67*IF(AE$6-$L67&gt;'8_가정'!$C$32,INDEX($X25:$AU25,AE$6-$L67),0))</f>
        <v>0</v>
      </c>
      <c r="AF67" s="18">
        <f>IF(AF$6&lt;='8_가정'!$C$32,AF25,$K67*IF(AF$6-$L67&gt;'8_가정'!$C$32,INDEX($X25:$AU25,AF$6-$L67),0))</f>
        <v>0</v>
      </c>
      <c r="AG67" s="18">
        <f>IF(AG$6&lt;='8_가정'!$C$32,AG25,$K67*IF(AG$6-$L67&gt;'8_가정'!$C$32,INDEX($X25:$AU25,AG$6-$L67),0))</f>
        <v>0</v>
      </c>
      <c r="AH67" s="18">
        <f>IF(AH$6&lt;='8_가정'!$C$32,AH25,$K67*IF(AH$6-$L67&gt;'8_가정'!$C$32,INDEX($X25:$AU25,AH$6-$L67),0))</f>
        <v>0</v>
      </c>
      <c r="AI67" s="18">
        <f>IF(AI$6&lt;='8_가정'!$C$32,AI25,$K67*IF(AI$6-$L67&gt;'8_가정'!$C$32,INDEX($X25:$AU25,AI$6-$L67),0))</f>
        <v>0</v>
      </c>
      <c r="AJ67" s="18">
        <f>IF(AJ$6&lt;='8_가정'!$C$32,AJ25,$K67*IF(AJ$6-$L67&gt;'8_가정'!$C$32,INDEX($X25:$AU25,AJ$6-$L67),0))</f>
        <v>40000</v>
      </c>
      <c r="AK67" s="18">
        <f>IF(AK$6&lt;='8_가정'!$C$32,AK25,$K67*IF(AK$6-$L67&gt;'8_가정'!$C$32,INDEX($X25:$AU25,AK$6-$L67),0))</f>
        <v>40000</v>
      </c>
      <c r="AL67" s="18">
        <f>IF(AL$6&lt;='8_가정'!$C$32,AL25,$K67*IF(AL$6-$L67&gt;'8_가정'!$C$32,INDEX($X25:$AU25,AL$6-$L67),0))</f>
        <v>40000</v>
      </c>
      <c r="AM67" s="18">
        <f>IF(AM$6&lt;='8_가정'!$C$32,AM25,$K67*IF(AM$6-$L67&gt;'8_가정'!$C$32,INDEX($X25:$AU25,AM$6-$L67),0))</f>
        <v>40000</v>
      </c>
      <c r="AN67" s="18">
        <f>IF(AN$6&lt;='8_가정'!$C$32,AN25,$K67*IF(AN$6-$L67&gt;'8_가정'!$C$32,INDEX($X25:$AU25,AN$6-$L67),0))</f>
        <v>40000</v>
      </c>
      <c r="AO67" s="18">
        <f>IF(AO$6&lt;='8_가정'!$C$32,AO25,$K67*IF(AO$6-$L67&gt;'8_가정'!$C$32,INDEX($X25:$AU25,AO$6-$L67),0))</f>
        <v>40000</v>
      </c>
      <c r="AP67" s="18">
        <f>IF(AP$6&lt;='8_가정'!$C$32,AP25,$K67*IF(AP$6-$L67&gt;'8_가정'!$C$32,INDEX($X25:$AU25,AP$6-$L67),0))</f>
        <v>40000</v>
      </c>
      <c r="AQ67" s="18">
        <f>IF(AQ$6&lt;='8_가정'!$C$32,AQ25,$K67*IF(AQ$6-$L67&gt;'8_가정'!$C$32,INDEX($X25:$AU25,AQ$6-$L67),0))</f>
        <v>40000</v>
      </c>
      <c r="AR67" s="18">
        <f>IF(AR$6&lt;='8_가정'!$C$32,AR25,$K67*IF(AR$6-$L67&gt;'8_가정'!$C$32,INDEX($X25:$AU25,AR$6-$L67),0))</f>
        <v>40000</v>
      </c>
      <c r="AS67" s="18">
        <f>IF(AS$6&lt;='8_가정'!$C$32,AS25,$K67*IF(AS$6-$L67&gt;'8_가정'!$C$32,INDEX($X25:$AU25,AS$6-$L67),0))</f>
        <v>40000</v>
      </c>
      <c r="AT67" s="18">
        <f>IF(AT$6&lt;='8_가정'!$C$32,AT25,$K67*IF(AT$6-$L67&gt;'8_가정'!$C$32,INDEX($X25:$AU25,AT$6-$L67),0))</f>
        <v>40000</v>
      </c>
      <c r="AU67" s="18">
        <f>IF(AU$6&lt;='8_가정'!$C$32,AU25,$K67*IF(AU$6-$L67&gt;'8_가정'!$C$32,INDEX($X25:$AU25,AU$6-$L67),0))</f>
        <v>47300</v>
      </c>
      <c r="AV67" s="23">
        <f>SUM(X67:AI67)</f>
        <v>15795</v>
      </c>
      <c r="AW67" s="23">
        <f>SUM(AJ67:AU67)</f>
        <v>487300</v>
      </c>
      <c r="AX67" s="24">
        <f>$K67*$O25*(1+IF($P25&gt;0,$P25*'8_가정'!$G$27,$P25))</f>
        <v>955108</v>
      </c>
      <c r="AY67" s="24">
        <f>$K67*$O25*(1+IF($P25&gt;0,$P25*'8_가정'!$G$27,$P25))*(1+IF($Q25&gt;0,$Q25*'8_가정'!$G$27,$Q25))</f>
        <v>1432662</v>
      </c>
      <c r="AZ67" s="24">
        <f>$K67*$O25*(1+IF($P25&gt;0,$P25*'8_가정'!$G$27,$P25))*(1+IF($Q25&gt;0,$Q25*'8_가정'!$G$27,$Q25))*(1+IF($R25&gt;0,$R25*'8_가정'!$G$27,$R25))</f>
        <v>1891113.84</v>
      </c>
      <c r="BA67" s="25">
        <f>SUM(AV67:AZ67)</f>
        <v>4781978.84</v>
      </c>
    </row>
    <row r="68">
      <c r="A68" s="7">
        <f>A26</f>
        <v>17</v>
      </c>
      <c r="B68" s="15" t="str">
        <f>B26</f>
        <v>한국</v>
      </c>
      <c r="C68" s="15" t="str">
        <f>C26</f>
        <v>한국</v>
      </c>
      <c r="D68" s="15" t="str">
        <f>D26</f>
        <v>국내 B2B 기타</v>
      </c>
      <c r="E68" s="15" t="str">
        <f>E26</f>
        <v>국내 B2B</v>
      </c>
      <c r="F68" s="15" t="str">
        <f>F26</f>
        <v>-</v>
      </c>
      <c r="G68" s="15" t="str">
        <f>G26</f>
        <v>기존</v>
      </c>
      <c r="H68" s="15" t="str">
        <f>H26</f>
        <v>A 계약·기존 거래</v>
      </c>
      <c r="I68" s="15" t="str">
        <f>I26</f>
        <v>SUB</v>
      </c>
      <c r="J68" s="15" t="str">
        <f>J26</f>
        <v>M</v>
      </c>
      <c r="K68" s="65">
        <f>INDEX('8_가정'!$C$17:$E$24,MATCH($G26,'8_가정'!$A$17:$A$24,0),'1_요약'!$C$5)</f>
        <v>1</v>
      </c>
      <c r="L68" s="69">
        <f>IF($T26="Y",INDEX('8_가정'!$F$17:$H$24,MATCH($G26,'8_가정'!$A$17:$A$24,0),'1_요약'!$C$5),0)</f>
        <v>0</v>
      </c>
      <c r="X68" s="18">
        <f>IF(X$6&lt;='8_가정'!$C$32,X26,$K68*IF(X$6-$L68&gt;'8_가정'!$C$32,INDEX($X26:$AU26,X$6-$L68),0))</f>
        <v>0</v>
      </c>
      <c r="Y68" s="18">
        <f>IF(Y$6&lt;='8_가정'!$C$32,Y26,$K68*IF(Y$6-$L68&gt;'8_가정'!$C$32,INDEX($X26:$AU26,Y$6-$L68),0))</f>
        <v>0</v>
      </c>
      <c r="Z68" s="18">
        <f>IF(Z$6&lt;='8_가정'!$C$32,Z26,$K68*IF(Z$6-$L68&gt;'8_가정'!$C$32,INDEX($X26:$AU26,Z$6-$L68),0))</f>
        <v>0</v>
      </c>
      <c r="AA68" s="18">
        <f>IF(AA$6&lt;='8_가정'!$C$32,AA26,$K68*IF(AA$6-$L68&gt;'8_가정'!$C$32,INDEX($X26:$AU26,AA$6-$L68),0))</f>
        <v>0</v>
      </c>
      <c r="AB68" s="18">
        <f>IF(AB$6&lt;='8_가정'!$C$32,AB26,$K68*IF(AB$6-$L68&gt;'8_가정'!$C$32,INDEX($X26:$AU26,AB$6-$L68),0))</f>
        <v>0</v>
      </c>
      <c r="AC68" s="18">
        <f>IF(AC$6&lt;='8_가정'!$C$32,AC26,$K68*IF(AC$6-$L68&gt;'8_가정'!$C$32,INDEX($X26:$AU26,AC$6-$L68),0))</f>
        <v>0</v>
      </c>
      <c r="AD68" s="18">
        <f>IF(AD$6&lt;='8_가정'!$C$32,AD26,$K68*IF(AD$6-$L68&gt;'8_가정'!$C$32,INDEX($X26:$AU26,AD$6-$L68),0))</f>
        <v>642</v>
      </c>
      <c r="AE68" s="18">
        <f>IF(AE$6&lt;='8_가정'!$C$32,AE26,$K68*IF(AE$6-$L68&gt;'8_가정'!$C$32,INDEX($X26:$AU26,AE$6-$L68),0))</f>
        <v>229</v>
      </c>
      <c r="AF68" s="18">
        <f>IF(AF$6&lt;='8_가정'!$C$32,AF26,$K68*IF(AF$6-$L68&gt;'8_가정'!$C$32,INDEX($X26:$AU26,AF$6-$L68),0))</f>
        <v>0</v>
      </c>
      <c r="AG68" s="18">
        <f>IF(AG$6&lt;='8_가정'!$C$32,AG26,$K68*IF(AG$6-$L68&gt;'8_가정'!$C$32,INDEX($X26:$AU26,AG$6-$L68),0))</f>
        <v>0</v>
      </c>
      <c r="AH68" s="18">
        <f>IF(AH$6&lt;='8_가정'!$C$32,AH26,$K68*IF(AH$6-$L68&gt;'8_가정'!$C$32,INDEX($X26:$AU26,AH$6-$L68),0))</f>
        <v>-3950</v>
      </c>
      <c r="AI68" s="18">
        <f>IF(AI$6&lt;='8_가정'!$C$32,AI26,$K68*IF(AI$6-$L68&gt;'8_가정'!$C$32,INDEX($X26:$AU26,AI$6-$L68),0))</f>
        <v>0</v>
      </c>
      <c r="AJ68" s="18">
        <f>IF(AJ$6&lt;='8_가정'!$C$32,AJ26,$K68*IF(AJ$6-$L68&gt;'8_가정'!$C$32,INDEX($X26:$AU26,AJ$6-$L68),0))</f>
        <v>0</v>
      </c>
      <c r="AK68" s="18">
        <f>IF(AK$6&lt;='8_가정'!$C$32,AK26,$K68*IF(AK$6-$L68&gt;'8_가정'!$C$32,INDEX($X26:$AU26,AK$6-$L68),0))</f>
        <v>0</v>
      </c>
      <c r="AL68" s="18">
        <f>IF(AL$6&lt;='8_가정'!$C$32,AL26,$K68*IF(AL$6-$L68&gt;'8_가정'!$C$32,INDEX($X26:$AU26,AL$6-$L68),0))</f>
        <v>0</v>
      </c>
      <c r="AM68" s="18">
        <f>IF(AM$6&lt;='8_가정'!$C$32,AM26,$K68*IF(AM$6-$L68&gt;'8_가정'!$C$32,INDEX($X26:$AU26,AM$6-$L68),0))</f>
        <v>0</v>
      </c>
      <c r="AN68" s="18">
        <f>IF(AN$6&lt;='8_가정'!$C$32,AN26,$K68*IF(AN$6-$L68&gt;'8_가정'!$C$32,INDEX($X26:$AU26,AN$6-$L68),0))</f>
        <v>0</v>
      </c>
      <c r="AO68" s="18">
        <f>IF(AO$6&lt;='8_가정'!$C$32,AO26,$K68*IF(AO$6-$L68&gt;'8_가정'!$C$32,INDEX($X26:$AU26,AO$6-$L68),0))</f>
        <v>0</v>
      </c>
      <c r="AP68" s="18">
        <f>IF(AP$6&lt;='8_가정'!$C$32,AP26,$K68*IF(AP$6-$L68&gt;'8_가정'!$C$32,INDEX($X26:$AU26,AP$6-$L68),0))</f>
        <v>0</v>
      </c>
      <c r="AQ68" s="18">
        <f>IF(AQ$6&lt;='8_가정'!$C$32,AQ26,$K68*IF(AQ$6-$L68&gt;'8_가정'!$C$32,INDEX($X26:$AU26,AQ$6-$L68),0))</f>
        <v>0</v>
      </c>
      <c r="AR68" s="18">
        <f>IF(AR$6&lt;='8_가정'!$C$32,AR26,$K68*IF(AR$6-$L68&gt;'8_가정'!$C$32,INDEX($X26:$AU26,AR$6-$L68),0))</f>
        <v>0</v>
      </c>
      <c r="AS68" s="18">
        <f>IF(AS$6&lt;='8_가정'!$C$32,AS26,$K68*IF(AS$6-$L68&gt;'8_가정'!$C$32,INDEX($X26:$AU26,AS$6-$L68),0))</f>
        <v>0</v>
      </c>
      <c r="AT68" s="18">
        <f>IF(AT$6&lt;='8_가정'!$C$32,AT26,$K68*IF(AT$6-$L68&gt;'8_가정'!$C$32,INDEX($X26:$AU26,AT$6-$L68),0))</f>
        <v>0</v>
      </c>
      <c r="AU68" s="18">
        <f>IF(AU$6&lt;='8_가정'!$C$32,AU26,$K68*IF(AU$6-$L68&gt;'8_가정'!$C$32,INDEX($X26:$AU26,AU$6-$L68),0))</f>
        <v>0</v>
      </c>
      <c r="AV68" s="23">
        <f>SUM(X68:AI68)</f>
        <v>-3079</v>
      </c>
      <c r="AW68" s="23">
        <f>SUM(AJ68:AU68)</f>
        <v>0</v>
      </c>
      <c r="AX68" s="24">
        <f>$K68*$O26*(1+IF($P26&gt;0,$P26*'8_가정'!$G$27,$P26))</f>
        <v>0</v>
      </c>
      <c r="AY68" s="24">
        <f>$K68*$O26*(1+IF($P26&gt;0,$P26*'8_가정'!$G$27,$P26))*(1+IF($Q26&gt;0,$Q26*'8_가정'!$G$27,$Q26))</f>
        <v>0</v>
      </c>
      <c r="AZ68" s="24">
        <f>$K68*$O26*(1+IF($P26&gt;0,$P26*'8_가정'!$G$27,$P26))*(1+IF($Q26&gt;0,$Q26*'8_가정'!$G$27,$Q26))*(1+IF($R26&gt;0,$R26*'8_가정'!$G$27,$R26))</f>
        <v>0</v>
      </c>
      <c r="BA68" s="25">
        <f>SUM(AV68:AZ68)</f>
        <v>-3079</v>
      </c>
    </row>
    <row r="69">
      <c r="A69" s="7">
        <f>A27</f>
        <v>18</v>
      </c>
      <c r="B69" s="15" t="str">
        <f>B27</f>
        <v>한국</v>
      </c>
      <c r="C69" s="15" t="str">
        <f>C27</f>
        <v>한국</v>
      </c>
      <c r="D69" s="15" t="str">
        <f>D27</f>
        <v>APP KOREA — 성인(키퍼스 시니어 팬티형)</v>
      </c>
      <c r="E69" s="15" t="str">
        <f>E27</f>
        <v>파트너</v>
      </c>
      <c r="F69" s="15" t="str">
        <f>F27</f>
        <v>-</v>
      </c>
      <c r="G69" s="15" t="str">
        <f>G27</f>
        <v>계약</v>
      </c>
      <c r="H69" s="15" t="str">
        <f>H27</f>
        <v>A 계약·기존 거래</v>
      </c>
      <c r="I69" s="15" t="str">
        <f>I27</f>
        <v>SUB</v>
      </c>
      <c r="J69" s="15" t="str">
        <f>J27</f>
        <v>M</v>
      </c>
      <c r="K69" s="65">
        <f>INDEX('8_가정'!$C$17:$E$24,MATCH($G27,'8_가정'!$A$17:$A$24,0),'1_요약'!$C$5)</f>
        <v>1</v>
      </c>
      <c r="L69" s="69">
        <f>IF($T27="Y",INDEX('8_가정'!$F$17:$H$24,MATCH($G27,'8_가정'!$A$17:$A$24,0),'1_요약'!$C$5),0)</f>
        <v>0</v>
      </c>
      <c r="X69" s="18">
        <f>IF(X$6&lt;='8_가정'!$C$32,X27,$K69*IF(X$6-$L69&gt;'8_가정'!$C$32,INDEX($X27:$AU27,X$6-$L69),0))</f>
        <v>0</v>
      </c>
      <c r="Y69" s="18">
        <f>IF(Y$6&lt;='8_가정'!$C$32,Y27,$K69*IF(Y$6-$L69&gt;'8_가정'!$C$32,INDEX($X27:$AU27,Y$6-$L69),0))</f>
        <v>0</v>
      </c>
      <c r="Z69" s="18">
        <f>IF(Z$6&lt;='8_가정'!$C$32,Z27,$K69*IF(Z$6-$L69&gt;'8_가정'!$C$32,INDEX($X27:$AU27,Z$6-$L69),0))</f>
        <v>0</v>
      </c>
      <c r="AA69" s="18">
        <f>IF(AA$6&lt;='8_가정'!$C$32,AA27,$K69*IF(AA$6-$L69&gt;'8_가정'!$C$32,INDEX($X27:$AU27,AA$6-$L69),0))</f>
        <v>0</v>
      </c>
      <c r="AB69" s="18">
        <f>IF(AB$6&lt;='8_가정'!$C$32,AB27,$K69*IF(AB$6-$L69&gt;'8_가정'!$C$32,INDEX($X27:$AU27,AB$6-$L69),0))</f>
        <v>0</v>
      </c>
      <c r="AC69" s="18">
        <f>IF(AC$6&lt;='8_가정'!$C$32,AC27,$K69*IF(AC$6-$L69&gt;'8_가정'!$C$32,INDEX($X27:$AU27,AC$6-$L69),0))</f>
        <v>0</v>
      </c>
      <c r="AD69" s="18">
        <f>IF(AD$6&lt;='8_가정'!$C$32,AD27,$K69*IF(AD$6-$L69&gt;'8_가정'!$C$32,INDEX($X27:$AU27,AD$6-$L69),0))</f>
        <v>0</v>
      </c>
      <c r="AE69" s="18">
        <f>IF(AE$6&lt;='8_가정'!$C$32,AE27,$K69*IF(AE$6-$L69&gt;'8_가정'!$C$32,INDEX($X27:$AU27,AE$6-$L69),0))</f>
        <v>0</v>
      </c>
      <c r="AF69" s="18">
        <f>IF(AF$6&lt;='8_가정'!$C$32,AF27,$K69*IF(AF$6-$L69&gt;'8_가정'!$C$32,INDEX($X27:$AU27,AF$6-$L69),0))</f>
        <v>0</v>
      </c>
      <c r="AG69" s="18">
        <f>IF(AG$6&lt;='8_가정'!$C$32,AG27,$K69*IF(AG$6-$L69&gt;'8_가정'!$C$32,INDEX($X27:$AU27,AG$6-$L69),0))</f>
        <v>0</v>
      </c>
      <c r="AH69" s="18">
        <f>IF(AH$6&lt;='8_가정'!$C$32,AH27,$K69*IF(AH$6-$L69&gt;'8_가정'!$C$32,INDEX($X27:$AU27,AH$6-$L69),0))</f>
        <v>200000</v>
      </c>
      <c r="AI69" s="18">
        <f>IF(AI$6&lt;='8_가정'!$C$32,AI27,$K69*IF(AI$6-$L69&gt;'8_가정'!$C$32,INDEX($X27:$AU27,AI$6-$L69),0))</f>
        <v>200000</v>
      </c>
      <c r="AJ69" s="18">
        <f>IF(AJ$6&lt;='8_가정'!$C$32,AJ27,$K69*IF(AJ$6-$L69&gt;'8_가정'!$C$32,INDEX($X27:$AU27,AJ$6-$L69),0))</f>
        <v>100000</v>
      </c>
      <c r="AK69" s="18">
        <f>IF(AK$6&lt;='8_가정'!$C$32,AK27,$K69*IF(AK$6-$L69&gt;'8_가정'!$C$32,INDEX($X27:$AU27,AK$6-$L69),0))</f>
        <v>100000</v>
      </c>
      <c r="AL69" s="18">
        <f>IF(AL$6&lt;='8_가정'!$C$32,AL27,$K69*IF(AL$6-$L69&gt;'8_가정'!$C$32,INDEX($X27:$AU27,AL$6-$L69),0))</f>
        <v>100000</v>
      </c>
      <c r="AM69" s="18">
        <f>IF(AM$6&lt;='8_가정'!$C$32,AM27,$K69*IF(AM$6-$L69&gt;'8_가정'!$C$32,INDEX($X27:$AU27,AM$6-$L69),0))</f>
        <v>100000</v>
      </c>
      <c r="AN69" s="18">
        <f>IF(AN$6&lt;='8_가정'!$C$32,AN27,$K69*IF(AN$6-$L69&gt;'8_가정'!$C$32,INDEX($X27:$AU27,AN$6-$L69),0))</f>
        <v>100000</v>
      </c>
      <c r="AO69" s="18">
        <f>IF(AO$6&lt;='8_가정'!$C$32,AO27,$K69*IF(AO$6-$L69&gt;'8_가정'!$C$32,INDEX($X27:$AU27,AO$6-$L69),0))</f>
        <v>100000</v>
      </c>
      <c r="AP69" s="18">
        <f>IF(AP$6&lt;='8_가정'!$C$32,AP27,$K69*IF(AP$6-$L69&gt;'8_가정'!$C$32,INDEX($X27:$AU27,AP$6-$L69),0))</f>
        <v>100000</v>
      </c>
      <c r="AQ69" s="18">
        <f>IF(AQ$6&lt;='8_가정'!$C$32,AQ27,$K69*IF(AQ$6-$L69&gt;'8_가정'!$C$32,INDEX($X27:$AU27,AQ$6-$L69),0))</f>
        <v>100000</v>
      </c>
      <c r="AR69" s="18">
        <f>IF(AR$6&lt;='8_가정'!$C$32,AR27,$K69*IF(AR$6-$L69&gt;'8_가정'!$C$32,INDEX($X27:$AU27,AR$6-$L69),0))</f>
        <v>100000</v>
      </c>
      <c r="AS69" s="18">
        <f>IF(AS$6&lt;='8_가정'!$C$32,AS27,$K69*IF(AS$6-$L69&gt;'8_가정'!$C$32,INDEX($X27:$AU27,AS$6-$L69),0))</f>
        <v>100000</v>
      </c>
      <c r="AT69" s="18">
        <f>IF(AT$6&lt;='8_가정'!$C$32,AT27,$K69*IF(AT$6-$L69&gt;'8_가정'!$C$32,INDEX($X27:$AU27,AT$6-$L69),0))</f>
        <v>100000</v>
      </c>
      <c r="AU69" s="18">
        <f>IF(AU$6&lt;='8_가정'!$C$32,AU27,$K69*IF(AU$6-$L69&gt;'8_가정'!$C$32,INDEX($X27:$AU27,AU$6-$L69),0))</f>
        <v>100000</v>
      </c>
      <c r="AV69" s="23">
        <f>SUM(X69:AI69)</f>
        <v>400000</v>
      </c>
      <c r="AW69" s="23">
        <f>SUM(AJ69:AU69)</f>
        <v>1200000</v>
      </c>
      <c r="AX69" s="24">
        <f>$K69*$O27*(1+IF($P27&gt;0,$P27*'8_가정'!$G$27,$P27))</f>
        <v>1968000</v>
      </c>
      <c r="AY69" s="24">
        <f>$K69*$O27*(1+IF($P27&gt;0,$P27*'8_가정'!$G$27,$P27))*(1+IF($Q27&gt;0,$Q27*'8_가정'!$G$27,$Q27))</f>
        <v>2558400</v>
      </c>
      <c r="AZ69" s="24">
        <f>$K69*$O27*(1+IF($P27&gt;0,$P27*'8_가정'!$G$27,$P27))*(1+IF($Q27&gt;0,$Q27*'8_가정'!$G$27,$Q27))*(1+IF($R27&gt;0,$R27*'8_가정'!$G$27,$R27))</f>
        <v>3070080</v>
      </c>
      <c r="BA69" s="25">
        <f>SUM(AV69:AZ69)</f>
        <v>9196480</v>
      </c>
    </row>
    <row r="70">
      <c r="A70" s="7">
        <f>A28</f>
        <v>19</v>
      </c>
      <c r="B70" s="15" t="str">
        <f>B28</f>
        <v>일본</v>
      </c>
      <c r="C70" s="15" t="str">
        <f>C28</f>
        <v>일본</v>
      </c>
      <c r="D70" s="15" t="str">
        <f>D28</f>
        <v>일본 하트키움(HEARTCARE 오사카 요양시설)</v>
      </c>
      <c r="E70" s="15" t="str">
        <f>E28</f>
        <v>총판</v>
      </c>
      <c r="F70" s="15" t="str">
        <f>F28</f>
        <v>-</v>
      </c>
      <c r="G70" s="15" t="str">
        <f>G28</f>
        <v>계약</v>
      </c>
      <c r="H70" s="15" t="str">
        <f>H28</f>
        <v>A 계약·기존 거래</v>
      </c>
      <c r="I70" s="15" t="str">
        <f>I28</f>
        <v>DIST</v>
      </c>
      <c r="J70" s="15" t="str">
        <f>J28</f>
        <v>M</v>
      </c>
      <c r="K70" s="65">
        <f>INDEX('8_가정'!$C$17:$E$24,MATCH($G28,'8_가정'!$A$17:$A$24,0),'1_요약'!$C$5)</f>
        <v>1</v>
      </c>
      <c r="L70" s="69">
        <f>IF($T28="Y",INDEX('8_가정'!$F$17:$H$24,MATCH($G28,'8_가정'!$A$17:$A$24,0),'1_요약'!$C$5),0)</f>
        <v>0</v>
      </c>
      <c r="X70" s="18">
        <f>IF(X$6&lt;='8_가정'!$C$32,X28,$K70*IF(X$6-$L70&gt;'8_가정'!$C$32,INDEX($X28:$AU28,X$6-$L70),0))</f>
        <v>0</v>
      </c>
      <c r="Y70" s="18">
        <f>IF(Y$6&lt;='8_가정'!$C$32,Y28,$K70*IF(Y$6-$L70&gt;'8_가정'!$C$32,INDEX($X28:$AU28,Y$6-$L70),0))</f>
        <v>0</v>
      </c>
      <c r="Z70" s="18">
        <f>IF(Z$6&lt;='8_가정'!$C$32,Z28,$K70*IF(Z$6-$L70&gt;'8_가정'!$C$32,INDEX($X28:$AU28,Z$6-$L70),0))</f>
        <v>0</v>
      </c>
      <c r="AA70" s="18">
        <f>IF(AA$6&lt;='8_가정'!$C$32,AA28,$K70*IF(AA$6-$L70&gt;'8_가정'!$C$32,INDEX($X28:$AU28,AA$6-$L70),0))</f>
        <v>0</v>
      </c>
      <c r="AB70" s="18">
        <f>IF(AB$6&lt;='8_가정'!$C$32,AB28,$K70*IF(AB$6-$L70&gt;'8_가정'!$C$32,INDEX($X28:$AU28,AB$6-$L70),0))</f>
        <v>0</v>
      </c>
      <c r="AC70" s="18">
        <f>IF(AC$6&lt;='8_가정'!$C$32,AC28,$K70*IF(AC$6-$L70&gt;'8_가정'!$C$32,INDEX($X28:$AU28,AC$6-$L70),0))</f>
        <v>0</v>
      </c>
      <c r="AD70" s="18">
        <f>IF(AD$6&lt;='8_가정'!$C$32,AD28,$K70*IF(AD$6-$L70&gt;'8_가정'!$C$32,INDEX($X28:$AU28,AD$6-$L70),0))</f>
        <v>0</v>
      </c>
      <c r="AE70" s="18">
        <f>IF(AE$6&lt;='8_가정'!$C$32,AE28,$K70*IF(AE$6-$L70&gt;'8_가정'!$C$32,INDEX($X28:$AU28,AE$6-$L70),0))</f>
        <v>0</v>
      </c>
      <c r="AF70" s="18">
        <f>IF(AF$6&lt;='8_가정'!$C$32,AF28,$K70*IF(AF$6-$L70&gt;'8_가정'!$C$32,INDEX($X28:$AU28,AF$6-$L70),0))</f>
        <v>0</v>
      </c>
      <c r="AG70" s="18">
        <f>IF(AG$6&lt;='8_가정'!$C$32,AG28,$K70*IF(AG$6-$L70&gt;'8_가정'!$C$32,INDEX($X28:$AU28,AG$6-$L70),0))</f>
        <v>0</v>
      </c>
      <c r="AH70" s="18">
        <f>IF(AH$6&lt;='8_가정'!$C$32,AH28,$K70*IF(AH$6-$L70&gt;'8_가정'!$C$32,INDEX($X28:$AU28,AH$6-$L70),0))</f>
        <v>0</v>
      </c>
      <c r="AI70" s="18">
        <f>IF(AI$6&lt;='8_가정'!$C$32,AI28,$K70*IF(AI$6-$L70&gt;'8_가정'!$C$32,INDEX($X28:$AU28,AI$6-$L70),0))</f>
        <v>0</v>
      </c>
      <c r="AJ70" s="18">
        <f>IF(AJ$6&lt;='8_가정'!$C$32,AJ28,$K70*IF(AJ$6-$L70&gt;'8_가정'!$C$32,INDEX($X28:$AU28,AJ$6-$L70),0))</f>
        <v>0</v>
      </c>
      <c r="AK70" s="18">
        <f>IF(AK$6&lt;='8_가정'!$C$32,AK28,$K70*IF(AK$6-$L70&gt;'8_가정'!$C$32,INDEX($X28:$AU28,AK$6-$L70),0))</f>
        <v>0</v>
      </c>
      <c r="AL70" s="18">
        <f>IF(AL$6&lt;='8_가정'!$C$32,AL28,$K70*IF(AL$6-$L70&gt;'8_가정'!$C$32,INDEX($X28:$AU28,AL$6-$L70),0))</f>
        <v>120000</v>
      </c>
      <c r="AM70" s="18">
        <f>IF(AM$6&lt;='8_가정'!$C$32,AM28,$K70*IF(AM$6-$L70&gt;'8_가정'!$C$32,INDEX($X28:$AU28,AM$6-$L70),0))</f>
        <v>0</v>
      </c>
      <c r="AN70" s="18">
        <f>IF(AN$6&lt;='8_가정'!$C$32,AN28,$K70*IF(AN$6-$L70&gt;'8_가정'!$C$32,INDEX($X28:$AU28,AN$6-$L70),0))</f>
        <v>0</v>
      </c>
      <c r="AO70" s="18">
        <f>IF(AO$6&lt;='8_가정'!$C$32,AO28,$K70*IF(AO$6-$L70&gt;'8_가정'!$C$32,INDEX($X28:$AU28,AO$6-$L70),0))</f>
        <v>0</v>
      </c>
      <c r="AP70" s="18">
        <f>IF(AP$6&lt;='8_가정'!$C$32,AP28,$K70*IF(AP$6-$L70&gt;'8_가정'!$C$32,INDEX($X28:$AU28,AP$6-$L70),0))</f>
        <v>120000</v>
      </c>
      <c r="AQ70" s="18">
        <f>IF(AQ$6&lt;='8_가정'!$C$32,AQ28,$K70*IF(AQ$6-$L70&gt;'8_가정'!$C$32,INDEX($X28:$AU28,AQ$6-$L70),0))</f>
        <v>0</v>
      </c>
      <c r="AR70" s="18">
        <f>IF(AR$6&lt;='8_가정'!$C$32,AR28,$K70*IF(AR$6-$L70&gt;'8_가정'!$C$32,INDEX($X28:$AU28,AR$6-$L70),0))</f>
        <v>0</v>
      </c>
      <c r="AS70" s="18">
        <f>IF(AS$6&lt;='8_가정'!$C$32,AS28,$K70*IF(AS$6-$L70&gt;'8_가정'!$C$32,INDEX($X28:$AU28,AS$6-$L70),0))</f>
        <v>0</v>
      </c>
      <c r="AT70" s="18">
        <f>IF(AT$6&lt;='8_가정'!$C$32,AT28,$K70*IF(AT$6-$L70&gt;'8_가정'!$C$32,INDEX($X28:$AU28,AT$6-$L70),0))</f>
        <v>120000</v>
      </c>
      <c r="AU70" s="18">
        <f>IF(AU$6&lt;='8_가정'!$C$32,AU28,$K70*IF(AU$6-$L70&gt;'8_가정'!$C$32,INDEX($X28:$AU28,AU$6-$L70),0))</f>
        <v>0</v>
      </c>
      <c r="AV70" s="23">
        <f>SUM(X70:AI70)</f>
        <v>0</v>
      </c>
      <c r="AW70" s="23">
        <f>SUM(AJ70:AU70)</f>
        <v>360000</v>
      </c>
      <c r="AX70" s="24">
        <f>$K70*$O28*(1+IF($P28&gt;0,$P28*'8_가정'!$G$27,$P28))</f>
        <v>1051200</v>
      </c>
      <c r="AY70" s="24">
        <f>$K70*$O28*(1+IF($P28&gt;0,$P28*'8_가정'!$G$27,$P28))*(1+IF($Q28&gt;0,$Q28*'8_가정'!$G$27,$Q28))</f>
        <v>1997280</v>
      </c>
      <c r="AZ70" s="24">
        <f>$K70*$O28*(1+IF($P28&gt;0,$P28*'8_가정'!$G$27,$P28))*(1+IF($Q28&gt;0,$Q28*'8_가정'!$G$27,$Q28))*(1+IF($R28&gt;0,$R28*'8_가정'!$G$27,$R28))</f>
        <v>2955974.4</v>
      </c>
      <c r="BA70" s="25">
        <f>SUM(AV70:AZ70)</f>
        <v>6364454.4</v>
      </c>
    </row>
    <row r="71">
      <c r="A71" s="7">
        <f>A29</f>
        <v>20</v>
      </c>
      <c r="B71" s="15" t="str">
        <f>B29</f>
        <v>일본</v>
      </c>
      <c r="C71" s="15" t="str">
        <f>C29</f>
        <v>일본</v>
      </c>
      <c r="D71" s="15" t="str">
        <f>D29</f>
        <v>일본 TAIS by JAIS</v>
      </c>
      <c r="E71" s="15" t="str">
        <f>E29</f>
        <v>B2G·제도</v>
      </c>
      <c r="F71" s="15" t="str">
        <f>F29</f>
        <v>-</v>
      </c>
      <c r="G71" s="15" t="str">
        <f>G29</f>
        <v>등록완료</v>
      </c>
      <c r="H71" s="15" t="str">
        <f>H29</f>
        <v>B 등록·입찰·협의 단계</v>
      </c>
      <c r="I71" s="15" t="str">
        <f>I29</f>
        <v>SUB</v>
      </c>
      <c r="J71" s="15" t="str">
        <f>J29</f>
        <v>M</v>
      </c>
      <c r="K71" s="65">
        <f>INDEX('8_가정'!$C$17:$E$24,MATCH($G29,'8_가정'!$A$17:$A$24,0),'1_요약'!$C$5)</f>
        <v>1</v>
      </c>
      <c r="L71" s="69">
        <f>IF($T29="Y",INDEX('8_가정'!$F$17:$H$24,MATCH($G29,'8_가정'!$A$17:$A$24,0),'1_요약'!$C$5),0)</f>
        <v>0</v>
      </c>
      <c r="X71" s="18">
        <f>IF(X$6&lt;='8_가정'!$C$32,X29,$K71*IF(X$6-$L71&gt;'8_가정'!$C$32,INDEX($X29:$AU29,X$6-$L71),0))</f>
        <v>0</v>
      </c>
      <c r="Y71" s="18">
        <f>IF(Y$6&lt;='8_가정'!$C$32,Y29,$K71*IF(Y$6-$L71&gt;'8_가정'!$C$32,INDEX($X29:$AU29,Y$6-$L71),0))</f>
        <v>0</v>
      </c>
      <c r="Z71" s="18">
        <f>IF(Z$6&lt;='8_가정'!$C$32,Z29,$K71*IF(Z$6-$L71&gt;'8_가정'!$C$32,INDEX($X29:$AU29,Z$6-$L71),0))</f>
        <v>0</v>
      </c>
      <c r="AA71" s="18">
        <f>IF(AA$6&lt;='8_가정'!$C$32,AA29,$K71*IF(AA$6-$L71&gt;'8_가정'!$C$32,INDEX($X29:$AU29,AA$6-$L71),0))</f>
        <v>0</v>
      </c>
      <c r="AB71" s="18">
        <f>IF(AB$6&lt;='8_가정'!$C$32,AB29,$K71*IF(AB$6-$L71&gt;'8_가정'!$C$32,INDEX($X29:$AU29,AB$6-$L71),0))</f>
        <v>0</v>
      </c>
      <c r="AC71" s="18">
        <f>IF(AC$6&lt;='8_가정'!$C$32,AC29,$K71*IF(AC$6-$L71&gt;'8_가정'!$C$32,INDEX($X29:$AU29,AC$6-$L71),0))</f>
        <v>0</v>
      </c>
      <c r="AD71" s="18">
        <f>IF(AD$6&lt;='8_가정'!$C$32,AD29,$K71*IF(AD$6-$L71&gt;'8_가정'!$C$32,INDEX($X29:$AU29,AD$6-$L71),0))</f>
        <v>0</v>
      </c>
      <c r="AE71" s="18">
        <f>IF(AE$6&lt;='8_가정'!$C$32,AE29,$K71*IF(AE$6-$L71&gt;'8_가정'!$C$32,INDEX($X29:$AU29,AE$6-$L71),0))</f>
        <v>0</v>
      </c>
      <c r="AF71" s="18">
        <f>IF(AF$6&lt;='8_가정'!$C$32,AF29,$K71*IF(AF$6-$L71&gt;'8_가정'!$C$32,INDEX($X29:$AU29,AF$6-$L71),0))</f>
        <v>0</v>
      </c>
      <c r="AG71" s="18">
        <f>IF(AG$6&lt;='8_가정'!$C$32,AG29,$K71*IF(AG$6-$L71&gt;'8_가정'!$C$32,INDEX($X29:$AU29,AG$6-$L71),0))</f>
        <v>0</v>
      </c>
      <c r="AH71" s="18">
        <f>IF(AH$6&lt;='8_가정'!$C$32,AH29,$K71*IF(AH$6-$L71&gt;'8_가정'!$C$32,INDEX($X29:$AU29,AH$6-$L71),0))</f>
        <v>0</v>
      </c>
      <c r="AI71" s="18">
        <f>IF(AI$6&lt;='8_가정'!$C$32,AI29,$K71*IF(AI$6-$L71&gt;'8_가정'!$C$32,INDEX($X29:$AU29,AI$6-$L71),0))</f>
        <v>0</v>
      </c>
      <c r="AJ71" s="18">
        <f>IF(AJ$6&lt;='8_가정'!$C$32,AJ29,$K71*IF(AJ$6-$L71&gt;'8_가정'!$C$32,INDEX($X29:$AU29,AJ$6-$L71),0))</f>
        <v>0</v>
      </c>
      <c r="AK71" s="18">
        <f>IF(AK$6&lt;='8_가정'!$C$32,AK29,$K71*IF(AK$6-$L71&gt;'8_가정'!$C$32,INDEX($X29:$AU29,AK$6-$L71),0))</f>
        <v>80000</v>
      </c>
      <c r="AL71" s="18">
        <f>IF(AL$6&lt;='8_가정'!$C$32,AL29,$K71*IF(AL$6-$L71&gt;'8_가정'!$C$32,INDEX($X29:$AU29,AL$6-$L71),0))</f>
        <v>0</v>
      </c>
      <c r="AM71" s="18">
        <f>IF(AM$6&lt;='8_가정'!$C$32,AM29,$K71*IF(AM$6-$L71&gt;'8_가정'!$C$32,INDEX($X29:$AU29,AM$6-$L71),0))</f>
        <v>0</v>
      </c>
      <c r="AN71" s="18">
        <f>IF(AN$6&lt;='8_가정'!$C$32,AN29,$K71*IF(AN$6-$L71&gt;'8_가정'!$C$32,INDEX($X29:$AU29,AN$6-$L71),0))</f>
        <v>0</v>
      </c>
      <c r="AO71" s="18">
        <f>IF(AO$6&lt;='8_가정'!$C$32,AO29,$K71*IF(AO$6-$L71&gt;'8_가정'!$C$32,INDEX($X29:$AU29,AO$6-$L71),0))</f>
        <v>80000</v>
      </c>
      <c r="AP71" s="18">
        <f>IF(AP$6&lt;='8_가정'!$C$32,AP29,$K71*IF(AP$6-$L71&gt;'8_가정'!$C$32,INDEX($X29:$AU29,AP$6-$L71),0))</f>
        <v>0</v>
      </c>
      <c r="AQ71" s="18">
        <f>IF(AQ$6&lt;='8_가정'!$C$32,AQ29,$K71*IF(AQ$6-$L71&gt;'8_가정'!$C$32,INDEX($X29:$AU29,AQ$6-$L71),0))</f>
        <v>0</v>
      </c>
      <c r="AR71" s="18">
        <f>IF(AR$6&lt;='8_가정'!$C$32,AR29,$K71*IF(AR$6-$L71&gt;'8_가정'!$C$32,INDEX($X29:$AU29,AR$6-$L71),0))</f>
        <v>0</v>
      </c>
      <c r="AS71" s="18">
        <f>IF(AS$6&lt;='8_가정'!$C$32,AS29,$K71*IF(AS$6-$L71&gt;'8_가정'!$C$32,INDEX($X29:$AU29,AS$6-$L71),0))</f>
        <v>80000</v>
      </c>
      <c r="AT71" s="18">
        <f>IF(AT$6&lt;='8_가정'!$C$32,AT29,$K71*IF(AT$6-$L71&gt;'8_가정'!$C$32,INDEX($X29:$AU29,AT$6-$L71),0))</f>
        <v>0</v>
      </c>
      <c r="AU71" s="18">
        <f>IF(AU$6&lt;='8_가정'!$C$32,AU29,$K71*IF(AU$6-$L71&gt;'8_가정'!$C$32,INDEX($X29:$AU29,AU$6-$L71),0))</f>
        <v>0</v>
      </c>
      <c r="AV71" s="23">
        <f>SUM(X71:AI71)</f>
        <v>0</v>
      </c>
      <c r="AW71" s="23">
        <f>SUM(AJ71:AU71)</f>
        <v>240000</v>
      </c>
      <c r="AX71" s="24">
        <f>$K71*$O29*(1+IF($P29&gt;0,$P29*'8_가정'!$G$27,$P29))</f>
        <v>1392000</v>
      </c>
      <c r="AY71" s="24">
        <f>$K71*$O29*(1+IF($P29&gt;0,$P29*'8_가정'!$G$27,$P29))*(1+IF($Q29&gt;0,$Q29*'8_가정'!$G$27,$Q29))</f>
        <v>3062400</v>
      </c>
      <c r="AZ71" s="24">
        <f>$K71*$O29*(1+IF($P29&gt;0,$P29*'8_가정'!$G$27,$P29))*(1+IF($Q29&gt;0,$Q29*'8_가정'!$G$27,$Q29))*(1+IF($R29&gt;0,$R29*'8_가정'!$G$27,$R29))</f>
        <v>5022336</v>
      </c>
      <c r="BA71" s="25">
        <f>SUM(AV71:AZ71)</f>
        <v>9716736</v>
      </c>
    </row>
    <row r="72">
      <c r="A72" s="7">
        <f>A30</f>
        <v>21</v>
      </c>
      <c r="B72" s="15" t="str">
        <f>B30</f>
        <v>해외</v>
      </c>
      <c r="C72" s="15" t="str">
        <f>C30</f>
        <v>동남아·APAC</v>
      </c>
      <c r="D72" s="15" t="str">
        <f>D30</f>
        <v>해외 샘플</v>
      </c>
      <c r="E72" s="15" t="str">
        <f>E30</f>
        <v>기타</v>
      </c>
      <c r="F72" s="15" t="str">
        <f>F30</f>
        <v>-</v>
      </c>
      <c r="G72" s="15" t="str">
        <f>G30</f>
        <v>기존</v>
      </c>
      <c r="H72" s="15" t="str">
        <f>H30</f>
        <v>A 계약·기존 거래</v>
      </c>
      <c r="I72" s="15" t="str">
        <f>I30</f>
        <v>DIST</v>
      </c>
      <c r="J72" s="15" t="str">
        <f>J30</f>
        <v>M</v>
      </c>
      <c r="K72" s="65">
        <f>INDEX('8_가정'!$C$17:$E$24,MATCH($G30,'8_가정'!$A$17:$A$24,0),'1_요약'!$C$5)</f>
        <v>1</v>
      </c>
      <c r="L72" s="69">
        <f>IF($T30="Y",INDEX('8_가정'!$F$17:$H$24,MATCH($G30,'8_가정'!$A$17:$A$24,0),'1_요약'!$C$5),0)</f>
        <v>0</v>
      </c>
      <c r="X72" s="18">
        <f>IF(X$6&lt;='8_가정'!$C$32,X30,$K72*IF(X$6-$L72&gt;'8_가정'!$C$32,INDEX($X30:$AU30,X$6-$L72),0))</f>
        <v>0</v>
      </c>
      <c r="Y72" s="18">
        <f>IF(Y$6&lt;='8_가정'!$C$32,Y30,$K72*IF(Y$6-$L72&gt;'8_가정'!$C$32,INDEX($X30:$AU30,Y$6-$L72),0))</f>
        <v>0</v>
      </c>
      <c r="Z72" s="18">
        <f>IF(Z$6&lt;='8_가정'!$C$32,Z30,$K72*IF(Z$6-$L72&gt;'8_가정'!$C$32,INDEX($X30:$AU30,Z$6-$L72),0))</f>
        <v>0</v>
      </c>
      <c r="AA72" s="18">
        <f>IF(AA$6&lt;='8_가정'!$C$32,AA30,$K72*IF(AA$6-$L72&gt;'8_가정'!$C$32,INDEX($X30:$AU30,AA$6-$L72),0))</f>
        <v>0</v>
      </c>
      <c r="AB72" s="18">
        <f>IF(AB$6&lt;='8_가정'!$C$32,AB30,$K72*IF(AB$6-$L72&gt;'8_가정'!$C$32,INDEX($X30:$AU30,AB$6-$L72),0))</f>
        <v>0</v>
      </c>
      <c r="AC72" s="18">
        <f>IF(AC$6&lt;='8_가정'!$C$32,AC30,$K72*IF(AC$6-$L72&gt;'8_가정'!$C$32,INDEX($X30:$AU30,AC$6-$L72),0))</f>
        <v>0</v>
      </c>
      <c r="AD72" s="18">
        <f>IF(AD$6&lt;='8_가정'!$C$32,AD30,$K72*IF(AD$6-$L72&gt;'8_가정'!$C$32,INDEX($X30:$AU30,AD$6-$L72),0))</f>
        <v>642</v>
      </c>
      <c r="AE72" s="18">
        <f>IF(AE$6&lt;='8_가정'!$C$32,AE30,$K72*IF(AE$6-$L72&gt;'8_가정'!$C$32,INDEX($X30:$AU30,AE$6-$L72),0))</f>
        <v>0</v>
      </c>
      <c r="AF72" s="18">
        <f>IF(AF$6&lt;='8_가정'!$C$32,AF30,$K72*IF(AF$6-$L72&gt;'8_가정'!$C$32,INDEX($X30:$AU30,AF$6-$L72),0))</f>
        <v>1903</v>
      </c>
      <c r="AG72" s="18">
        <f>IF(AG$6&lt;='8_가정'!$C$32,AG30,$K72*IF(AG$6-$L72&gt;'8_가정'!$C$32,INDEX($X30:$AU30,AG$6-$L72),0))</f>
        <v>0</v>
      </c>
      <c r="AH72" s="18">
        <f>IF(AH$6&lt;='8_가정'!$C$32,AH30,$K72*IF(AH$6-$L72&gt;'8_가정'!$C$32,INDEX($X30:$AU30,AH$6-$L72),0))</f>
        <v>0</v>
      </c>
      <c r="AI72" s="18">
        <f>IF(AI$6&lt;='8_가정'!$C$32,AI30,$K72*IF(AI$6-$L72&gt;'8_가정'!$C$32,INDEX($X30:$AU30,AI$6-$L72),0))</f>
        <v>0</v>
      </c>
      <c r="AJ72" s="18">
        <f>IF(AJ$6&lt;='8_가정'!$C$32,AJ30,$K72*IF(AJ$6-$L72&gt;'8_가정'!$C$32,INDEX($X30:$AU30,AJ$6-$L72),0))</f>
        <v>0</v>
      </c>
      <c r="AK72" s="18">
        <f>IF(AK$6&lt;='8_가정'!$C$32,AK30,$K72*IF(AK$6-$L72&gt;'8_가정'!$C$32,INDEX($X30:$AU30,AK$6-$L72),0))</f>
        <v>0</v>
      </c>
      <c r="AL72" s="18">
        <f>IF(AL$6&lt;='8_가정'!$C$32,AL30,$K72*IF(AL$6-$L72&gt;'8_가정'!$C$32,INDEX($X30:$AU30,AL$6-$L72),0))</f>
        <v>0</v>
      </c>
      <c r="AM72" s="18">
        <f>IF(AM$6&lt;='8_가정'!$C$32,AM30,$K72*IF(AM$6-$L72&gt;'8_가정'!$C$32,INDEX($X30:$AU30,AM$6-$L72),0))</f>
        <v>0</v>
      </c>
      <c r="AN72" s="18">
        <f>IF(AN$6&lt;='8_가정'!$C$32,AN30,$K72*IF(AN$6-$L72&gt;'8_가정'!$C$32,INDEX($X30:$AU30,AN$6-$L72),0))</f>
        <v>0</v>
      </c>
      <c r="AO72" s="18">
        <f>IF(AO$6&lt;='8_가정'!$C$32,AO30,$K72*IF(AO$6-$L72&gt;'8_가정'!$C$32,INDEX($X30:$AU30,AO$6-$L72),0))</f>
        <v>0</v>
      </c>
      <c r="AP72" s="18">
        <f>IF(AP$6&lt;='8_가정'!$C$32,AP30,$K72*IF(AP$6-$L72&gt;'8_가정'!$C$32,INDEX($X30:$AU30,AP$6-$L72),0))</f>
        <v>0</v>
      </c>
      <c r="AQ72" s="18">
        <f>IF(AQ$6&lt;='8_가정'!$C$32,AQ30,$K72*IF(AQ$6-$L72&gt;'8_가정'!$C$32,INDEX($X30:$AU30,AQ$6-$L72),0))</f>
        <v>0</v>
      </c>
      <c r="AR72" s="18">
        <f>IF(AR$6&lt;='8_가정'!$C$32,AR30,$K72*IF(AR$6-$L72&gt;'8_가정'!$C$32,INDEX($X30:$AU30,AR$6-$L72),0))</f>
        <v>0</v>
      </c>
      <c r="AS72" s="18">
        <f>IF(AS$6&lt;='8_가정'!$C$32,AS30,$K72*IF(AS$6-$L72&gt;'8_가정'!$C$32,INDEX($X30:$AU30,AS$6-$L72),0))</f>
        <v>0</v>
      </c>
      <c r="AT72" s="18">
        <f>IF(AT$6&lt;='8_가정'!$C$32,AT30,$K72*IF(AT$6-$L72&gt;'8_가정'!$C$32,INDEX($X30:$AU30,AT$6-$L72),0))</f>
        <v>0</v>
      </c>
      <c r="AU72" s="18">
        <f>IF(AU$6&lt;='8_가정'!$C$32,AU30,$K72*IF(AU$6-$L72&gt;'8_가정'!$C$32,INDEX($X30:$AU30,AU$6-$L72),0))</f>
        <v>0</v>
      </c>
      <c r="AV72" s="23">
        <f>SUM(X72:AI72)</f>
        <v>2545</v>
      </c>
      <c r="AW72" s="23">
        <f>SUM(AJ72:AU72)</f>
        <v>0</v>
      </c>
      <c r="AX72" s="24">
        <f>$K72*$O30*(1+IF($P30&gt;0,$P30*'8_가정'!$G$27,$P30))</f>
        <v>0</v>
      </c>
      <c r="AY72" s="24">
        <f>$K72*$O30*(1+IF($P30&gt;0,$P30*'8_가정'!$G$27,$P30))*(1+IF($Q30&gt;0,$Q30*'8_가정'!$G$27,$Q30))</f>
        <v>0</v>
      </c>
      <c r="AZ72" s="24">
        <f>$K72*$O30*(1+IF($P30&gt;0,$P30*'8_가정'!$G$27,$P30))*(1+IF($Q30&gt;0,$Q30*'8_가정'!$G$27,$Q30))*(1+IF($R30&gt;0,$R30*'8_가정'!$G$27,$R30))</f>
        <v>0</v>
      </c>
      <c r="BA72" s="25">
        <f>SUM(AV72:AZ72)</f>
        <v>2545</v>
      </c>
    </row>
    <row r="73">
      <c r="A73" s="7">
        <f>A31</f>
        <v>22</v>
      </c>
      <c r="B73" s="15" t="str">
        <f>B31</f>
        <v>네덜란드</v>
      </c>
      <c r="C73" s="15" t="str">
        <f>C31</f>
        <v>유럽</v>
      </c>
      <c r="D73" s="15" t="str">
        <f>D31</f>
        <v>Green Initiative(GIV, 네덜란드·룩셈부르크·독일·폴란드)</v>
      </c>
      <c r="E73" s="15" t="str">
        <f>E31</f>
        <v>총판</v>
      </c>
      <c r="F73" s="15" t="str">
        <f>F31</f>
        <v>-</v>
      </c>
      <c r="G73" s="15" t="str">
        <f>G31</f>
        <v>계약</v>
      </c>
      <c r="H73" s="15" t="str">
        <f>H31</f>
        <v>A 계약·기존 거래</v>
      </c>
      <c r="I73" s="15" t="str">
        <f>I31</f>
        <v>DIST</v>
      </c>
      <c r="J73" s="15" t="str">
        <f>J31</f>
        <v>M</v>
      </c>
      <c r="K73" s="65">
        <f>INDEX('8_가정'!$C$17:$E$24,MATCH($G31,'8_가정'!$A$17:$A$24,0),'1_요약'!$C$5)</f>
        <v>1</v>
      </c>
      <c r="L73" s="69">
        <f>IF($T31="Y",INDEX('8_가정'!$F$17:$H$24,MATCH($G31,'8_가정'!$A$17:$A$24,0),'1_요약'!$C$5),0)</f>
        <v>0</v>
      </c>
      <c r="X73" s="18">
        <f>IF(X$6&lt;='8_가정'!$C$32,X31,$K73*IF(X$6-$L73&gt;'8_가정'!$C$32,INDEX($X31:$AU31,X$6-$L73),0))</f>
        <v>0</v>
      </c>
      <c r="Y73" s="18">
        <f>IF(Y$6&lt;='8_가정'!$C$32,Y31,$K73*IF(Y$6-$L73&gt;'8_가정'!$C$32,INDEX($X31:$AU31,Y$6-$L73),0))</f>
        <v>0</v>
      </c>
      <c r="Z73" s="18">
        <f>IF(Z$6&lt;='8_가정'!$C$32,Z31,$K73*IF(Z$6-$L73&gt;'8_가정'!$C$32,INDEX($X31:$AU31,Z$6-$L73),0))</f>
        <v>6359</v>
      </c>
      <c r="AA73" s="18">
        <f>IF(AA$6&lt;='8_가정'!$C$32,AA31,$K73*IF(AA$6-$L73&gt;'8_가정'!$C$32,INDEX($X31:$AU31,AA$6-$L73),0))</f>
        <v>0</v>
      </c>
      <c r="AB73" s="18">
        <f>IF(AB$6&lt;='8_가정'!$C$32,AB31,$K73*IF(AB$6-$L73&gt;'8_가정'!$C$32,INDEX($X31:$AU31,AB$6-$L73),0))</f>
        <v>0</v>
      </c>
      <c r="AC73" s="18">
        <f>IF(AC$6&lt;='8_가정'!$C$32,AC31,$K73*IF(AC$6-$L73&gt;'8_가정'!$C$32,INDEX($X31:$AU31,AC$6-$L73),0))</f>
        <v>0</v>
      </c>
      <c r="AD73" s="18">
        <f>IF(AD$6&lt;='8_가정'!$C$32,AD31,$K73*IF(AD$6-$L73&gt;'8_가정'!$C$32,INDEX($X31:$AU31,AD$6-$L73),0))</f>
        <v>0</v>
      </c>
      <c r="AE73" s="18">
        <f>IF(AE$6&lt;='8_가정'!$C$32,AE31,$K73*IF(AE$6-$L73&gt;'8_가정'!$C$32,INDEX($X31:$AU31,AE$6-$L73),0))</f>
        <v>0</v>
      </c>
      <c r="AF73" s="18">
        <f>IF(AF$6&lt;='8_가정'!$C$32,AF31,$K73*IF(AF$6-$L73&gt;'8_가정'!$C$32,INDEX($X31:$AU31,AF$6-$L73),0))</f>
        <v>31303</v>
      </c>
      <c r="AG73" s="18">
        <f>IF(AG$6&lt;='8_가정'!$C$32,AG31,$K73*IF(AG$6-$L73&gt;'8_가정'!$C$32,INDEX($X31:$AU31,AG$6-$L73),0))</f>
        <v>23625</v>
      </c>
      <c r="AH73" s="18">
        <f>IF(AH$6&lt;='8_가정'!$C$32,AH31,$K73*IF(AH$6-$L73&gt;'8_가정'!$C$32,INDEX($X31:$AU31,AH$6-$L73),0))</f>
        <v>0</v>
      </c>
      <c r="AI73" s="18">
        <f>IF(AI$6&lt;='8_가정'!$C$32,AI31,$K73*IF(AI$6-$L73&gt;'8_가정'!$C$32,INDEX($X31:$AU31,AI$6-$L73),0))</f>
        <v>40500</v>
      </c>
      <c r="AJ73" s="18">
        <f>IF(AJ$6&lt;='8_가정'!$C$32,AJ31,$K73*IF(AJ$6-$L73&gt;'8_가정'!$C$32,INDEX($X31:$AU31,AJ$6-$L73),0))</f>
        <v>50000</v>
      </c>
      <c r="AK73" s="18">
        <f>IF(AK$6&lt;='8_가정'!$C$32,AK31,$K73*IF(AK$6-$L73&gt;'8_가정'!$C$32,INDEX($X31:$AU31,AK$6-$L73),0))</f>
        <v>0</v>
      </c>
      <c r="AL73" s="18">
        <f>IF(AL$6&lt;='8_가정'!$C$32,AL31,$K73*IF(AL$6-$L73&gt;'8_가정'!$C$32,INDEX($X31:$AU31,AL$6-$L73),0))</f>
        <v>0</v>
      </c>
      <c r="AM73" s="18">
        <f>IF(AM$6&lt;='8_가정'!$C$32,AM31,$K73*IF(AM$6-$L73&gt;'8_가정'!$C$32,INDEX($X31:$AU31,AM$6-$L73),0))</f>
        <v>0</v>
      </c>
      <c r="AN73" s="18">
        <f>IF(AN$6&lt;='8_가정'!$C$32,AN31,$K73*IF(AN$6-$L73&gt;'8_가정'!$C$32,INDEX($X31:$AU31,AN$6-$L73),0))</f>
        <v>50000</v>
      </c>
      <c r="AO73" s="18">
        <f>IF(AO$6&lt;='8_가정'!$C$32,AO31,$K73*IF(AO$6-$L73&gt;'8_가정'!$C$32,INDEX($X31:$AU31,AO$6-$L73),0))</f>
        <v>0</v>
      </c>
      <c r="AP73" s="18">
        <f>IF(AP$6&lt;='8_가정'!$C$32,AP31,$K73*IF(AP$6-$L73&gt;'8_가정'!$C$32,INDEX($X31:$AU31,AP$6-$L73),0))</f>
        <v>0</v>
      </c>
      <c r="AQ73" s="18">
        <f>IF(AQ$6&lt;='8_가정'!$C$32,AQ31,$K73*IF(AQ$6-$L73&gt;'8_가정'!$C$32,INDEX($X31:$AU31,AQ$6-$L73),0))</f>
        <v>0</v>
      </c>
      <c r="AR73" s="18">
        <f>IF(AR$6&lt;='8_가정'!$C$32,AR31,$K73*IF(AR$6-$L73&gt;'8_가정'!$C$32,INDEX($X31:$AU31,AR$6-$L73),0))</f>
        <v>50000</v>
      </c>
      <c r="AS73" s="18">
        <f>IF(AS$6&lt;='8_가정'!$C$32,AS31,$K73*IF(AS$6-$L73&gt;'8_가정'!$C$32,INDEX($X31:$AU31,AS$6-$L73),0))</f>
        <v>0</v>
      </c>
      <c r="AT73" s="18">
        <f>IF(AT$6&lt;='8_가정'!$C$32,AT31,$K73*IF(AT$6-$L73&gt;'8_가정'!$C$32,INDEX($X31:$AU31,AT$6-$L73),0))</f>
        <v>0</v>
      </c>
      <c r="AU73" s="18">
        <f>IF(AU$6&lt;='8_가정'!$C$32,AU31,$K73*IF(AU$6-$L73&gt;'8_가정'!$C$32,INDEX($X31:$AU31,AU$6-$L73),0))</f>
        <v>0</v>
      </c>
      <c r="AV73" s="23">
        <f>SUM(X73:AI73)</f>
        <v>101787</v>
      </c>
      <c r="AW73" s="23">
        <f>SUM(AJ73:AU73)</f>
        <v>150000</v>
      </c>
      <c r="AX73" s="24">
        <f>$K73*$O31*(1+IF($P31&gt;0,$P31*'8_가정'!$G$27,$P31))</f>
        <v>390000</v>
      </c>
      <c r="AY73" s="24">
        <f>$K73*$O31*(1+IF($P31&gt;0,$P31*'8_가정'!$G$27,$P31))*(1+IF($Q31&gt;0,$Q31*'8_가정'!$G$27,$Q31))</f>
        <v>702000</v>
      </c>
      <c r="AZ73" s="24">
        <f>$K73*$O31*(1+IF($P31&gt;0,$P31*'8_가정'!$G$27,$P31))*(1+IF($Q31&gt;0,$Q31*'8_가정'!$G$27,$Q31))*(1+IF($R31&gt;0,$R31*'8_가정'!$G$27,$R31))</f>
        <v>1038960</v>
      </c>
      <c r="BA73" s="25">
        <f>SUM(AV73:AZ73)</f>
        <v>2382747</v>
      </c>
    </row>
    <row r="74">
      <c r="A74" s="7">
        <f>A32</f>
        <v>23</v>
      </c>
      <c r="B74" s="15" t="str">
        <f>B32</f>
        <v>폴란드</v>
      </c>
      <c r="C74" s="15" t="str">
        <f>C32</f>
        <v>유럽</v>
      </c>
      <c r="D74" s="15" t="str">
        <f>D32</f>
        <v>NEUCA(폴란드)</v>
      </c>
      <c r="E74" s="15" t="str">
        <f>E32</f>
        <v>총판</v>
      </c>
      <c r="F74" s="15" t="str">
        <f>F32</f>
        <v>-</v>
      </c>
      <c r="G74" s="15" t="str">
        <f>G32</f>
        <v>접촉</v>
      </c>
      <c r="H74" s="15" t="str">
        <f>H32</f>
        <v>B 등록·입찰·협의 단계</v>
      </c>
      <c r="I74" s="15" t="str">
        <f>I32</f>
        <v>DIST</v>
      </c>
      <c r="J74" s="15" t="str">
        <f>J32</f>
        <v>M</v>
      </c>
      <c r="K74" s="65">
        <f>INDEX('8_가정'!$C$17:$E$24,MATCH($G32,'8_가정'!$A$17:$A$24,0),'1_요약'!$C$5)</f>
        <v>1</v>
      </c>
      <c r="L74" s="69">
        <f>IF($T32="Y",INDEX('8_가정'!$F$17:$H$24,MATCH($G32,'8_가정'!$A$17:$A$24,0),'1_요약'!$C$5),0)</f>
        <v>0</v>
      </c>
      <c r="X74" s="18">
        <f>IF(X$6&lt;='8_가정'!$C$32,X32,$K74*IF(X$6-$L74&gt;'8_가정'!$C$32,INDEX($X32:$AU32,X$6-$L74),0))</f>
        <v>0</v>
      </c>
      <c r="Y74" s="18">
        <f>IF(Y$6&lt;='8_가정'!$C$32,Y32,$K74*IF(Y$6-$L74&gt;'8_가정'!$C$32,INDEX($X32:$AU32,Y$6-$L74),0))</f>
        <v>0</v>
      </c>
      <c r="Z74" s="18">
        <f>IF(Z$6&lt;='8_가정'!$C$32,Z32,$K74*IF(Z$6-$L74&gt;'8_가정'!$C$32,INDEX($X32:$AU32,Z$6-$L74),0))</f>
        <v>0</v>
      </c>
      <c r="AA74" s="18">
        <f>IF(AA$6&lt;='8_가정'!$C$32,AA32,$K74*IF(AA$6-$L74&gt;'8_가정'!$C$32,INDEX($X32:$AU32,AA$6-$L74),0))</f>
        <v>0</v>
      </c>
      <c r="AB74" s="18">
        <f>IF(AB$6&lt;='8_가정'!$C$32,AB32,$K74*IF(AB$6-$L74&gt;'8_가정'!$C$32,INDEX($X32:$AU32,AB$6-$L74),0))</f>
        <v>0</v>
      </c>
      <c r="AC74" s="18">
        <f>IF(AC$6&lt;='8_가정'!$C$32,AC32,$K74*IF(AC$6-$L74&gt;'8_가정'!$C$32,INDEX($X32:$AU32,AC$6-$L74),0))</f>
        <v>0</v>
      </c>
      <c r="AD74" s="18">
        <f>IF(AD$6&lt;='8_가정'!$C$32,AD32,$K74*IF(AD$6-$L74&gt;'8_가정'!$C$32,INDEX($X32:$AU32,AD$6-$L74),0))</f>
        <v>0</v>
      </c>
      <c r="AE74" s="18">
        <f>IF(AE$6&lt;='8_가정'!$C$32,AE32,$K74*IF(AE$6-$L74&gt;'8_가정'!$C$32,INDEX($X32:$AU32,AE$6-$L74),0))</f>
        <v>0</v>
      </c>
      <c r="AF74" s="18">
        <f>IF(AF$6&lt;='8_가정'!$C$32,AF32,$K74*IF(AF$6-$L74&gt;'8_가정'!$C$32,INDEX($X32:$AU32,AF$6-$L74),0))</f>
        <v>0</v>
      </c>
      <c r="AG74" s="18">
        <f>IF(AG$6&lt;='8_가정'!$C$32,AG32,$K74*IF(AG$6-$L74&gt;'8_가정'!$C$32,INDEX($X32:$AU32,AG$6-$L74),0))</f>
        <v>0</v>
      </c>
      <c r="AH74" s="18">
        <f>IF(AH$6&lt;='8_가정'!$C$32,AH32,$K74*IF(AH$6-$L74&gt;'8_가정'!$C$32,INDEX($X32:$AU32,AH$6-$L74),0))</f>
        <v>0</v>
      </c>
      <c r="AI74" s="18">
        <f>IF(AI$6&lt;='8_가정'!$C$32,AI32,$K74*IF(AI$6-$L74&gt;'8_가정'!$C$32,INDEX($X32:$AU32,AI$6-$L74),0))</f>
        <v>0</v>
      </c>
      <c r="AJ74" s="18">
        <f>IF(AJ$6&lt;='8_가정'!$C$32,AJ32,$K74*IF(AJ$6-$L74&gt;'8_가정'!$C$32,INDEX($X32:$AU32,AJ$6-$L74),0))</f>
        <v>0</v>
      </c>
      <c r="AK74" s="18">
        <f>IF(AK$6&lt;='8_가정'!$C$32,AK32,$K74*IF(AK$6-$L74&gt;'8_가정'!$C$32,INDEX($X32:$AU32,AK$6-$L74),0))</f>
        <v>50000</v>
      </c>
      <c r="AL74" s="18">
        <f>IF(AL$6&lt;='8_가정'!$C$32,AL32,$K74*IF(AL$6-$L74&gt;'8_가정'!$C$32,INDEX($X32:$AU32,AL$6-$L74),0))</f>
        <v>0</v>
      </c>
      <c r="AM74" s="18">
        <f>IF(AM$6&lt;='8_가정'!$C$32,AM32,$K74*IF(AM$6-$L74&gt;'8_가정'!$C$32,INDEX($X32:$AU32,AM$6-$L74),0))</f>
        <v>0</v>
      </c>
      <c r="AN74" s="18">
        <f>IF(AN$6&lt;='8_가정'!$C$32,AN32,$K74*IF(AN$6-$L74&gt;'8_가정'!$C$32,INDEX($X32:$AU32,AN$6-$L74),0))</f>
        <v>0</v>
      </c>
      <c r="AO74" s="18">
        <f>IF(AO$6&lt;='8_가정'!$C$32,AO32,$K74*IF(AO$6-$L74&gt;'8_가정'!$C$32,INDEX($X32:$AU32,AO$6-$L74),0))</f>
        <v>50000</v>
      </c>
      <c r="AP74" s="18">
        <f>IF(AP$6&lt;='8_가정'!$C$32,AP32,$K74*IF(AP$6-$L74&gt;'8_가정'!$C$32,INDEX($X32:$AU32,AP$6-$L74),0))</f>
        <v>0</v>
      </c>
      <c r="AQ74" s="18">
        <f>IF(AQ$6&lt;='8_가정'!$C$32,AQ32,$K74*IF(AQ$6-$L74&gt;'8_가정'!$C$32,INDEX($X32:$AU32,AQ$6-$L74),0))</f>
        <v>0</v>
      </c>
      <c r="AR74" s="18">
        <f>IF(AR$6&lt;='8_가정'!$C$32,AR32,$K74*IF(AR$6-$L74&gt;'8_가정'!$C$32,INDEX($X32:$AU32,AR$6-$L74),0))</f>
        <v>0</v>
      </c>
      <c r="AS74" s="18">
        <f>IF(AS$6&lt;='8_가정'!$C$32,AS32,$K74*IF(AS$6-$L74&gt;'8_가정'!$C$32,INDEX($X32:$AU32,AS$6-$L74),0))</f>
        <v>50000</v>
      </c>
      <c r="AT74" s="18">
        <f>IF(AT$6&lt;='8_가정'!$C$32,AT32,$K74*IF(AT$6-$L74&gt;'8_가정'!$C$32,INDEX($X32:$AU32,AT$6-$L74),0))</f>
        <v>0</v>
      </c>
      <c r="AU74" s="18">
        <f>IF(AU$6&lt;='8_가정'!$C$32,AU32,$K74*IF(AU$6-$L74&gt;'8_가정'!$C$32,INDEX($X32:$AU32,AU$6-$L74),0))</f>
        <v>0</v>
      </c>
      <c r="AV74" s="23">
        <f>SUM(X74:AI74)</f>
        <v>0</v>
      </c>
      <c r="AW74" s="23">
        <f>SUM(AJ74:AU74)</f>
        <v>150000</v>
      </c>
      <c r="AX74" s="24">
        <f>$K74*$O32*(1+IF($P32&gt;0,$P32*'8_가정'!$G$27,$P32))</f>
        <v>390000</v>
      </c>
      <c r="AY74" s="24">
        <f>$K74*$O32*(1+IF($P32&gt;0,$P32*'8_가정'!$G$27,$P32))*(1+IF($Q32&gt;0,$Q32*'8_가정'!$G$27,$Q32))</f>
        <v>702000</v>
      </c>
      <c r="AZ74" s="24">
        <f>$K74*$O32*(1+IF($P32&gt;0,$P32*'8_가정'!$G$27,$P32))*(1+IF($Q32&gt;0,$Q32*'8_가정'!$G$27,$Q32))*(1+IF($R32&gt;0,$R32*'8_가정'!$G$27,$R32))</f>
        <v>1038960</v>
      </c>
      <c r="BA74" s="25">
        <f>SUM(AV74:AZ74)</f>
        <v>2280960</v>
      </c>
    </row>
    <row r="75">
      <c r="A75" s="7">
        <f>A33</f>
        <v>24</v>
      </c>
      <c r="B75" s="15" t="str">
        <f>B33</f>
        <v>독일</v>
      </c>
      <c r="C75" s="15" t="str">
        <f>C33</f>
        <v>유럽</v>
      </c>
      <c r="D75" s="15" t="str">
        <f>D33</f>
        <v>독일 총판</v>
      </c>
      <c r="E75" s="15" t="str">
        <f>E33</f>
        <v>총판</v>
      </c>
      <c r="F75" s="15" t="str">
        <f>F33</f>
        <v>-</v>
      </c>
      <c r="G75" s="15" t="str">
        <f>G33</f>
        <v>진행중</v>
      </c>
      <c r="H75" s="15" t="str">
        <f>H33</f>
        <v>B 등록·입찰·협의 단계</v>
      </c>
      <c r="I75" s="15" t="str">
        <f>I33</f>
        <v>DIST</v>
      </c>
      <c r="J75" s="15" t="str">
        <f>J33</f>
        <v>M</v>
      </c>
      <c r="K75" s="65">
        <f>INDEX('8_가정'!$C$17:$E$24,MATCH($G33,'8_가정'!$A$17:$A$24,0),'1_요약'!$C$5)</f>
        <v>1</v>
      </c>
      <c r="L75" s="69">
        <f>IF($T33="Y",INDEX('8_가정'!$F$17:$H$24,MATCH($G33,'8_가정'!$A$17:$A$24,0),'1_요약'!$C$5),0)</f>
        <v>0</v>
      </c>
      <c r="X75" s="18">
        <f>IF(X$6&lt;='8_가정'!$C$32,X33,$K75*IF(X$6-$L75&gt;'8_가정'!$C$32,INDEX($X33:$AU33,X$6-$L75),0))</f>
        <v>0</v>
      </c>
      <c r="Y75" s="18">
        <f>IF(Y$6&lt;='8_가정'!$C$32,Y33,$K75*IF(Y$6-$L75&gt;'8_가정'!$C$32,INDEX($X33:$AU33,Y$6-$L75),0))</f>
        <v>0</v>
      </c>
      <c r="Z75" s="18">
        <f>IF(Z$6&lt;='8_가정'!$C$32,Z33,$K75*IF(Z$6-$L75&gt;'8_가정'!$C$32,INDEX($X33:$AU33,Z$6-$L75),0))</f>
        <v>0</v>
      </c>
      <c r="AA75" s="18">
        <f>IF(AA$6&lt;='8_가정'!$C$32,AA33,$K75*IF(AA$6-$L75&gt;'8_가정'!$C$32,INDEX($X33:$AU33,AA$6-$L75),0))</f>
        <v>0</v>
      </c>
      <c r="AB75" s="18">
        <f>IF(AB$6&lt;='8_가정'!$C$32,AB33,$K75*IF(AB$6-$L75&gt;'8_가정'!$C$32,INDEX($X33:$AU33,AB$6-$L75),0))</f>
        <v>0</v>
      </c>
      <c r="AC75" s="18">
        <f>IF(AC$6&lt;='8_가정'!$C$32,AC33,$K75*IF(AC$6-$L75&gt;'8_가정'!$C$32,INDEX($X33:$AU33,AC$6-$L75),0))</f>
        <v>0</v>
      </c>
      <c r="AD75" s="18">
        <f>IF(AD$6&lt;='8_가정'!$C$32,AD33,$K75*IF(AD$6-$L75&gt;'8_가정'!$C$32,INDEX($X33:$AU33,AD$6-$L75),0))</f>
        <v>0</v>
      </c>
      <c r="AE75" s="18">
        <f>IF(AE$6&lt;='8_가정'!$C$32,AE33,$K75*IF(AE$6-$L75&gt;'8_가정'!$C$32,INDEX($X33:$AU33,AE$6-$L75),0))</f>
        <v>0</v>
      </c>
      <c r="AF75" s="18">
        <f>IF(AF$6&lt;='8_가정'!$C$32,AF33,$K75*IF(AF$6-$L75&gt;'8_가정'!$C$32,INDEX($X33:$AU33,AF$6-$L75),0))</f>
        <v>0</v>
      </c>
      <c r="AG75" s="18">
        <f>IF(AG$6&lt;='8_가정'!$C$32,AG33,$K75*IF(AG$6-$L75&gt;'8_가정'!$C$32,INDEX($X33:$AU33,AG$6-$L75),0))</f>
        <v>0</v>
      </c>
      <c r="AH75" s="18">
        <f>IF(AH$6&lt;='8_가정'!$C$32,AH33,$K75*IF(AH$6-$L75&gt;'8_가정'!$C$32,INDEX($X33:$AU33,AH$6-$L75),0))</f>
        <v>0</v>
      </c>
      <c r="AI75" s="18">
        <f>IF(AI$6&lt;='8_가정'!$C$32,AI33,$K75*IF(AI$6-$L75&gt;'8_가정'!$C$32,INDEX($X33:$AU33,AI$6-$L75),0))</f>
        <v>0</v>
      </c>
      <c r="AJ75" s="18">
        <f>IF(AJ$6&lt;='8_가정'!$C$32,AJ33,$K75*IF(AJ$6-$L75&gt;'8_가정'!$C$32,INDEX($X33:$AU33,AJ$6-$L75),0))</f>
        <v>50000</v>
      </c>
      <c r="AK75" s="18">
        <f>IF(AK$6&lt;='8_가정'!$C$32,AK33,$K75*IF(AK$6-$L75&gt;'8_가정'!$C$32,INDEX($X33:$AU33,AK$6-$L75),0))</f>
        <v>0</v>
      </c>
      <c r="AL75" s="18">
        <f>IF(AL$6&lt;='8_가정'!$C$32,AL33,$K75*IF(AL$6-$L75&gt;'8_가정'!$C$32,INDEX($X33:$AU33,AL$6-$L75),0))</f>
        <v>0</v>
      </c>
      <c r="AM75" s="18">
        <f>IF(AM$6&lt;='8_가정'!$C$32,AM33,$K75*IF(AM$6-$L75&gt;'8_가정'!$C$32,INDEX($X33:$AU33,AM$6-$L75),0))</f>
        <v>0</v>
      </c>
      <c r="AN75" s="18">
        <f>IF(AN$6&lt;='8_가정'!$C$32,AN33,$K75*IF(AN$6-$L75&gt;'8_가정'!$C$32,INDEX($X33:$AU33,AN$6-$L75),0))</f>
        <v>50000</v>
      </c>
      <c r="AO75" s="18">
        <f>IF(AO$6&lt;='8_가정'!$C$32,AO33,$K75*IF(AO$6-$L75&gt;'8_가정'!$C$32,INDEX($X33:$AU33,AO$6-$L75),0))</f>
        <v>0</v>
      </c>
      <c r="AP75" s="18">
        <f>IF(AP$6&lt;='8_가정'!$C$32,AP33,$K75*IF(AP$6-$L75&gt;'8_가정'!$C$32,INDEX($X33:$AU33,AP$6-$L75),0))</f>
        <v>0</v>
      </c>
      <c r="AQ75" s="18">
        <f>IF(AQ$6&lt;='8_가정'!$C$32,AQ33,$K75*IF(AQ$6-$L75&gt;'8_가정'!$C$32,INDEX($X33:$AU33,AQ$6-$L75),0))</f>
        <v>0</v>
      </c>
      <c r="AR75" s="18">
        <f>IF(AR$6&lt;='8_가정'!$C$32,AR33,$K75*IF(AR$6-$L75&gt;'8_가정'!$C$32,INDEX($X33:$AU33,AR$6-$L75),0))</f>
        <v>50000</v>
      </c>
      <c r="AS75" s="18">
        <f>IF(AS$6&lt;='8_가정'!$C$32,AS33,$K75*IF(AS$6-$L75&gt;'8_가정'!$C$32,INDEX($X33:$AU33,AS$6-$L75),0))</f>
        <v>0</v>
      </c>
      <c r="AT75" s="18">
        <f>IF(AT$6&lt;='8_가정'!$C$32,AT33,$K75*IF(AT$6-$L75&gt;'8_가정'!$C$32,INDEX($X33:$AU33,AT$6-$L75),0))</f>
        <v>0</v>
      </c>
      <c r="AU75" s="18">
        <f>IF(AU$6&lt;='8_가정'!$C$32,AU33,$K75*IF(AU$6-$L75&gt;'8_가정'!$C$32,INDEX($X33:$AU33,AU$6-$L75),0))</f>
        <v>0</v>
      </c>
      <c r="AV75" s="23">
        <f>SUM(X75:AI75)</f>
        <v>0</v>
      </c>
      <c r="AW75" s="23">
        <f>SUM(AJ75:AU75)</f>
        <v>150000</v>
      </c>
      <c r="AX75" s="24">
        <f>$K75*$O33*(1+IF($P33&gt;0,$P33*'8_가정'!$G$27,$P33))</f>
        <v>390000</v>
      </c>
      <c r="AY75" s="24">
        <f>$K75*$O33*(1+IF($P33&gt;0,$P33*'8_가정'!$G$27,$P33))*(1+IF($Q33&gt;0,$Q33*'8_가정'!$G$27,$Q33))</f>
        <v>702000</v>
      </c>
      <c r="AZ75" s="24">
        <f>$K75*$O33*(1+IF($P33&gt;0,$P33*'8_가정'!$G$27,$P33))*(1+IF($Q33&gt;0,$Q33*'8_가정'!$G$27,$Q33))*(1+IF($R33&gt;0,$R33*'8_가정'!$G$27,$R33))</f>
        <v>1038960</v>
      </c>
      <c r="BA75" s="25">
        <f>SUM(AV75:AZ75)</f>
        <v>2280960</v>
      </c>
    </row>
    <row r="76">
      <c r="A76" s="7">
        <f>A34</f>
        <v>25</v>
      </c>
      <c r="B76" s="15" t="str">
        <f>B34</f>
        <v>싱가포르</v>
      </c>
      <c r="C76" s="15" t="str">
        <f>C34</f>
        <v>동남아·APAC</v>
      </c>
      <c r="D76" s="15" t="str">
        <f>D34</f>
        <v>INTEGA(싱가포르·말레이시아·태국 총판)</v>
      </c>
      <c r="E76" s="15" t="str">
        <f>E34</f>
        <v>총판</v>
      </c>
      <c r="F76" s="15" t="str">
        <f>F34</f>
        <v>-</v>
      </c>
      <c r="G76" s="15" t="str">
        <f>G34</f>
        <v>계약</v>
      </c>
      <c r="H76" s="15" t="str">
        <f>H34</f>
        <v>A 계약·기존 거래</v>
      </c>
      <c r="I76" s="15" t="str">
        <f>I34</f>
        <v>DIST</v>
      </c>
      <c r="J76" s="15" t="str">
        <f>J34</f>
        <v>M</v>
      </c>
      <c r="K76" s="65">
        <f>INDEX('8_가정'!$C$17:$E$24,MATCH($G34,'8_가정'!$A$17:$A$24,0),'1_요약'!$C$5)</f>
        <v>1</v>
      </c>
      <c r="L76" s="69">
        <f>IF($T34="Y",INDEX('8_가정'!$F$17:$H$24,MATCH($G34,'8_가정'!$A$17:$A$24,0),'1_요약'!$C$5),0)</f>
        <v>0</v>
      </c>
      <c r="X76" s="18">
        <f>IF(X$6&lt;='8_가정'!$C$32,X34,$K76*IF(X$6-$L76&gt;'8_가정'!$C$32,INDEX($X34:$AU34,X$6-$L76),0))</f>
        <v>12879</v>
      </c>
      <c r="Y76" s="18">
        <f>IF(Y$6&lt;='8_가정'!$C$32,Y34,$K76*IF(Y$6-$L76&gt;'8_가정'!$C$32,INDEX($X34:$AU34,Y$6-$L76),0))</f>
        <v>0</v>
      </c>
      <c r="Z76" s="18">
        <f>IF(Z$6&lt;='8_가정'!$C$32,Z34,$K76*IF(Z$6-$L76&gt;'8_가정'!$C$32,INDEX($X34:$AU34,Z$6-$L76),0))</f>
        <v>13042</v>
      </c>
      <c r="AA76" s="18">
        <f>IF(AA$6&lt;='8_가정'!$C$32,AA34,$K76*IF(AA$6-$L76&gt;'8_가정'!$C$32,INDEX($X34:$AU34,AA$6-$L76),0))</f>
        <v>0</v>
      </c>
      <c r="AB76" s="18">
        <f>IF(AB$6&lt;='8_가정'!$C$32,AB34,$K76*IF(AB$6-$L76&gt;'8_가정'!$C$32,INDEX($X34:$AU34,AB$6-$L76),0))</f>
        <v>0</v>
      </c>
      <c r="AC76" s="18">
        <f>IF(AC$6&lt;='8_가정'!$C$32,AC34,$K76*IF(AC$6-$L76&gt;'8_가정'!$C$32,INDEX($X34:$AU34,AC$6-$L76),0))</f>
        <v>0</v>
      </c>
      <c r="AD76" s="18">
        <f>IF(AD$6&lt;='8_가정'!$C$32,AD34,$K76*IF(AD$6-$L76&gt;'8_가정'!$C$32,INDEX($X34:$AU34,AD$6-$L76),0))</f>
        <v>0</v>
      </c>
      <c r="AE76" s="18">
        <f>IF(AE$6&lt;='8_가정'!$C$32,AE34,$K76*IF(AE$6-$L76&gt;'8_가정'!$C$32,INDEX($X34:$AU34,AE$6-$L76),0))</f>
        <v>0</v>
      </c>
      <c r="AF76" s="18">
        <f>IF(AF$6&lt;='8_가정'!$C$32,AF34,$K76*IF(AF$6-$L76&gt;'8_가정'!$C$32,INDEX($X34:$AU34,AF$6-$L76),0))</f>
        <v>0</v>
      </c>
      <c r="AG76" s="18">
        <f>IF(AG$6&lt;='8_가정'!$C$32,AG34,$K76*IF(AG$6-$L76&gt;'8_가정'!$C$32,INDEX($X34:$AU34,AG$6-$L76),0))</f>
        <v>0</v>
      </c>
      <c r="AH76" s="18">
        <f>IF(AH$6&lt;='8_가정'!$C$32,AH34,$K76*IF(AH$6-$L76&gt;'8_가정'!$C$32,INDEX($X34:$AU34,AH$6-$L76),0))</f>
        <v>23625</v>
      </c>
      <c r="AI76" s="18">
        <f>IF(AI$6&lt;='8_가정'!$C$32,AI34,$K76*IF(AI$6-$L76&gt;'8_가정'!$C$32,INDEX($X34:$AU34,AI$6-$L76),0))</f>
        <v>0</v>
      </c>
      <c r="AJ76" s="18">
        <f>IF(AJ$6&lt;='8_가정'!$C$32,AJ34,$K76*IF(AJ$6-$L76&gt;'8_가정'!$C$32,INDEX($X34:$AU34,AJ$6-$L76),0))</f>
        <v>0</v>
      </c>
      <c r="AK76" s="18">
        <f>IF(AK$6&lt;='8_가정'!$C$32,AK34,$K76*IF(AK$6-$L76&gt;'8_가정'!$C$32,INDEX($X34:$AU34,AK$6-$L76),0))</f>
        <v>100000</v>
      </c>
      <c r="AL76" s="18">
        <f>IF(AL$6&lt;='8_가정'!$C$32,AL34,$K76*IF(AL$6-$L76&gt;'8_가정'!$C$32,INDEX($X34:$AU34,AL$6-$L76),0))</f>
        <v>0</v>
      </c>
      <c r="AM76" s="18">
        <f>IF(AM$6&lt;='8_가정'!$C$32,AM34,$K76*IF(AM$6-$L76&gt;'8_가정'!$C$32,INDEX($X34:$AU34,AM$6-$L76),0))</f>
        <v>0</v>
      </c>
      <c r="AN76" s="18">
        <f>IF(AN$6&lt;='8_가정'!$C$32,AN34,$K76*IF(AN$6-$L76&gt;'8_가정'!$C$32,INDEX($X34:$AU34,AN$6-$L76),0))</f>
        <v>0</v>
      </c>
      <c r="AO76" s="18">
        <f>IF(AO$6&lt;='8_가정'!$C$32,AO34,$K76*IF(AO$6-$L76&gt;'8_가정'!$C$32,INDEX($X34:$AU34,AO$6-$L76),0))</f>
        <v>100000</v>
      </c>
      <c r="AP76" s="18">
        <f>IF(AP$6&lt;='8_가정'!$C$32,AP34,$K76*IF(AP$6-$L76&gt;'8_가정'!$C$32,INDEX($X34:$AU34,AP$6-$L76),0))</f>
        <v>0</v>
      </c>
      <c r="AQ76" s="18">
        <f>IF(AQ$6&lt;='8_가정'!$C$32,AQ34,$K76*IF(AQ$6-$L76&gt;'8_가정'!$C$32,INDEX($X34:$AU34,AQ$6-$L76),0))</f>
        <v>0</v>
      </c>
      <c r="AR76" s="18">
        <f>IF(AR$6&lt;='8_가정'!$C$32,AR34,$K76*IF(AR$6-$L76&gt;'8_가정'!$C$32,INDEX($X34:$AU34,AR$6-$L76),0))</f>
        <v>0</v>
      </c>
      <c r="AS76" s="18">
        <f>IF(AS$6&lt;='8_가정'!$C$32,AS34,$K76*IF(AS$6-$L76&gt;'8_가정'!$C$32,INDEX($X34:$AU34,AS$6-$L76),0))</f>
        <v>100000</v>
      </c>
      <c r="AT76" s="18">
        <f>IF(AT$6&lt;='8_가정'!$C$32,AT34,$K76*IF(AT$6-$L76&gt;'8_가정'!$C$32,INDEX($X34:$AU34,AT$6-$L76),0))</f>
        <v>0</v>
      </c>
      <c r="AU76" s="18">
        <f>IF(AU$6&lt;='8_가정'!$C$32,AU34,$K76*IF(AU$6-$L76&gt;'8_가정'!$C$32,INDEX($X34:$AU34,AU$6-$L76),0))</f>
        <v>0</v>
      </c>
      <c r="AV76" s="23">
        <f>SUM(X76:AI76)</f>
        <v>49546</v>
      </c>
      <c r="AW76" s="23">
        <f>SUM(AJ76:AU76)</f>
        <v>300000</v>
      </c>
      <c r="AX76" s="24">
        <f>$K76*$O34*(1+IF($P34&gt;0,$P34*'8_가정'!$G$27,$P34))</f>
        <v>684000</v>
      </c>
      <c r="AY76" s="24">
        <f>$K76*$O34*(1+IF($P34&gt;0,$P34*'8_가정'!$G$27,$P34))*(1+IF($Q34&gt;0,$Q34*'8_가정'!$G$27,$Q34))</f>
        <v>1094400</v>
      </c>
      <c r="AZ76" s="24">
        <f>$K76*$O34*(1+IF($P34&gt;0,$P34*'8_가정'!$G$27,$P34))*(1+IF($Q34&gt;0,$Q34*'8_가정'!$G$27,$Q34))*(1+IF($R34&gt;0,$R34*'8_가정'!$G$27,$R34))</f>
        <v>1532160</v>
      </c>
      <c r="BA76" s="25">
        <f>SUM(AV76:AZ76)</f>
        <v>3660106</v>
      </c>
    </row>
    <row r="77">
      <c r="A77" s="7">
        <f>A35</f>
        <v>26</v>
      </c>
      <c r="B77" s="15" t="str">
        <f>B35</f>
        <v>말레이시아</v>
      </c>
      <c r="C77" s="15" t="str">
        <f>C35</f>
        <v>동남아·APAC</v>
      </c>
      <c r="D77" s="15" t="str">
        <f>D35</f>
        <v>Sunway Sanctuary(말레이시아)</v>
      </c>
      <c r="E77" s="15" t="str">
        <f>E35</f>
        <v>기관(직접)</v>
      </c>
      <c r="F77" s="15" t="str">
        <f>F35</f>
        <v>-</v>
      </c>
      <c r="G77" s="15" t="str">
        <f>G35</f>
        <v>접촉</v>
      </c>
      <c r="H77" s="15" t="str">
        <f>H35</f>
        <v>B 등록·입찰·협의 단계</v>
      </c>
      <c r="I77" s="15" t="str">
        <f>I35</f>
        <v>RND</v>
      </c>
      <c r="J77" s="15" t="str">
        <f>J35</f>
        <v>M</v>
      </c>
      <c r="K77" s="65">
        <f>INDEX('8_가정'!$C$17:$E$24,MATCH($G35,'8_가정'!$A$17:$A$24,0),'1_요약'!$C$5)</f>
        <v>1</v>
      </c>
      <c r="L77" s="69">
        <f>IF($T35="Y",INDEX('8_가정'!$F$17:$H$24,MATCH($G35,'8_가정'!$A$17:$A$24,0),'1_요약'!$C$5),0)</f>
        <v>0</v>
      </c>
      <c r="X77" s="18">
        <f>IF(X$6&lt;='8_가정'!$C$32,X35,$K77*IF(X$6-$L77&gt;'8_가정'!$C$32,INDEX($X35:$AU35,X$6-$L77),0))</f>
        <v>0</v>
      </c>
      <c r="Y77" s="18">
        <f>IF(Y$6&lt;='8_가정'!$C$32,Y35,$K77*IF(Y$6-$L77&gt;'8_가정'!$C$32,INDEX($X35:$AU35,Y$6-$L77),0))</f>
        <v>0</v>
      </c>
      <c r="Z77" s="18">
        <f>IF(Z$6&lt;='8_가정'!$C$32,Z35,$K77*IF(Z$6-$L77&gt;'8_가정'!$C$32,INDEX($X35:$AU35,Z$6-$L77),0))</f>
        <v>0</v>
      </c>
      <c r="AA77" s="18">
        <f>IF(AA$6&lt;='8_가정'!$C$32,AA35,$K77*IF(AA$6-$L77&gt;'8_가정'!$C$32,INDEX($X35:$AU35,AA$6-$L77),0))</f>
        <v>0</v>
      </c>
      <c r="AB77" s="18">
        <f>IF(AB$6&lt;='8_가정'!$C$32,AB35,$K77*IF(AB$6-$L77&gt;'8_가정'!$C$32,INDEX($X35:$AU35,AB$6-$L77),0))</f>
        <v>0</v>
      </c>
      <c r="AC77" s="18">
        <f>IF(AC$6&lt;='8_가정'!$C$32,AC35,$K77*IF(AC$6-$L77&gt;'8_가정'!$C$32,INDEX($X35:$AU35,AC$6-$L77),0))</f>
        <v>0</v>
      </c>
      <c r="AD77" s="18">
        <f>IF(AD$6&lt;='8_가정'!$C$32,AD35,$K77*IF(AD$6-$L77&gt;'8_가정'!$C$32,INDEX($X35:$AU35,AD$6-$L77),0))</f>
        <v>0</v>
      </c>
      <c r="AE77" s="18">
        <f>IF(AE$6&lt;='8_가정'!$C$32,AE35,$K77*IF(AE$6-$L77&gt;'8_가정'!$C$32,INDEX($X35:$AU35,AE$6-$L77),0))</f>
        <v>0</v>
      </c>
      <c r="AF77" s="18">
        <f>IF(AF$6&lt;='8_가정'!$C$32,AF35,$K77*IF(AF$6-$L77&gt;'8_가정'!$C$32,INDEX($X35:$AU35,AF$6-$L77),0))</f>
        <v>0</v>
      </c>
      <c r="AG77" s="18">
        <f>IF(AG$6&lt;='8_가정'!$C$32,AG35,$K77*IF(AG$6-$L77&gt;'8_가정'!$C$32,INDEX($X35:$AU35,AG$6-$L77),0))</f>
        <v>0</v>
      </c>
      <c r="AH77" s="18">
        <f>IF(AH$6&lt;='8_가정'!$C$32,AH35,$K77*IF(AH$6-$L77&gt;'8_가정'!$C$32,INDEX($X35:$AU35,AH$6-$L77),0))</f>
        <v>0</v>
      </c>
      <c r="AI77" s="18">
        <f>IF(AI$6&lt;='8_가정'!$C$32,AI35,$K77*IF(AI$6-$L77&gt;'8_가정'!$C$32,INDEX($X35:$AU35,AI$6-$L77),0))</f>
        <v>0</v>
      </c>
      <c r="AJ77" s="18">
        <f>IF(AJ$6&lt;='8_가정'!$C$32,AJ35,$K77*IF(AJ$6-$L77&gt;'8_가정'!$C$32,INDEX($X35:$AU35,AJ$6-$L77),0))</f>
        <v>0</v>
      </c>
      <c r="AK77" s="18">
        <f>IF(AK$6&lt;='8_가정'!$C$32,AK35,$K77*IF(AK$6-$L77&gt;'8_가정'!$C$32,INDEX($X35:$AU35,AK$6-$L77),0))</f>
        <v>0</v>
      </c>
      <c r="AL77" s="18">
        <f>IF(AL$6&lt;='8_가정'!$C$32,AL35,$K77*IF(AL$6-$L77&gt;'8_가정'!$C$32,INDEX($X35:$AU35,AL$6-$L77),0))</f>
        <v>0</v>
      </c>
      <c r="AM77" s="18">
        <f>IF(AM$6&lt;='8_가정'!$C$32,AM35,$K77*IF(AM$6-$L77&gt;'8_가정'!$C$32,INDEX($X35:$AU35,AM$6-$L77),0))</f>
        <v>50000</v>
      </c>
      <c r="AN77" s="18">
        <f>IF(AN$6&lt;='8_가정'!$C$32,AN35,$K77*IF(AN$6-$L77&gt;'8_가정'!$C$32,INDEX($X35:$AU35,AN$6-$L77),0))</f>
        <v>0</v>
      </c>
      <c r="AO77" s="18">
        <f>IF(AO$6&lt;='8_가정'!$C$32,AO35,$K77*IF(AO$6-$L77&gt;'8_가정'!$C$32,INDEX($X35:$AU35,AO$6-$L77),0))</f>
        <v>0</v>
      </c>
      <c r="AP77" s="18">
        <f>IF(AP$6&lt;='8_가정'!$C$32,AP35,$K77*IF(AP$6-$L77&gt;'8_가정'!$C$32,INDEX($X35:$AU35,AP$6-$L77),0))</f>
        <v>0</v>
      </c>
      <c r="AQ77" s="18">
        <f>IF(AQ$6&lt;='8_가정'!$C$32,AQ35,$K77*IF(AQ$6-$L77&gt;'8_가정'!$C$32,INDEX($X35:$AU35,AQ$6-$L77),0))</f>
        <v>0</v>
      </c>
      <c r="AR77" s="18">
        <f>IF(AR$6&lt;='8_가정'!$C$32,AR35,$K77*IF(AR$6-$L77&gt;'8_가정'!$C$32,INDEX($X35:$AU35,AR$6-$L77),0))</f>
        <v>0</v>
      </c>
      <c r="AS77" s="18">
        <f>IF(AS$6&lt;='8_가정'!$C$32,AS35,$K77*IF(AS$6-$L77&gt;'8_가정'!$C$32,INDEX($X35:$AU35,AS$6-$L77),0))</f>
        <v>0</v>
      </c>
      <c r="AT77" s="18">
        <f>IF(AT$6&lt;='8_가정'!$C$32,AT35,$K77*IF(AT$6-$L77&gt;'8_가정'!$C$32,INDEX($X35:$AU35,AT$6-$L77),0))</f>
        <v>0</v>
      </c>
      <c r="AU77" s="18">
        <f>IF(AU$6&lt;='8_가정'!$C$32,AU35,$K77*IF(AU$6-$L77&gt;'8_가정'!$C$32,INDEX($X35:$AU35,AU$6-$L77),0))</f>
        <v>0</v>
      </c>
      <c r="AV77" s="23">
        <f>SUM(X77:AI77)</f>
        <v>0</v>
      </c>
      <c r="AW77" s="23">
        <f>SUM(AJ77:AU77)</f>
        <v>50000</v>
      </c>
      <c r="AX77" s="24">
        <f>$K77*$O35*(1+IF($P35&gt;0,$P35*'8_가정'!$G$27,$P35))</f>
        <v>210000</v>
      </c>
      <c r="AY77" s="24">
        <f>$K77*$O35*(1+IF($P35&gt;0,$P35*'8_가정'!$G$27,$P35))*(1+IF($Q35&gt;0,$Q35*'8_가정'!$G$27,$Q35))</f>
        <v>420000</v>
      </c>
      <c r="AZ77" s="24">
        <f>$K77*$O35*(1+IF($P35&gt;0,$P35*'8_가정'!$G$27,$P35))*(1+IF($Q35&gt;0,$Q35*'8_가정'!$G$27,$Q35))*(1+IF($R35&gt;0,$R35*'8_가정'!$G$27,$R35))</f>
        <v>588000</v>
      </c>
      <c r="BA77" s="25">
        <f>SUM(AV77:AZ77)</f>
        <v>1268000</v>
      </c>
    </row>
    <row r="78">
      <c r="A78" s="7">
        <f>A36</f>
        <v>27</v>
      </c>
      <c r="B78" s="15" t="str">
        <f>B36</f>
        <v>싱가포르</v>
      </c>
      <c r="C78" s="15" t="str">
        <f>C36</f>
        <v>동남아·APAC</v>
      </c>
      <c r="D78" s="15" t="str">
        <f>D36</f>
        <v>NHG(KTPH·TTSH·Woodlands) 스마트 병동</v>
      </c>
      <c r="E78" s="15" t="str">
        <f>E36</f>
        <v>기관(직접)</v>
      </c>
      <c r="F78" s="15" t="str">
        <f>F36</f>
        <v>-</v>
      </c>
      <c r="G78" s="15" t="str">
        <f>G36</f>
        <v>입찰</v>
      </c>
      <c r="H78" s="15" t="str">
        <f>H36</f>
        <v>B 등록·입찰·협의 단계</v>
      </c>
      <c r="I78" s="15" t="str">
        <f>I36</f>
        <v>HWPROJ</v>
      </c>
      <c r="J78" s="15" t="str">
        <f>J36</f>
        <v>M</v>
      </c>
      <c r="K78" s="65">
        <f>INDEX('8_가정'!$C$17:$E$24,MATCH($G36,'8_가정'!$A$17:$A$24,0),'1_요약'!$C$5)</f>
        <v>1</v>
      </c>
      <c r="L78" s="69">
        <f>IF($T36="Y",INDEX('8_가정'!$F$17:$H$24,MATCH($G36,'8_가정'!$A$17:$A$24,0),'1_요약'!$C$5),0)</f>
        <v>0</v>
      </c>
      <c r="X78" s="18">
        <f>IF(X$6&lt;='8_가정'!$C$32,X36,$K78*IF(X$6-$L78&gt;'8_가정'!$C$32,INDEX($X36:$AU36,X$6-$L78),0))</f>
        <v>0</v>
      </c>
      <c r="Y78" s="18">
        <f>IF(Y$6&lt;='8_가정'!$C$32,Y36,$K78*IF(Y$6-$L78&gt;'8_가정'!$C$32,INDEX($X36:$AU36,Y$6-$L78),0))</f>
        <v>0</v>
      </c>
      <c r="Z78" s="18">
        <f>IF(Z$6&lt;='8_가정'!$C$32,Z36,$K78*IF(Z$6-$L78&gt;'8_가정'!$C$32,INDEX($X36:$AU36,Z$6-$L78),0))</f>
        <v>0</v>
      </c>
      <c r="AA78" s="18">
        <f>IF(AA$6&lt;='8_가정'!$C$32,AA36,$K78*IF(AA$6-$L78&gt;'8_가정'!$C$32,INDEX($X36:$AU36,AA$6-$L78),0))</f>
        <v>0</v>
      </c>
      <c r="AB78" s="18">
        <f>IF(AB$6&lt;='8_가정'!$C$32,AB36,$K78*IF(AB$6-$L78&gt;'8_가정'!$C$32,INDEX($X36:$AU36,AB$6-$L78),0))</f>
        <v>0</v>
      </c>
      <c r="AC78" s="18">
        <f>IF(AC$6&lt;='8_가정'!$C$32,AC36,$K78*IF(AC$6-$L78&gt;'8_가정'!$C$32,INDEX($X36:$AU36,AC$6-$L78),0))</f>
        <v>0</v>
      </c>
      <c r="AD78" s="18">
        <f>IF(AD$6&lt;='8_가정'!$C$32,AD36,$K78*IF(AD$6-$L78&gt;'8_가정'!$C$32,INDEX($X36:$AU36,AD$6-$L78),0))</f>
        <v>0</v>
      </c>
      <c r="AE78" s="18">
        <f>IF(AE$6&lt;='8_가정'!$C$32,AE36,$K78*IF(AE$6-$L78&gt;'8_가정'!$C$32,INDEX($X36:$AU36,AE$6-$L78),0))</f>
        <v>0</v>
      </c>
      <c r="AF78" s="18">
        <f>IF(AF$6&lt;='8_가정'!$C$32,AF36,$K78*IF(AF$6-$L78&gt;'8_가정'!$C$32,INDEX($X36:$AU36,AF$6-$L78),0))</f>
        <v>0</v>
      </c>
      <c r="AG78" s="18">
        <f>IF(AG$6&lt;='8_가정'!$C$32,AG36,$K78*IF(AG$6-$L78&gt;'8_가정'!$C$32,INDEX($X36:$AU36,AG$6-$L78),0))</f>
        <v>0</v>
      </c>
      <c r="AH78" s="18">
        <f>IF(AH$6&lt;='8_가정'!$C$32,AH36,$K78*IF(AH$6-$L78&gt;'8_가정'!$C$32,INDEX($X36:$AU36,AH$6-$L78),0))</f>
        <v>0</v>
      </c>
      <c r="AI78" s="18">
        <f>IF(AI$6&lt;='8_가정'!$C$32,AI36,$K78*IF(AI$6-$L78&gt;'8_가정'!$C$32,INDEX($X36:$AU36,AI$6-$L78),0))</f>
        <v>188957</v>
      </c>
      <c r="AJ78" s="18">
        <f>IF(AJ$6&lt;='8_가정'!$C$32,AJ36,$K78*IF(AJ$6-$L78&gt;'8_가정'!$C$32,INDEX($X36:$AU36,AJ$6-$L78),0))</f>
        <v>30000</v>
      </c>
      <c r="AK78" s="18">
        <f>IF(AK$6&lt;='8_가정'!$C$32,AK36,$K78*IF(AK$6-$L78&gt;'8_가정'!$C$32,INDEX($X36:$AU36,AK$6-$L78),0))</f>
        <v>30000</v>
      </c>
      <c r="AL78" s="18">
        <f>IF(AL$6&lt;='8_가정'!$C$32,AL36,$K78*IF(AL$6-$L78&gt;'8_가정'!$C$32,INDEX($X36:$AU36,AL$6-$L78),0))</f>
        <v>30000</v>
      </c>
      <c r="AM78" s="18">
        <f>IF(AM$6&lt;='8_가정'!$C$32,AM36,$K78*IF(AM$6-$L78&gt;'8_가정'!$C$32,INDEX($X36:$AU36,AM$6-$L78),0))</f>
        <v>30000</v>
      </c>
      <c r="AN78" s="18">
        <f>IF(AN$6&lt;='8_가정'!$C$32,AN36,$K78*IF(AN$6-$L78&gt;'8_가정'!$C$32,INDEX($X36:$AU36,AN$6-$L78),0))</f>
        <v>30000</v>
      </c>
      <c r="AO78" s="18">
        <f>IF(AO$6&lt;='8_가정'!$C$32,AO36,$K78*IF(AO$6-$L78&gt;'8_가정'!$C$32,INDEX($X36:$AU36,AO$6-$L78),0))</f>
        <v>30000</v>
      </c>
      <c r="AP78" s="18">
        <f>IF(AP$6&lt;='8_가정'!$C$32,AP36,$K78*IF(AP$6-$L78&gt;'8_가정'!$C$32,INDEX($X36:$AU36,AP$6-$L78),0))</f>
        <v>30000</v>
      </c>
      <c r="AQ78" s="18">
        <f>IF(AQ$6&lt;='8_가정'!$C$32,AQ36,$K78*IF(AQ$6-$L78&gt;'8_가정'!$C$32,INDEX($X36:$AU36,AQ$6-$L78),0))</f>
        <v>30000</v>
      </c>
      <c r="AR78" s="18">
        <f>IF(AR$6&lt;='8_가정'!$C$32,AR36,$K78*IF(AR$6-$L78&gt;'8_가정'!$C$32,INDEX($X36:$AU36,AR$6-$L78),0))</f>
        <v>30000</v>
      </c>
      <c r="AS78" s="18">
        <f>IF(AS$6&lt;='8_가정'!$C$32,AS36,$K78*IF(AS$6-$L78&gt;'8_가정'!$C$32,INDEX($X36:$AU36,AS$6-$L78),0))</f>
        <v>30000</v>
      </c>
      <c r="AT78" s="18">
        <f>IF(AT$6&lt;='8_가정'!$C$32,AT36,$K78*IF(AT$6-$L78&gt;'8_가정'!$C$32,INDEX($X36:$AU36,AT$6-$L78),0))</f>
        <v>50000</v>
      </c>
      <c r="AU78" s="18">
        <f>IF(AU$6&lt;='8_가정'!$C$32,AU36,$K78*IF(AU$6-$L78&gt;'8_가정'!$C$32,INDEX($X36:$AU36,AU$6-$L78),0))</f>
        <v>50000</v>
      </c>
      <c r="AV78" s="23">
        <f>SUM(X78:AI78)</f>
        <v>188957</v>
      </c>
      <c r="AW78" s="23">
        <f>SUM(AJ78:AU78)</f>
        <v>400000</v>
      </c>
      <c r="AX78" s="24">
        <f>$K78*$O36*(1+IF($P36&gt;0,$P36*'8_가정'!$G$27,$P36))</f>
        <v>720000</v>
      </c>
      <c r="AY78" s="24">
        <f>$K78*$O36*(1+IF($P36&gt;0,$P36*'8_가정'!$G$27,$P36))*(1+IF($Q36&gt;0,$Q36*'8_가정'!$G$27,$Q36))</f>
        <v>1008000</v>
      </c>
      <c r="AZ78" s="24">
        <f>$K78*$O36*(1+IF($P36&gt;0,$P36*'8_가정'!$G$27,$P36))*(1+IF($Q36&gt;0,$Q36*'8_가정'!$G$27,$Q36))*(1+IF($R36&gt;0,$R36*'8_가정'!$G$27,$R36))</f>
        <v>1330560</v>
      </c>
      <c r="BA78" s="25">
        <f>SUM(AV78:AZ78)</f>
        <v>3647517</v>
      </c>
    </row>
    <row r="79">
      <c r="A79" s="7">
        <f>A37</f>
        <v>28</v>
      </c>
      <c r="B79" s="15" t="str">
        <f>B37</f>
        <v>싱가포르</v>
      </c>
      <c r="C79" s="15" t="str">
        <f>C37</f>
        <v>동남아·APAC</v>
      </c>
      <c r="D79" s="15" t="str">
        <f>D37</f>
        <v>IMH 스마트 욕창 케어 R&amp;D</v>
      </c>
      <c r="E79" s="15" t="str">
        <f>E37</f>
        <v>기관(직접)</v>
      </c>
      <c r="F79" s="15" t="str">
        <f>F37</f>
        <v>-</v>
      </c>
      <c r="G79" s="15" t="str">
        <f>G37</f>
        <v>계약</v>
      </c>
      <c r="H79" s="15" t="str">
        <f>H37</f>
        <v>A 계약·기존 거래</v>
      </c>
      <c r="I79" s="15" t="str">
        <f>I37</f>
        <v>RND</v>
      </c>
      <c r="J79" s="15" t="str">
        <f>J37</f>
        <v>M</v>
      </c>
      <c r="K79" s="65">
        <f>INDEX('8_가정'!$C$17:$E$24,MATCH($G37,'8_가정'!$A$17:$A$24,0),'1_요약'!$C$5)</f>
        <v>1</v>
      </c>
      <c r="L79" s="69">
        <f>IF($T37="Y",INDEX('8_가정'!$F$17:$H$24,MATCH($G37,'8_가정'!$A$17:$A$24,0),'1_요약'!$C$5),0)</f>
        <v>0</v>
      </c>
      <c r="X79" s="18">
        <f>IF(X$6&lt;='8_가정'!$C$32,X37,$K79*IF(X$6-$L79&gt;'8_가정'!$C$32,INDEX($X37:$AU37,X$6-$L79),0))</f>
        <v>0</v>
      </c>
      <c r="Y79" s="18">
        <f>IF(Y$6&lt;='8_가정'!$C$32,Y37,$K79*IF(Y$6-$L79&gt;'8_가정'!$C$32,INDEX($X37:$AU37,Y$6-$L79),0))</f>
        <v>0</v>
      </c>
      <c r="Z79" s="18">
        <f>IF(Z$6&lt;='8_가정'!$C$32,Z37,$K79*IF(Z$6-$L79&gt;'8_가정'!$C$32,INDEX($X37:$AU37,Z$6-$L79),0))</f>
        <v>0</v>
      </c>
      <c r="AA79" s="18">
        <f>IF(AA$6&lt;='8_가정'!$C$32,AA37,$K79*IF(AA$6-$L79&gt;'8_가정'!$C$32,INDEX($X37:$AU37,AA$6-$L79),0))</f>
        <v>0</v>
      </c>
      <c r="AB79" s="18">
        <f>IF(AB$6&lt;='8_가정'!$C$32,AB37,$K79*IF(AB$6-$L79&gt;'8_가정'!$C$32,INDEX($X37:$AU37,AB$6-$L79),0))</f>
        <v>0</v>
      </c>
      <c r="AC79" s="18">
        <f>IF(AC$6&lt;='8_가정'!$C$32,AC37,$K79*IF(AC$6-$L79&gt;'8_가정'!$C$32,INDEX($X37:$AU37,AC$6-$L79),0))</f>
        <v>0</v>
      </c>
      <c r="AD79" s="18">
        <f>IF(AD$6&lt;='8_가정'!$C$32,AD37,$K79*IF(AD$6-$L79&gt;'8_가정'!$C$32,INDEX($X37:$AU37,AD$6-$L79),0))</f>
        <v>0</v>
      </c>
      <c r="AE79" s="18">
        <f>IF(AE$6&lt;='8_가정'!$C$32,AE37,$K79*IF(AE$6-$L79&gt;'8_가정'!$C$32,INDEX($X37:$AU37,AE$6-$L79),0))</f>
        <v>0</v>
      </c>
      <c r="AF79" s="18">
        <f>IF(AF$6&lt;='8_가정'!$C$32,AF37,$K79*IF(AF$6-$L79&gt;'8_가정'!$C$32,INDEX($X37:$AU37,AF$6-$L79),0))</f>
        <v>0</v>
      </c>
      <c r="AG79" s="18">
        <f>IF(AG$6&lt;='8_가정'!$C$32,AG37,$K79*IF(AG$6-$L79&gt;'8_가정'!$C$32,INDEX($X37:$AU37,AG$6-$L79),0))</f>
        <v>47250</v>
      </c>
      <c r="AH79" s="18">
        <f>IF(AH$6&lt;='8_가정'!$C$32,AH37,$K79*IF(AH$6-$L79&gt;'8_가정'!$C$32,INDEX($X37:$AU37,AH$6-$L79),0))</f>
        <v>0</v>
      </c>
      <c r="AI79" s="18">
        <f>IF(AI$6&lt;='8_가정'!$C$32,AI37,$K79*IF(AI$6-$L79&gt;'8_가정'!$C$32,INDEX($X37:$AU37,AI$6-$L79),0))</f>
        <v>0</v>
      </c>
      <c r="AJ79" s="18">
        <f>IF(AJ$6&lt;='8_가정'!$C$32,AJ37,$K79*IF(AJ$6-$L79&gt;'8_가정'!$C$32,INDEX($X37:$AU37,AJ$6-$L79),0))</f>
        <v>0</v>
      </c>
      <c r="AK79" s="18">
        <f>IF(AK$6&lt;='8_가정'!$C$32,AK37,$K79*IF(AK$6-$L79&gt;'8_가정'!$C$32,INDEX($X37:$AU37,AK$6-$L79),0))</f>
        <v>0</v>
      </c>
      <c r="AL79" s="18">
        <f>IF(AL$6&lt;='8_가정'!$C$32,AL37,$K79*IF(AL$6-$L79&gt;'8_가정'!$C$32,INDEX($X37:$AU37,AL$6-$L79),0))</f>
        <v>50000</v>
      </c>
      <c r="AM79" s="18">
        <f>IF(AM$6&lt;='8_가정'!$C$32,AM37,$K79*IF(AM$6-$L79&gt;'8_가정'!$C$32,INDEX($X37:$AU37,AM$6-$L79),0))</f>
        <v>10000</v>
      </c>
      <c r="AN79" s="18">
        <f>IF(AN$6&lt;='8_가정'!$C$32,AN37,$K79*IF(AN$6-$L79&gt;'8_가정'!$C$32,INDEX($X37:$AU37,AN$6-$L79),0))</f>
        <v>10000</v>
      </c>
      <c r="AO79" s="18">
        <f>IF(AO$6&lt;='8_가정'!$C$32,AO37,$K79*IF(AO$6-$L79&gt;'8_가정'!$C$32,INDEX($X37:$AU37,AO$6-$L79),0))</f>
        <v>10000</v>
      </c>
      <c r="AP79" s="18">
        <f>IF(AP$6&lt;='8_가정'!$C$32,AP37,$K79*IF(AP$6-$L79&gt;'8_가정'!$C$32,INDEX($X37:$AU37,AP$6-$L79),0))</f>
        <v>10000</v>
      </c>
      <c r="AQ79" s="18">
        <f>IF(AQ$6&lt;='8_가정'!$C$32,AQ37,$K79*IF(AQ$6-$L79&gt;'8_가정'!$C$32,INDEX($X37:$AU37,AQ$6-$L79),0))</f>
        <v>10000</v>
      </c>
      <c r="AR79" s="18">
        <f>IF(AR$6&lt;='8_가정'!$C$32,AR37,$K79*IF(AR$6-$L79&gt;'8_가정'!$C$32,INDEX($X37:$AU37,AR$6-$L79),0))</f>
        <v>10000</v>
      </c>
      <c r="AS79" s="18">
        <f>IF(AS$6&lt;='8_가정'!$C$32,AS37,$K79*IF(AS$6-$L79&gt;'8_가정'!$C$32,INDEX($X37:$AU37,AS$6-$L79),0))</f>
        <v>10000</v>
      </c>
      <c r="AT79" s="18">
        <f>IF(AT$6&lt;='8_가정'!$C$32,AT37,$K79*IF(AT$6-$L79&gt;'8_가정'!$C$32,INDEX($X37:$AU37,AT$6-$L79),0))</f>
        <v>10000</v>
      </c>
      <c r="AU79" s="18">
        <f>IF(AU$6&lt;='8_가정'!$C$32,AU37,$K79*IF(AU$6-$L79&gt;'8_가정'!$C$32,INDEX($X37:$AU37,AU$6-$L79),0))</f>
        <v>50000</v>
      </c>
      <c r="AV79" s="23">
        <f>SUM(X79:AI79)</f>
        <v>47250</v>
      </c>
      <c r="AW79" s="23">
        <f>SUM(AJ79:AU79)</f>
        <v>180000</v>
      </c>
      <c r="AX79" s="24">
        <f>$K79*$O37*(1+IF($P37&gt;0,$P37*'8_가정'!$G$27,$P37))</f>
        <v>180000</v>
      </c>
      <c r="AY79" s="24">
        <f>$K79*$O37*(1+IF($P37&gt;0,$P37*'8_가정'!$G$27,$P37))*(1+IF($Q37&gt;0,$Q37*'8_가정'!$G$27,$Q37))</f>
        <v>180000</v>
      </c>
      <c r="AZ79" s="24">
        <f>$K79*$O37*(1+IF($P37&gt;0,$P37*'8_가정'!$G$27,$P37))*(1+IF($Q37&gt;0,$Q37*'8_가정'!$G$27,$Q37))*(1+IF($R37&gt;0,$R37*'8_가정'!$G$27,$R37))</f>
        <v>180000</v>
      </c>
      <c r="BA79" s="25">
        <f>SUM(AV79:AZ79)</f>
        <v>767250</v>
      </c>
    </row>
    <row r="80">
      <c r="A80" s="7">
        <f>A38</f>
        <v>29</v>
      </c>
      <c r="B80" s="15" t="str">
        <f>B38</f>
        <v>호주</v>
      </c>
      <c r="C80" s="15" t="str">
        <f>C38</f>
        <v>동남아·APAC</v>
      </c>
      <c r="D80" s="15" t="str">
        <f>D38</f>
        <v>Healthbeats(호주·뉴질랜드)</v>
      </c>
      <c r="E80" s="15" t="str">
        <f>E38</f>
        <v>총판</v>
      </c>
      <c r="F80" s="15" t="str">
        <f>F38</f>
        <v>-</v>
      </c>
      <c r="G80" s="15" t="str">
        <f>G38</f>
        <v>계약</v>
      </c>
      <c r="H80" s="15" t="str">
        <f>H38</f>
        <v>A 계약·기존 거래</v>
      </c>
      <c r="I80" s="15" t="str">
        <f>I38</f>
        <v>DIST</v>
      </c>
      <c r="J80" s="15" t="str">
        <f>J38</f>
        <v>M</v>
      </c>
      <c r="K80" s="65">
        <f>INDEX('8_가정'!$C$17:$E$24,MATCH($G38,'8_가정'!$A$17:$A$24,0),'1_요약'!$C$5)</f>
        <v>1</v>
      </c>
      <c r="L80" s="69">
        <f>IF($T38="Y",INDEX('8_가정'!$F$17:$H$24,MATCH($G38,'8_가정'!$A$17:$A$24,0),'1_요약'!$C$5),0)</f>
        <v>0</v>
      </c>
      <c r="X80" s="18">
        <f>IF(X$6&lt;='8_가정'!$C$32,X38,$K80*IF(X$6-$L80&gt;'8_가정'!$C$32,INDEX($X38:$AU38,X$6-$L80),0))</f>
        <v>0</v>
      </c>
      <c r="Y80" s="18">
        <f>IF(Y$6&lt;='8_가정'!$C$32,Y38,$K80*IF(Y$6-$L80&gt;'8_가정'!$C$32,INDEX($X38:$AU38,Y$6-$L80),0))</f>
        <v>0</v>
      </c>
      <c r="Z80" s="18">
        <f>IF(Z$6&lt;='8_가정'!$C$32,Z38,$K80*IF(Z$6-$L80&gt;'8_가정'!$C$32,INDEX($X38:$AU38,Z$6-$L80),0))</f>
        <v>0</v>
      </c>
      <c r="AA80" s="18">
        <f>IF(AA$6&lt;='8_가정'!$C$32,AA38,$K80*IF(AA$6-$L80&gt;'8_가정'!$C$32,INDEX($X38:$AU38,AA$6-$L80),0))</f>
        <v>0</v>
      </c>
      <c r="AB80" s="18">
        <f>IF(AB$6&lt;='8_가정'!$C$32,AB38,$K80*IF(AB$6-$L80&gt;'8_가정'!$C$32,INDEX($X38:$AU38,AB$6-$L80),0))</f>
        <v>0</v>
      </c>
      <c r="AC80" s="18">
        <f>IF(AC$6&lt;='8_가정'!$C$32,AC38,$K80*IF(AC$6-$L80&gt;'8_가정'!$C$32,INDEX($X38:$AU38,AC$6-$L80),0))</f>
        <v>0</v>
      </c>
      <c r="AD80" s="18">
        <f>IF(AD$6&lt;='8_가정'!$C$32,AD38,$K80*IF(AD$6-$L80&gt;'8_가정'!$C$32,INDEX($X38:$AU38,AD$6-$L80),0))</f>
        <v>0</v>
      </c>
      <c r="AE80" s="18">
        <f>IF(AE$6&lt;='8_가정'!$C$32,AE38,$K80*IF(AE$6-$L80&gt;'8_가정'!$C$32,INDEX($X38:$AU38,AE$6-$L80),0))</f>
        <v>0</v>
      </c>
      <c r="AF80" s="18">
        <f>IF(AF$6&lt;='8_가정'!$C$32,AF38,$K80*IF(AF$6-$L80&gt;'8_가정'!$C$32,INDEX($X38:$AU38,AF$6-$L80),0))</f>
        <v>0</v>
      </c>
      <c r="AG80" s="18">
        <f>IF(AG$6&lt;='8_가정'!$C$32,AG38,$K80*IF(AG$6-$L80&gt;'8_가정'!$C$32,INDEX($X38:$AU38,AG$6-$L80),0))</f>
        <v>0</v>
      </c>
      <c r="AH80" s="18">
        <f>IF(AH$6&lt;='8_가정'!$C$32,AH38,$K80*IF(AH$6-$L80&gt;'8_가정'!$C$32,INDEX($X38:$AU38,AH$6-$L80),0))</f>
        <v>0</v>
      </c>
      <c r="AI80" s="18">
        <f>IF(AI$6&lt;='8_가정'!$C$32,AI38,$K80*IF(AI$6-$L80&gt;'8_가정'!$C$32,INDEX($X38:$AU38,AI$6-$L80),0))</f>
        <v>0</v>
      </c>
      <c r="AJ80" s="18">
        <f>IF(AJ$6&lt;='8_가정'!$C$32,AJ38,$K80*IF(AJ$6-$L80&gt;'8_가정'!$C$32,INDEX($X38:$AU38,AJ$6-$L80),0))</f>
        <v>0</v>
      </c>
      <c r="AK80" s="18">
        <f>IF(AK$6&lt;='8_가정'!$C$32,AK38,$K80*IF(AK$6-$L80&gt;'8_가정'!$C$32,INDEX($X38:$AU38,AK$6-$L80),0))</f>
        <v>0</v>
      </c>
      <c r="AL80" s="18">
        <f>IF(AL$6&lt;='8_가정'!$C$32,AL38,$K80*IF(AL$6-$L80&gt;'8_가정'!$C$32,INDEX($X38:$AU38,AL$6-$L80),0))</f>
        <v>0</v>
      </c>
      <c r="AM80" s="18">
        <f>IF(AM$6&lt;='8_가정'!$C$32,AM38,$K80*IF(AM$6-$L80&gt;'8_가정'!$C$32,INDEX($X38:$AU38,AM$6-$L80),0))</f>
        <v>100000</v>
      </c>
      <c r="AN80" s="18">
        <f>IF(AN$6&lt;='8_가정'!$C$32,AN38,$K80*IF(AN$6-$L80&gt;'8_가정'!$C$32,INDEX($X38:$AU38,AN$6-$L80),0))</f>
        <v>0</v>
      </c>
      <c r="AO80" s="18">
        <f>IF(AO$6&lt;='8_가정'!$C$32,AO38,$K80*IF(AO$6-$L80&gt;'8_가정'!$C$32,INDEX($X38:$AU38,AO$6-$L80),0))</f>
        <v>0</v>
      </c>
      <c r="AP80" s="18">
        <f>IF(AP$6&lt;='8_가정'!$C$32,AP38,$K80*IF(AP$6-$L80&gt;'8_가정'!$C$32,INDEX($X38:$AU38,AP$6-$L80),0))</f>
        <v>0</v>
      </c>
      <c r="AQ80" s="18">
        <f>IF(AQ$6&lt;='8_가정'!$C$32,AQ38,$K80*IF(AQ$6-$L80&gt;'8_가정'!$C$32,INDEX($X38:$AU38,AQ$6-$L80),0))</f>
        <v>100000</v>
      </c>
      <c r="AR80" s="18">
        <f>IF(AR$6&lt;='8_가정'!$C$32,AR38,$K80*IF(AR$6-$L80&gt;'8_가정'!$C$32,INDEX($X38:$AU38,AR$6-$L80),0))</f>
        <v>0</v>
      </c>
      <c r="AS80" s="18">
        <f>IF(AS$6&lt;='8_가정'!$C$32,AS38,$K80*IF(AS$6-$L80&gt;'8_가정'!$C$32,INDEX($X38:$AU38,AS$6-$L80),0))</f>
        <v>0</v>
      </c>
      <c r="AT80" s="18">
        <f>IF(AT$6&lt;='8_가정'!$C$32,AT38,$K80*IF(AT$6-$L80&gt;'8_가정'!$C$32,INDEX($X38:$AU38,AT$6-$L80),0))</f>
        <v>0</v>
      </c>
      <c r="AU80" s="18">
        <f>IF(AU$6&lt;='8_가정'!$C$32,AU38,$K80*IF(AU$6-$L80&gt;'8_가정'!$C$32,INDEX($X38:$AU38,AU$6-$L80),0))</f>
        <v>100000</v>
      </c>
      <c r="AV80" s="23">
        <f>SUM(X80:AI80)</f>
        <v>0</v>
      </c>
      <c r="AW80" s="23">
        <f>SUM(AJ80:AU80)</f>
        <v>300000</v>
      </c>
      <c r="AX80" s="24">
        <f>$K80*$O38*(1+IF($P38&gt;0,$P38*'8_가정'!$G$27,$P38))</f>
        <v>780000</v>
      </c>
      <c r="AY80" s="24">
        <f>$K80*$O38*(1+IF($P38&gt;0,$P38*'8_가정'!$G$27,$P38))*(1+IF($Q38&gt;0,$Q38*'8_가정'!$G$27,$Q38))</f>
        <v>1404000</v>
      </c>
      <c r="AZ80" s="24">
        <f>$K80*$O38*(1+IF($P38&gt;0,$P38*'8_가정'!$G$27,$P38))*(1+IF($Q38&gt;0,$Q38*'8_가정'!$G$27,$Q38))*(1+IF($R38&gt;0,$R38*'8_가정'!$G$27,$R38))</f>
        <v>2077920</v>
      </c>
      <c r="BA80" s="25">
        <f>SUM(AV80:AZ80)</f>
        <v>4561920</v>
      </c>
    </row>
    <row r="81">
      <c r="A81" s="7">
        <f>A39</f>
        <v>30</v>
      </c>
      <c r="B81" s="15" t="str">
        <f>B39</f>
        <v>일본</v>
      </c>
      <c r="C81" s="15" t="str">
        <f>C39</f>
        <v>일본</v>
      </c>
      <c r="D81" s="15" t="str">
        <f>D39</f>
        <v>일본 신규 시설·재가 채널(하트키움·TAIS 외 직접 도입)</v>
      </c>
      <c r="E81" s="15" t="str">
        <f>E39</f>
        <v>신규 파이프라인</v>
      </c>
      <c r="F81" s="15" t="str">
        <f>F39</f>
        <v>-</v>
      </c>
      <c r="G81" s="15" t="str">
        <f>G39</f>
        <v>신규</v>
      </c>
      <c r="H81" s="15" t="str">
        <f>H39</f>
        <v>C 신규 파이프라인(미확정)</v>
      </c>
      <c r="I81" s="15" t="str">
        <f>I39</f>
        <v>COH</v>
      </c>
      <c r="J81" s="15" t="str">
        <f>J39</f>
        <v>C</v>
      </c>
      <c r="K81" s="65">
        <f>INDEX('8_가정'!$C$17:$E$24,MATCH($G39,'8_가정'!$A$17:$A$24,0),'1_요약'!$C$5)</f>
        <v>1</v>
      </c>
      <c r="L81" s="8" t="n">
        <v>0</v>
      </c>
      <c r="X81" s="18">
        <f>IF(X$6&lt;='8_가정'!$C$32,X39,$K81*IF(X$6-$L81&gt;'8_가정'!$C$32,INDEX($X39:$AU39,X$6-$L81),0))</f>
        <v>0</v>
      </c>
      <c r="Y81" s="18">
        <f>IF(Y$6&lt;='8_가정'!$C$32,Y39,$K81*IF(Y$6-$L81&gt;'8_가정'!$C$32,INDEX($X39:$AU39,Y$6-$L81),0))</f>
        <v>0</v>
      </c>
      <c r="Z81" s="18">
        <f>IF(Z$6&lt;='8_가정'!$C$32,Z39,$K81*IF(Z$6-$L81&gt;'8_가정'!$C$32,INDEX($X39:$AU39,Z$6-$L81),0))</f>
        <v>0</v>
      </c>
      <c r="AA81" s="18">
        <f>IF(AA$6&lt;='8_가정'!$C$32,AA39,$K81*IF(AA$6-$L81&gt;'8_가정'!$C$32,INDEX($X39:$AU39,AA$6-$L81),0))</f>
        <v>0</v>
      </c>
      <c r="AB81" s="18">
        <f>IF(AB$6&lt;='8_가정'!$C$32,AB39,$K81*IF(AB$6-$L81&gt;'8_가정'!$C$32,INDEX($X39:$AU39,AB$6-$L81),0))</f>
        <v>0</v>
      </c>
      <c r="AC81" s="18">
        <f>IF(AC$6&lt;='8_가정'!$C$32,AC39,$K81*IF(AC$6-$L81&gt;'8_가정'!$C$32,INDEX($X39:$AU39,AC$6-$L81),0))</f>
        <v>0</v>
      </c>
      <c r="AD81" s="18">
        <f>IF(AD$6&lt;='8_가정'!$C$32,AD39,$K81*IF(AD$6-$L81&gt;'8_가정'!$C$32,INDEX($X39:$AU39,AD$6-$L81),0))</f>
        <v>0</v>
      </c>
      <c r="AE81" s="18">
        <f>IF(AE$6&lt;='8_가정'!$C$32,AE39,$K81*IF(AE$6-$L81&gt;'8_가정'!$C$32,INDEX($X39:$AU39,AE$6-$L81),0))</f>
        <v>0</v>
      </c>
      <c r="AF81" s="18">
        <f>IF(AF$6&lt;='8_가정'!$C$32,AF39,$K81*IF(AF$6-$L81&gt;'8_가정'!$C$32,INDEX($X39:$AU39,AF$6-$L81),0))</f>
        <v>0</v>
      </c>
      <c r="AG81" s="18">
        <f>IF(AG$6&lt;='8_가정'!$C$32,AG39,$K81*IF(AG$6-$L81&gt;'8_가정'!$C$32,INDEX($X39:$AU39,AG$6-$L81),0))</f>
        <v>0</v>
      </c>
      <c r="AH81" s="18">
        <f>IF(AH$6&lt;='8_가정'!$C$32,AH39,$K81*IF(AH$6-$L81&gt;'8_가정'!$C$32,INDEX($X39:$AU39,AH$6-$L81),0))</f>
        <v>0</v>
      </c>
      <c r="AI81" s="18">
        <f>IF(AI$6&lt;='8_가정'!$C$32,AI39,$K81*IF(AI$6-$L81&gt;'8_가정'!$C$32,INDEX($X39:$AU39,AI$6-$L81),0))</f>
        <v>0</v>
      </c>
      <c r="AJ81" s="18">
        <f>IF(AJ$6&lt;='8_가정'!$C$32,AJ39,$K81*IF(AJ$6-$L81&gt;'8_가정'!$C$32,INDEX($X39:$AU39,AJ$6-$L81),0))</f>
        <v>0</v>
      </c>
      <c r="AK81" s="18">
        <f>IF(AK$6&lt;='8_가정'!$C$32,AK39,$K81*IF(AK$6-$L81&gt;'8_가정'!$C$32,INDEX($X39:$AU39,AK$6-$L81),0))</f>
        <v>0</v>
      </c>
      <c r="AL81" s="18">
        <f>IF(AL$6&lt;='8_가정'!$C$32,AL39,$K81*IF(AL$6-$L81&gt;'8_가정'!$C$32,INDEX($X39:$AU39,AL$6-$L81),0))</f>
        <v>0</v>
      </c>
      <c r="AM81" s="18">
        <f>IF(AM$6&lt;='8_가정'!$C$32,AM39,$K81*IF(AM$6-$L81&gt;'8_가정'!$C$32,INDEX($X39:$AU39,AM$6-$L81),0))</f>
        <v>0</v>
      </c>
      <c r="AN81" s="18">
        <f>IF(AN$6&lt;='8_가정'!$C$32,AN39,$K81*IF(AN$6-$L81&gt;'8_가정'!$C$32,INDEX($X39:$AU39,AN$6-$L81),0))</f>
        <v>0</v>
      </c>
      <c r="AO81" s="18">
        <f>IF(AO$6&lt;='8_가정'!$C$32,AO39,$K81*IF(AO$6-$L81&gt;'8_가정'!$C$32,INDEX($X39:$AU39,AO$6-$L81),0))</f>
        <v>0</v>
      </c>
      <c r="AP81" s="18">
        <f>IF(AP$6&lt;='8_가정'!$C$32,AP39,$K81*IF(AP$6-$L81&gt;'8_가정'!$C$32,INDEX($X39:$AU39,AP$6-$L81),0))</f>
        <v>0</v>
      </c>
      <c r="AQ81" s="18">
        <f>IF(AQ$6&lt;='8_가정'!$C$32,AQ39,$K81*IF(AQ$6-$L81&gt;'8_가정'!$C$32,INDEX($X39:$AU39,AQ$6-$L81),0))</f>
        <v>0</v>
      </c>
      <c r="AR81" s="18">
        <f>IF(AR$6&lt;='8_가정'!$C$32,AR39,$K81*IF(AR$6-$L81&gt;'8_가정'!$C$32,INDEX($X39:$AU39,AR$6-$L81),0))</f>
        <v>0</v>
      </c>
      <c r="AS81" s="18">
        <f>IF(AS$6&lt;='8_가정'!$C$32,AS39,$K81*IF(AS$6-$L81&gt;'8_가정'!$C$32,INDEX($X39:$AU39,AS$6-$L81),0))</f>
        <v>0</v>
      </c>
      <c r="AT81" s="18">
        <f>IF(AT$6&lt;='8_가정'!$C$32,AT39,$K81*IF(AT$6-$L81&gt;'8_가정'!$C$32,INDEX($X39:$AU39,AT$6-$L81),0))</f>
        <v>0</v>
      </c>
      <c r="AU81" s="18">
        <f>IF(AU$6&lt;='8_가정'!$C$32,AU39,$K81*IF(AU$6-$L81&gt;'8_가정'!$C$32,INDEX($X39:$AU39,AU$6-$L81),0))</f>
        <v>0</v>
      </c>
      <c r="AV81" s="23">
        <f>SUM(X81:AI81)</f>
        <v>0</v>
      </c>
      <c r="AW81" s="23">
        <f>SUM(AJ81:AU81)</f>
        <v>0</v>
      </c>
      <c r="AX81" s="24">
        <f>AX39*'8_가정'!$G$28</f>
        <v>3000000</v>
      </c>
      <c r="AY81" s="24">
        <f>AY39*'8_가정'!$G$29</f>
        <v>9000000</v>
      </c>
      <c r="AZ81" s="24">
        <f>AZ39*'8_가정'!$G$30</f>
        <v>28000000</v>
      </c>
      <c r="BA81" s="25">
        <f>SUM(AV81:AZ81)</f>
        <v>40000000</v>
      </c>
    </row>
    <row r="82">
      <c r="A82" s="7">
        <f>A40</f>
        <v>31</v>
      </c>
      <c r="B82" s="15" t="str">
        <f>B40</f>
        <v>싱가포르·말레이시아 외</v>
      </c>
      <c r="C82" s="15" t="str">
        <f>C40</f>
        <v>동남아·APAC</v>
      </c>
      <c r="D82" s="15" t="str">
        <f>D40</f>
        <v>동남아 병원·요양그룹 확대(IHH·NTUC·SingHealth·Econ·ACG 전환)</v>
      </c>
      <c r="E82" s="15" t="str">
        <f>E40</f>
        <v>신규 파이프라인</v>
      </c>
      <c r="F82" s="15" t="str">
        <f>F40</f>
        <v>-</v>
      </c>
      <c r="G82" s="15" t="str">
        <f>G40</f>
        <v>신규</v>
      </c>
      <c r="H82" s="15" t="str">
        <f>H40</f>
        <v>C 신규 파이프라인(미확정)</v>
      </c>
      <c r="I82" s="15" t="str">
        <f>I40</f>
        <v>COH</v>
      </c>
      <c r="J82" s="15" t="str">
        <f>J40</f>
        <v>C</v>
      </c>
      <c r="K82" s="65">
        <f>INDEX('8_가정'!$C$17:$E$24,MATCH($G40,'8_가정'!$A$17:$A$24,0),'1_요약'!$C$5)</f>
        <v>1</v>
      </c>
      <c r="L82" s="8" t="n">
        <v>0</v>
      </c>
      <c r="X82" s="18">
        <f>IF(X$6&lt;='8_가정'!$C$32,X40,$K82*IF(X$6-$L82&gt;'8_가정'!$C$32,INDEX($X40:$AU40,X$6-$L82),0))</f>
        <v>0</v>
      </c>
      <c r="Y82" s="18">
        <f>IF(Y$6&lt;='8_가정'!$C$32,Y40,$K82*IF(Y$6-$L82&gt;'8_가정'!$C$32,INDEX($X40:$AU40,Y$6-$L82),0))</f>
        <v>0</v>
      </c>
      <c r="Z82" s="18">
        <f>IF(Z$6&lt;='8_가정'!$C$32,Z40,$K82*IF(Z$6-$L82&gt;'8_가정'!$C$32,INDEX($X40:$AU40,Z$6-$L82),0))</f>
        <v>0</v>
      </c>
      <c r="AA82" s="18">
        <f>IF(AA$6&lt;='8_가정'!$C$32,AA40,$K82*IF(AA$6-$L82&gt;'8_가정'!$C$32,INDEX($X40:$AU40,AA$6-$L82),0))</f>
        <v>0</v>
      </c>
      <c r="AB82" s="18">
        <f>IF(AB$6&lt;='8_가정'!$C$32,AB40,$K82*IF(AB$6-$L82&gt;'8_가정'!$C$32,INDEX($X40:$AU40,AB$6-$L82),0))</f>
        <v>0</v>
      </c>
      <c r="AC82" s="18">
        <f>IF(AC$6&lt;='8_가정'!$C$32,AC40,$K82*IF(AC$6-$L82&gt;'8_가정'!$C$32,INDEX($X40:$AU40,AC$6-$L82),0))</f>
        <v>0</v>
      </c>
      <c r="AD82" s="18">
        <f>IF(AD$6&lt;='8_가정'!$C$32,AD40,$K82*IF(AD$6-$L82&gt;'8_가정'!$C$32,INDEX($X40:$AU40,AD$6-$L82),0))</f>
        <v>0</v>
      </c>
      <c r="AE82" s="18">
        <f>IF(AE$6&lt;='8_가정'!$C$32,AE40,$K82*IF(AE$6-$L82&gt;'8_가정'!$C$32,INDEX($X40:$AU40,AE$6-$L82),0))</f>
        <v>0</v>
      </c>
      <c r="AF82" s="18">
        <f>IF(AF$6&lt;='8_가정'!$C$32,AF40,$K82*IF(AF$6-$L82&gt;'8_가정'!$C$32,INDEX($X40:$AU40,AF$6-$L82),0))</f>
        <v>0</v>
      </c>
      <c r="AG82" s="18">
        <f>IF(AG$6&lt;='8_가정'!$C$32,AG40,$K82*IF(AG$6-$L82&gt;'8_가정'!$C$32,INDEX($X40:$AU40,AG$6-$L82),0))</f>
        <v>0</v>
      </c>
      <c r="AH82" s="18">
        <f>IF(AH$6&lt;='8_가정'!$C$32,AH40,$K82*IF(AH$6-$L82&gt;'8_가정'!$C$32,INDEX($X40:$AU40,AH$6-$L82),0))</f>
        <v>0</v>
      </c>
      <c r="AI82" s="18">
        <f>IF(AI$6&lt;='8_가정'!$C$32,AI40,$K82*IF(AI$6-$L82&gt;'8_가정'!$C$32,INDEX($X40:$AU40,AI$6-$L82),0))</f>
        <v>0</v>
      </c>
      <c r="AJ82" s="18">
        <f>IF(AJ$6&lt;='8_가정'!$C$32,AJ40,$K82*IF(AJ$6-$L82&gt;'8_가정'!$C$32,INDEX($X40:$AU40,AJ$6-$L82),0))</f>
        <v>0</v>
      </c>
      <c r="AK82" s="18">
        <f>IF(AK$6&lt;='8_가정'!$C$32,AK40,$K82*IF(AK$6-$L82&gt;'8_가정'!$C$32,INDEX($X40:$AU40,AK$6-$L82),0))</f>
        <v>0</v>
      </c>
      <c r="AL82" s="18">
        <f>IF(AL$6&lt;='8_가정'!$C$32,AL40,$K82*IF(AL$6-$L82&gt;'8_가정'!$C$32,INDEX($X40:$AU40,AL$6-$L82),0))</f>
        <v>0</v>
      </c>
      <c r="AM82" s="18">
        <f>IF(AM$6&lt;='8_가정'!$C$32,AM40,$K82*IF(AM$6-$L82&gt;'8_가정'!$C$32,INDEX($X40:$AU40,AM$6-$L82),0))</f>
        <v>0</v>
      </c>
      <c r="AN82" s="18">
        <f>IF(AN$6&lt;='8_가정'!$C$32,AN40,$K82*IF(AN$6-$L82&gt;'8_가정'!$C$32,INDEX($X40:$AU40,AN$6-$L82),0))</f>
        <v>0</v>
      </c>
      <c r="AO82" s="18">
        <f>IF(AO$6&lt;='8_가정'!$C$32,AO40,$K82*IF(AO$6-$L82&gt;'8_가정'!$C$32,INDEX($X40:$AU40,AO$6-$L82),0))</f>
        <v>0</v>
      </c>
      <c r="AP82" s="18">
        <f>IF(AP$6&lt;='8_가정'!$C$32,AP40,$K82*IF(AP$6-$L82&gt;'8_가정'!$C$32,INDEX($X40:$AU40,AP$6-$L82),0))</f>
        <v>0</v>
      </c>
      <c r="AQ82" s="18">
        <f>IF(AQ$6&lt;='8_가정'!$C$32,AQ40,$K82*IF(AQ$6-$L82&gt;'8_가정'!$C$32,INDEX($X40:$AU40,AQ$6-$L82),0))</f>
        <v>0</v>
      </c>
      <c r="AR82" s="18">
        <f>IF(AR$6&lt;='8_가정'!$C$32,AR40,$K82*IF(AR$6-$L82&gt;'8_가정'!$C$32,INDEX($X40:$AU40,AR$6-$L82),0))</f>
        <v>0</v>
      </c>
      <c r="AS82" s="18">
        <f>IF(AS$6&lt;='8_가정'!$C$32,AS40,$K82*IF(AS$6-$L82&gt;'8_가정'!$C$32,INDEX($X40:$AU40,AS$6-$L82),0))</f>
        <v>0</v>
      </c>
      <c r="AT82" s="18">
        <f>IF(AT$6&lt;='8_가정'!$C$32,AT40,$K82*IF(AT$6-$L82&gt;'8_가정'!$C$32,INDEX($X40:$AU40,AT$6-$L82),0))</f>
        <v>0</v>
      </c>
      <c r="AU82" s="18">
        <f>IF(AU$6&lt;='8_가정'!$C$32,AU40,$K82*IF(AU$6-$L82&gt;'8_가정'!$C$32,INDEX($X40:$AU40,AU$6-$L82),0))</f>
        <v>0</v>
      </c>
      <c r="AV82" s="23">
        <f>SUM(X82:AI82)</f>
        <v>0</v>
      </c>
      <c r="AW82" s="23">
        <f>SUM(AJ82:AU82)</f>
        <v>0</v>
      </c>
      <c r="AX82" s="24">
        <f>AX40*'8_가정'!$G$28</f>
        <v>2000000</v>
      </c>
      <c r="AY82" s="24">
        <f>AY40*'8_가정'!$G$29</f>
        <v>6000000</v>
      </c>
      <c r="AZ82" s="24">
        <f>AZ40*'8_가정'!$G$30</f>
        <v>17000000</v>
      </c>
      <c r="BA82" s="25">
        <f>SUM(AV82:AZ82)</f>
        <v>25000000</v>
      </c>
    </row>
    <row r="83">
      <c r="A83" s="7">
        <f>A41</f>
        <v>32</v>
      </c>
      <c r="B83" s="15" t="str">
        <f>B41</f>
        <v>유럽</v>
      </c>
      <c r="C83" s="15" t="str">
        <f>C41</f>
        <v>유럽</v>
      </c>
      <c r="D83" s="15" t="str">
        <f>D41</f>
        <v>유럽 총판 확대(NL·DE·PL·PT·북유럽)</v>
      </c>
      <c r="E83" s="15" t="str">
        <f>E41</f>
        <v>신규 파이프라인</v>
      </c>
      <c r="F83" s="15" t="str">
        <f>F41</f>
        <v>-</v>
      </c>
      <c r="G83" s="15" t="str">
        <f>G41</f>
        <v>신규</v>
      </c>
      <c r="H83" s="15" t="str">
        <f>H41</f>
        <v>C 신규 파이프라인(미확정)</v>
      </c>
      <c r="I83" s="15" t="str">
        <f>I41</f>
        <v>COH</v>
      </c>
      <c r="J83" s="15" t="str">
        <f>J41</f>
        <v>C</v>
      </c>
      <c r="K83" s="65">
        <f>INDEX('8_가정'!$C$17:$E$24,MATCH($G41,'8_가정'!$A$17:$A$24,0),'1_요약'!$C$5)</f>
        <v>1</v>
      </c>
      <c r="L83" s="8" t="n">
        <v>0</v>
      </c>
      <c r="X83" s="18">
        <f>IF(X$6&lt;='8_가정'!$C$32,X41,$K83*IF(X$6-$L83&gt;'8_가정'!$C$32,INDEX($X41:$AU41,X$6-$L83),0))</f>
        <v>0</v>
      </c>
      <c r="Y83" s="18">
        <f>IF(Y$6&lt;='8_가정'!$C$32,Y41,$K83*IF(Y$6-$L83&gt;'8_가정'!$C$32,INDEX($X41:$AU41,Y$6-$L83),0))</f>
        <v>0</v>
      </c>
      <c r="Z83" s="18">
        <f>IF(Z$6&lt;='8_가정'!$C$32,Z41,$K83*IF(Z$6-$L83&gt;'8_가정'!$C$32,INDEX($X41:$AU41,Z$6-$L83),0))</f>
        <v>0</v>
      </c>
      <c r="AA83" s="18">
        <f>IF(AA$6&lt;='8_가정'!$C$32,AA41,$K83*IF(AA$6-$L83&gt;'8_가정'!$C$32,INDEX($X41:$AU41,AA$6-$L83),0))</f>
        <v>0</v>
      </c>
      <c r="AB83" s="18">
        <f>IF(AB$6&lt;='8_가정'!$C$32,AB41,$K83*IF(AB$6-$L83&gt;'8_가정'!$C$32,INDEX($X41:$AU41,AB$6-$L83),0))</f>
        <v>0</v>
      </c>
      <c r="AC83" s="18">
        <f>IF(AC$6&lt;='8_가정'!$C$32,AC41,$K83*IF(AC$6-$L83&gt;'8_가정'!$C$32,INDEX($X41:$AU41,AC$6-$L83),0))</f>
        <v>0</v>
      </c>
      <c r="AD83" s="18">
        <f>IF(AD$6&lt;='8_가정'!$C$32,AD41,$K83*IF(AD$6-$L83&gt;'8_가정'!$C$32,INDEX($X41:$AU41,AD$6-$L83),0))</f>
        <v>0</v>
      </c>
      <c r="AE83" s="18">
        <f>IF(AE$6&lt;='8_가정'!$C$32,AE41,$K83*IF(AE$6-$L83&gt;'8_가정'!$C$32,INDEX($X41:$AU41,AE$6-$L83),0))</f>
        <v>0</v>
      </c>
      <c r="AF83" s="18">
        <f>IF(AF$6&lt;='8_가정'!$C$32,AF41,$K83*IF(AF$6-$L83&gt;'8_가정'!$C$32,INDEX($X41:$AU41,AF$6-$L83),0))</f>
        <v>0</v>
      </c>
      <c r="AG83" s="18">
        <f>IF(AG$6&lt;='8_가정'!$C$32,AG41,$K83*IF(AG$6-$L83&gt;'8_가정'!$C$32,INDEX($X41:$AU41,AG$6-$L83),0))</f>
        <v>0</v>
      </c>
      <c r="AH83" s="18">
        <f>IF(AH$6&lt;='8_가정'!$C$32,AH41,$K83*IF(AH$6-$L83&gt;'8_가정'!$C$32,INDEX($X41:$AU41,AH$6-$L83),0))</f>
        <v>0</v>
      </c>
      <c r="AI83" s="18">
        <f>IF(AI$6&lt;='8_가정'!$C$32,AI41,$K83*IF(AI$6-$L83&gt;'8_가정'!$C$32,INDEX($X41:$AU41,AI$6-$L83),0))</f>
        <v>0</v>
      </c>
      <c r="AJ83" s="18">
        <f>IF(AJ$6&lt;='8_가정'!$C$32,AJ41,$K83*IF(AJ$6-$L83&gt;'8_가정'!$C$32,INDEX($X41:$AU41,AJ$6-$L83),0))</f>
        <v>0</v>
      </c>
      <c r="AK83" s="18">
        <f>IF(AK$6&lt;='8_가정'!$C$32,AK41,$K83*IF(AK$6-$L83&gt;'8_가정'!$C$32,INDEX($X41:$AU41,AK$6-$L83),0))</f>
        <v>0</v>
      </c>
      <c r="AL83" s="18">
        <f>IF(AL$6&lt;='8_가정'!$C$32,AL41,$K83*IF(AL$6-$L83&gt;'8_가정'!$C$32,INDEX($X41:$AU41,AL$6-$L83),0))</f>
        <v>0</v>
      </c>
      <c r="AM83" s="18">
        <f>IF(AM$6&lt;='8_가정'!$C$32,AM41,$K83*IF(AM$6-$L83&gt;'8_가정'!$C$32,INDEX($X41:$AU41,AM$6-$L83),0))</f>
        <v>0</v>
      </c>
      <c r="AN83" s="18">
        <f>IF(AN$6&lt;='8_가정'!$C$32,AN41,$K83*IF(AN$6-$L83&gt;'8_가정'!$C$32,INDEX($X41:$AU41,AN$6-$L83),0))</f>
        <v>0</v>
      </c>
      <c r="AO83" s="18">
        <f>IF(AO$6&lt;='8_가정'!$C$32,AO41,$K83*IF(AO$6-$L83&gt;'8_가정'!$C$32,INDEX($X41:$AU41,AO$6-$L83),0))</f>
        <v>0</v>
      </c>
      <c r="AP83" s="18">
        <f>IF(AP$6&lt;='8_가정'!$C$32,AP41,$K83*IF(AP$6-$L83&gt;'8_가정'!$C$32,INDEX($X41:$AU41,AP$6-$L83),0))</f>
        <v>0</v>
      </c>
      <c r="AQ83" s="18">
        <f>IF(AQ$6&lt;='8_가정'!$C$32,AQ41,$K83*IF(AQ$6-$L83&gt;'8_가정'!$C$32,INDEX($X41:$AU41,AQ$6-$L83),0))</f>
        <v>0</v>
      </c>
      <c r="AR83" s="18">
        <f>IF(AR$6&lt;='8_가정'!$C$32,AR41,$K83*IF(AR$6-$L83&gt;'8_가정'!$C$32,INDEX($X41:$AU41,AR$6-$L83),0))</f>
        <v>0</v>
      </c>
      <c r="AS83" s="18">
        <f>IF(AS$6&lt;='8_가정'!$C$32,AS41,$K83*IF(AS$6-$L83&gt;'8_가정'!$C$32,INDEX($X41:$AU41,AS$6-$L83),0))</f>
        <v>0</v>
      </c>
      <c r="AT83" s="18">
        <f>IF(AT$6&lt;='8_가정'!$C$32,AT41,$K83*IF(AT$6-$L83&gt;'8_가정'!$C$32,INDEX($X41:$AU41,AT$6-$L83),0))</f>
        <v>0</v>
      </c>
      <c r="AU83" s="18">
        <f>IF(AU$6&lt;='8_가정'!$C$32,AU41,$K83*IF(AU$6-$L83&gt;'8_가정'!$C$32,INDEX($X41:$AU41,AU$6-$L83),0))</f>
        <v>0</v>
      </c>
      <c r="AV83" s="23">
        <f>SUM(X83:AI83)</f>
        <v>0</v>
      </c>
      <c r="AW83" s="23">
        <f>SUM(AJ83:AU83)</f>
        <v>0</v>
      </c>
      <c r="AX83" s="24">
        <f>AX41*'8_가정'!$G$28</f>
        <v>1200000</v>
      </c>
      <c r="AY83" s="24">
        <f>AY41*'8_가정'!$G$29</f>
        <v>3300000</v>
      </c>
      <c r="AZ83" s="24">
        <f>AZ41*'8_가정'!$G$30</f>
        <v>11000000</v>
      </c>
      <c r="BA83" s="25">
        <f>SUM(AV83:AZ83)</f>
        <v>15500000</v>
      </c>
    </row>
    <row r="84">
      <c r="A84" s="7">
        <f>A42</f>
        <v>33</v>
      </c>
      <c r="B84" s="15" t="str">
        <f>B42</f>
        <v>미국</v>
      </c>
      <c r="C84" s="15" t="str">
        <f>C42</f>
        <v>미국</v>
      </c>
      <c r="D84" s="15" t="str">
        <f>D42</f>
        <v>미국 의료유통 채널(Shelter Device PoC → 2029 유통 진입)</v>
      </c>
      <c r="E84" s="15" t="str">
        <f>E42</f>
        <v>신규 파이프라인</v>
      </c>
      <c r="F84" s="15" t="str">
        <f>F42</f>
        <v>-</v>
      </c>
      <c r="G84" s="15" t="str">
        <f>G42</f>
        <v>신규</v>
      </c>
      <c r="H84" s="15" t="str">
        <f>H42</f>
        <v>C 신규 파이프라인(미확정)</v>
      </c>
      <c r="I84" s="15" t="str">
        <f>I42</f>
        <v>COH</v>
      </c>
      <c r="J84" s="15" t="str">
        <f>J42</f>
        <v>C</v>
      </c>
      <c r="K84" s="65">
        <f>INDEX('8_가정'!$C$17:$E$24,MATCH($G42,'8_가정'!$A$17:$A$24,0),'1_요약'!$C$5)</f>
        <v>1</v>
      </c>
      <c r="L84" s="8" t="n">
        <v>0</v>
      </c>
      <c r="X84" s="18">
        <f>IF(X$6&lt;='8_가정'!$C$32,X42,$K84*IF(X$6-$L84&gt;'8_가정'!$C$32,INDEX($X42:$AU42,X$6-$L84),0))</f>
        <v>0</v>
      </c>
      <c r="Y84" s="18">
        <f>IF(Y$6&lt;='8_가정'!$C$32,Y42,$K84*IF(Y$6-$L84&gt;'8_가정'!$C$32,INDEX($X42:$AU42,Y$6-$L84),0))</f>
        <v>0</v>
      </c>
      <c r="Z84" s="18">
        <f>IF(Z$6&lt;='8_가정'!$C$32,Z42,$K84*IF(Z$6-$L84&gt;'8_가정'!$C$32,INDEX($X42:$AU42,Z$6-$L84),0))</f>
        <v>0</v>
      </c>
      <c r="AA84" s="18">
        <f>IF(AA$6&lt;='8_가정'!$C$32,AA42,$K84*IF(AA$6-$L84&gt;'8_가정'!$C$32,INDEX($X42:$AU42,AA$6-$L84),0))</f>
        <v>0</v>
      </c>
      <c r="AB84" s="18">
        <f>IF(AB$6&lt;='8_가정'!$C$32,AB42,$K84*IF(AB$6-$L84&gt;'8_가정'!$C$32,INDEX($X42:$AU42,AB$6-$L84),0))</f>
        <v>0</v>
      </c>
      <c r="AC84" s="18">
        <f>IF(AC$6&lt;='8_가정'!$C$32,AC42,$K84*IF(AC$6-$L84&gt;'8_가정'!$C$32,INDEX($X42:$AU42,AC$6-$L84),0))</f>
        <v>0</v>
      </c>
      <c r="AD84" s="18">
        <f>IF(AD$6&lt;='8_가정'!$C$32,AD42,$K84*IF(AD$6-$L84&gt;'8_가정'!$C$32,INDEX($X42:$AU42,AD$6-$L84),0))</f>
        <v>0</v>
      </c>
      <c r="AE84" s="18">
        <f>IF(AE$6&lt;='8_가정'!$C$32,AE42,$K84*IF(AE$6-$L84&gt;'8_가정'!$C$32,INDEX($X42:$AU42,AE$6-$L84),0))</f>
        <v>0</v>
      </c>
      <c r="AF84" s="18">
        <f>IF(AF$6&lt;='8_가정'!$C$32,AF42,$K84*IF(AF$6-$L84&gt;'8_가정'!$C$32,INDEX($X42:$AU42,AF$6-$L84),0))</f>
        <v>0</v>
      </c>
      <c r="AG84" s="18">
        <f>IF(AG$6&lt;='8_가정'!$C$32,AG42,$K84*IF(AG$6-$L84&gt;'8_가정'!$C$32,INDEX($X42:$AU42,AG$6-$L84),0))</f>
        <v>0</v>
      </c>
      <c r="AH84" s="18">
        <f>IF(AH$6&lt;='8_가정'!$C$32,AH42,$K84*IF(AH$6-$L84&gt;'8_가정'!$C$32,INDEX($X42:$AU42,AH$6-$L84),0))</f>
        <v>0</v>
      </c>
      <c r="AI84" s="18">
        <f>IF(AI$6&lt;='8_가정'!$C$32,AI42,$K84*IF(AI$6-$L84&gt;'8_가정'!$C$32,INDEX($X42:$AU42,AI$6-$L84),0))</f>
        <v>0</v>
      </c>
      <c r="AJ84" s="18">
        <f>IF(AJ$6&lt;='8_가정'!$C$32,AJ42,$K84*IF(AJ$6-$L84&gt;'8_가정'!$C$32,INDEX($X42:$AU42,AJ$6-$L84),0))</f>
        <v>0</v>
      </c>
      <c r="AK84" s="18">
        <f>IF(AK$6&lt;='8_가정'!$C$32,AK42,$K84*IF(AK$6-$L84&gt;'8_가정'!$C$32,INDEX($X42:$AU42,AK$6-$L84),0))</f>
        <v>0</v>
      </c>
      <c r="AL84" s="18">
        <f>IF(AL$6&lt;='8_가정'!$C$32,AL42,$K84*IF(AL$6-$L84&gt;'8_가정'!$C$32,INDEX($X42:$AU42,AL$6-$L84),0))</f>
        <v>0</v>
      </c>
      <c r="AM84" s="18">
        <f>IF(AM$6&lt;='8_가정'!$C$32,AM42,$K84*IF(AM$6-$L84&gt;'8_가정'!$C$32,INDEX($X42:$AU42,AM$6-$L84),0))</f>
        <v>0</v>
      </c>
      <c r="AN84" s="18">
        <f>IF(AN$6&lt;='8_가정'!$C$32,AN42,$K84*IF(AN$6-$L84&gt;'8_가정'!$C$32,INDEX($X42:$AU42,AN$6-$L84),0))</f>
        <v>0</v>
      </c>
      <c r="AO84" s="18">
        <f>IF(AO$6&lt;='8_가정'!$C$32,AO42,$K84*IF(AO$6-$L84&gt;'8_가정'!$C$32,INDEX($X42:$AU42,AO$6-$L84),0))</f>
        <v>0</v>
      </c>
      <c r="AP84" s="18">
        <f>IF(AP$6&lt;='8_가정'!$C$32,AP42,$K84*IF(AP$6-$L84&gt;'8_가정'!$C$32,INDEX($X42:$AU42,AP$6-$L84),0))</f>
        <v>0</v>
      </c>
      <c r="AQ84" s="18">
        <f>IF(AQ$6&lt;='8_가정'!$C$32,AQ42,$K84*IF(AQ$6-$L84&gt;'8_가정'!$C$32,INDEX($X42:$AU42,AQ$6-$L84),0))</f>
        <v>0</v>
      </c>
      <c r="AR84" s="18">
        <f>IF(AR$6&lt;='8_가정'!$C$32,AR42,$K84*IF(AR$6-$L84&gt;'8_가정'!$C$32,INDEX($X42:$AU42,AR$6-$L84),0))</f>
        <v>0</v>
      </c>
      <c r="AS84" s="18">
        <f>IF(AS$6&lt;='8_가정'!$C$32,AS42,$K84*IF(AS$6-$L84&gt;'8_가정'!$C$32,INDEX($X42:$AU42,AS$6-$L84),0))</f>
        <v>0</v>
      </c>
      <c r="AT84" s="18">
        <f>IF(AT$6&lt;='8_가정'!$C$32,AT42,$K84*IF(AT$6-$L84&gt;'8_가정'!$C$32,INDEX($X42:$AU42,AT$6-$L84),0))</f>
        <v>0</v>
      </c>
      <c r="AU84" s="18">
        <f>IF(AU$6&lt;='8_가정'!$C$32,AU42,$K84*IF(AU$6-$L84&gt;'8_가정'!$C$32,INDEX($X42:$AU42,AU$6-$L84),0))</f>
        <v>0</v>
      </c>
      <c r="AV84" s="23">
        <f>SUM(X84:AI84)</f>
        <v>0</v>
      </c>
      <c r="AW84" s="23">
        <f>SUM(AJ84:AU84)</f>
        <v>0</v>
      </c>
      <c r="AX84" s="24">
        <f>AX42*'8_가정'!$G$28</f>
        <v>1000000</v>
      </c>
      <c r="AY84" s="24">
        <f>AY42*'8_가정'!$G$29</f>
        <v>7500000</v>
      </c>
      <c r="AZ84" s="24">
        <f>AZ42*'8_가정'!$G$30</f>
        <v>30000000</v>
      </c>
      <c r="BA84" s="25">
        <f>SUM(AV84:AZ84)</f>
        <v>38500000</v>
      </c>
    </row>
    <row r="85">
      <c r="A85" s="7">
        <f>A43</f>
        <v>34</v>
      </c>
      <c r="B85" s="15" t="str">
        <f>B43</f>
        <v>글로벌</v>
      </c>
      <c r="C85" s="15" t="str">
        <f>C43</f>
        <v>글로벌(삼성채널)</v>
      </c>
      <c r="D85" s="15" t="str">
        <f>D43</f>
        <v>삼성 글로벌 채널(B2B 오퍼링 번들·시니어 모바일 앱) — 목표 대비 잔여</v>
      </c>
      <c r="E85" s="15" t="str">
        <f>E43</f>
        <v>파트너</v>
      </c>
      <c r="F85" s="15" t="str">
        <f>F43</f>
        <v>-</v>
      </c>
      <c r="G85" s="15" t="str">
        <f>G43</f>
        <v>신규</v>
      </c>
      <c r="H85" s="15" t="str">
        <f>H43</f>
        <v>C 신규 파이프라인(미확정)</v>
      </c>
      <c r="I85" s="15" t="str">
        <f>I43</f>
        <v>COH</v>
      </c>
      <c r="J85" s="15" t="str">
        <f>J43</f>
        <v>S</v>
      </c>
      <c r="K85" s="65">
        <f>INDEX('8_가정'!$C$17:$E$24,MATCH($G43,'8_가정'!$A$17:$A$24,0),'1_요약'!$C$5)</f>
        <v>1</v>
      </c>
      <c r="L85" s="8" t="n">
        <v>0</v>
      </c>
      <c r="X85" s="18">
        <f>IF(X$6&lt;='8_가정'!$C$32,X43,$K85*IF(X$6-$L85&gt;'8_가정'!$C$32,INDEX($X43:$AU43,X$6-$L85),0))</f>
        <v>0</v>
      </c>
      <c r="Y85" s="18">
        <f>IF(Y$6&lt;='8_가정'!$C$32,Y43,$K85*IF(Y$6-$L85&gt;'8_가정'!$C$32,INDEX($X43:$AU43,Y$6-$L85),0))</f>
        <v>0</v>
      </c>
      <c r="Z85" s="18">
        <f>IF(Z$6&lt;='8_가정'!$C$32,Z43,$K85*IF(Z$6-$L85&gt;'8_가정'!$C$32,INDEX($X43:$AU43,Z$6-$L85),0))</f>
        <v>0</v>
      </c>
      <c r="AA85" s="18">
        <f>IF(AA$6&lt;='8_가정'!$C$32,AA43,$K85*IF(AA$6-$L85&gt;'8_가정'!$C$32,INDEX($X43:$AU43,AA$6-$L85),0))</f>
        <v>0</v>
      </c>
      <c r="AB85" s="18">
        <f>IF(AB$6&lt;='8_가정'!$C$32,AB43,$K85*IF(AB$6-$L85&gt;'8_가정'!$C$32,INDEX($X43:$AU43,AB$6-$L85),0))</f>
        <v>0</v>
      </c>
      <c r="AC85" s="18">
        <f>IF(AC$6&lt;='8_가정'!$C$32,AC43,$K85*IF(AC$6-$L85&gt;'8_가정'!$C$32,INDEX($X43:$AU43,AC$6-$L85),0))</f>
        <v>0</v>
      </c>
      <c r="AD85" s="18">
        <f>IF(AD$6&lt;='8_가정'!$C$32,AD43,$K85*IF(AD$6-$L85&gt;'8_가정'!$C$32,INDEX($X43:$AU43,AD$6-$L85),0))</f>
        <v>0</v>
      </c>
      <c r="AE85" s="18">
        <f>IF(AE$6&lt;='8_가정'!$C$32,AE43,$K85*IF(AE$6-$L85&gt;'8_가정'!$C$32,INDEX($X43:$AU43,AE$6-$L85),0))</f>
        <v>0</v>
      </c>
      <c r="AF85" s="18">
        <f>IF(AF$6&lt;='8_가정'!$C$32,AF43,$K85*IF(AF$6-$L85&gt;'8_가정'!$C$32,INDEX($X43:$AU43,AF$6-$L85),0))</f>
        <v>0</v>
      </c>
      <c r="AG85" s="18">
        <f>IF(AG$6&lt;='8_가정'!$C$32,AG43,$K85*IF(AG$6-$L85&gt;'8_가정'!$C$32,INDEX($X43:$AU43,AG$6-$L85),0))</f>
        <v>0</v>
      </c>
      <c r="AH85" s="18">
        <f>IF(AH$6&lt;='8_가정'!$C$32,AH43,$K85*IF(AH$6-$L85&gt;'8_가정'!$C$32,INDEX($X43:$AU43,AH$6-$L85),0))</f>
        <v>0</v>
      </c>
      <c r="AI85" s="18">
        <f>IF(AI$6&lt;='8_가정'!$C$32,AI43,$K85*IF(AI$6-$L85&gt;'8_가정'!$C$32,INDEX($X43:$AU43,AI$6-$L85),0))</f>
        <v>0</v>
      </c>
      <c r="AJ85" s="18">
        <f>IF(AJ$6&lt;='8_가정'!$C$32,AJ43,$K85*IF(AJ$6-$L85&gt;'8_가정'!$C$32,INDEX($X43:$AU43,AJ$6-$L85),0))</f>
        <v>0</v>
      </c>
      <c r="AK85" s="18">
        <f>IF(AK$6&lt;='8_가정'!$C$32,AK43,$K85*IF(AK$6-$L85&gt;'8_가정'!$C$32,INDEX($X43:$AU43,AK$6-$L85),0))</f>
        <v>0</v>
      </c>
      <c r="AL85" s="18">
        <f>IF(AL$6&lt;='8_가정'!$C$32,AL43,$K85*IF(AL$6-$L85&gt;'8_가정'!$C$32,INDEX($X43:$AU43,AL$6-$L85),0))</f>
        <v>0</v>
      </c>
      <c r="AM85" s="18">
        <f>IF(AM$6&lt;='8_가정'!$C$32,AM43,$K85*IF(AM$6-$L85&gt;'8_가정'!$C$32,INDEX($X43:$AU43,AM$6-$L85),0))</f>
        <v>0</v>
      </c>
      <c r="AN85" s="18">
        <f>IF(AN$6&lt;='8_가정'!$C$32,AN43,$K85*IF(AN$6-$L85&gt;'8_가정'!$C$32,INDEX($X43:$AU43,AN$6-$L85),0))</f>
        <v>0</v>
      </c>
      <c r="AO85" s="18">
        <f>IF(AO$6&lt;='8_가정'!$C$32,AO43,$K85*IF(AO$6-$L85&gt;'8_가정'!$C$32,INDEX($X43:$AU43,AO$6-$L85),0))</f>
        <v>0</v>
      </c>
      <c r="AP85" s="18">
        <f>IF(AP$6&lt;='8_가정'!$C$32,AP43,$K85*IF(AP$6-$L85&gt;'8_가정'!$C$32,INDEX($X43:$AU43,AP$6-$L85),0))</f>
        <v>0</v>
      </c>
      <c r="AQ85" s="18">
        <f>IF(AQ$6&lt;='8_가정'!$C$32,AQ43,$K85*IF(AQ$6-$L85&gt;'8_가정'!$C$32,INDEX($X43:$AU43,AQ$6-$L85),0))</f>
        <v>0</v>
      </c>
      <c r="AR85" s="18">
        <f>IF(AR$6&lt;='8_가정'!$C$32,AR43,$K85*IF(AR$6-$L85&gt;'8_가정'!$C$32,INDEX($X43:$AU43,AR$6-$L85),0))</f>
        <v>0</v>
      </c>
      <c r="AS85" s="18">
        <f>IF(AS$6&lt;='8_가정'!$C$32,AS43,$K85*IF(AS$6-$L85&gt;'8_가정'!$C$32,INDEX($X43:$AU43,AS$6-$L85),0))</f>
        <v>0</v>
      </c>
      <c r="AT85" s="18">
        <f>IF(AT$6&lt;='8_가정'!$C$32,AT43,$K85*IF(AT$6-$L85&gt;'8_가정'!$C$32,INDEX($X43:$AU43,AT$6-$L85),0))</f>
        <v>0</v>
      </c>
      <c r="AU85" s="18">
        <f>IF(AU$6&lt;='8_가정'!$C$32,AU43,$K85*IF(AU$6-$L85&gt;'8_가정'!$C$32,INDEX($X43:$AU43,AU$6-$L85),0))</f>
        <v>0</v>
      </c>
      <c r="AV85" s="23">
        <f>SUM(X85:AI85)</f>
        <v>0</v>
      </c>
      <c r="AW85" s="23">
        <f>SUM(AJ85:AU85)</f>
        <v>0</v>
      </c>
      <c r="AX85" s="24">
        <f>AX43*'8_가정'!$G$28</f>
        <v>4165688</v>
      </c>
      <c r="AY85" s="24">
        <f>AY43*'8_가정'!$G$29</f>
        <v>9195097.4</v>
      </c>
      <c r="AZ85" s="24">
        <f>AZ43*'8_가정'!$G$30</f>
        <v>21511421.832</v>
      </c>
      <c r="BA85" s="25">
        <f>SUM(AV85:AZ85)</f>
        <v>34872207.232</v>
      </c>
    </row>
    <row r="86">
      <c r="D86" s="12" t="inlineStr">
        <is>
          <t>B 합계(선택 시나리오)</t>
        </is>
      </c>
      <c r="X86" s="26">
        <f>SUM(X52:X85)</f>
        <v>54297</v>
      </c>
      <c r="Y86" s="26">
        <f>SUM(Y52:Y85)</f>
        <v>42124</v>
      </c>
      <c r="Z86" s="26">
        <f>SUM(Z52:Z85)</f>
        <v>66552</v>
      </c>
      <c r="AA86" s="26">
        <f>SUM(AA52:AA85)</f>
        <v>20969</v>
      </c>
      <c r="AB86" s="26">
        <f>SUM(AB52:AB85)</f>
        <v>28646</v>
      </c>
      <c r="AC86" s="26">
        <f>SUM(AC52:AC85)</f>
        <v>60378</v>
      </c>
      <c r="AD86" s="26">
        <f>SUM(AD52:AD85)</f>
        <v>24379</v>
      </c>
      <c r="AE86" s="26">
        <f>SUM(AE52:AE85)</f>
        <v>16087</v>
      </c>
      <c r="AF86" s="26">
        <f>SUM(AF52:AF85)</f>
        <v>46206</v>
      </c>
      <c r="AG86" s="26">
        <f>SUM(AG52:AG85)</f>
        <v>70875</v>
      </c>
      <c r="AH86" s="26">
        <f>SUM(AH52:AH85)</f>
        <v>249695</v>
      </c>
      <c r="AI86" s="26">
        <f>SUM(AI52:AI85)</f>
        <v>594437</v>
      </c>
      <c r="AJ86" s="26">
        <f>SUM(AJ52:AJ85)</f>
        <v>682975</v>
      </c>
      <c r="AK86" s="26">
        <f>SUM(AK52:AK85)</f>
        <v>828775</v>
      </c>
      <c r="AL86" s="26">
        <f>SUM(AL52:AL85)</f>
        <v>784575</v>
      </c>
      <c r="AM86" s="26">
        <f>SUM(AM52:AM85)</f>
        <v>790375</v>
      </c>
      <c r="AN86" s="26">
        <f>SUM(AN52:AN85)</f>
        <v>756175</v>
      </c>
      <c r="AO86" s="26">
        <f>SUM(AO52:AO85)</f>
        <v>917775</v>
      </c>
      <c r="AP86" s="26">
        <f>SUM(AP52:AP85)</f>
        <v>813575</v>
      </c>
      <c r="AQ86" s="26">
        <f>SUM(AQ52:AQ85)</f>
        <v>793575</v>
      </c>
      <c r="AR86" s="26">
        <f>SUM(AR52:AR85)</f>
        <v>819375</v>
      </c>
      <c r="AS86" s="26">
        <f>SUM(AS52:AS85)</f>
        <v>974375</v>
      </c>
      <c r="AT86" s="26">
        <f>SUM(AT52:AT85)</f>
        <v>900175</v>
      </c>
      <c r="AU86" s="26">
        <f>SUM(AU52:AU85)</f>
        <v>943275</v>
      </c>
      <c r="AV86" s="27">
        <f>SUM(AV52:AV85)</f>
        <v>1274645</v>
      </c>
      <c r="AW86" s="27">
        <f>SUM(AW52:AW85)</f>
        <v>10005000</v>
      </c>
      <c r="AX86" s="28">
        <f>SUM(AX52:AX85)</f>
        <v>33000000</v>
      </c>
      <c r="AY86" s="28">
        <f>SUM(AY52:AY85)</f>
        <v>70000000</v>
      </c>
      <c r="AZ86" s="28">
        <f>SUM(AZ52:AZ85)</f>
        <v>156000000</v>
      </c>
      <c r="BA86" s="26">
        <f>SUM(BA52:BA85)</f>
        <v>270279645</v>
      </c>
    </row>
    <row r="87">
      <c r="D87" s="52" t="inlineStr">
        <is>
          <t>전년 대비 성장률</t>
        </is>
      </c>
      <c r="AW87" s="57">
        <f>IFERROR(AW86/AV86-1,0)</f>
        <v>6.84924429939316</v>
      </c>
      <c r="AX87" s="57">
        <f>IFERROR(AX86/AW86-1,0)</f>
        <v>2.29835082458771</v>
      </c>
      <c r="AY87" s="57">
        <f>IFERROR(AY86/AX86-1,0)</f>
        <v>1.12121212121212</v>
      </c>
      <c r="AZ87" s="57">
        <f>IFERROR(AZ86/AY86-1,0)</f>
        <v>1.22857142857143</v>
      </c>
    </row>
    <row r="89">
      <c r="A89" s="52" t="inlineStr">
        <is>
          <t>※ 2027년 거래처 매출 합계는 IR p.25 표(Sunway PoC 제외) 값과 수식으로 일치합니다. 시작월·램프는 가정이며 12월 run-rate/2027 매출이 1.0~1.4배가 되도록 설정했습니다.</t>
        </is>
      </c>
    </row>
    <row r="90">
      <c r="A90" s="52" t="inlineStr">
        <is>
          <t>※ 2028~2030: 지정 거래처 = 연환산 R × (1+2028 확장) → 이후 연 성장률. 신규 파이프라인 코호트는 입력(노란색), 삼성 글로벌 채널은 IR 총액과의 잔차입니다.</t>
        </is>
      </c>
    </row>
    <row r="91">
      <c r="A91" s="52" t="inlineStr">
        <is>
          <t>※ 시나리오: S2·S3는 단계별 확률·지연, 성장 배수, 신규 달성률을 적용합니다(8_가정). S1에서 B블록 = A블록(S1 가중)입니다.</t>
        </is>
      </c>
    </row>
  </sheetData>
  <pageMargins left="0.75" right="0.75" top="1" bottom="1" header="0.5" footer="0.5"/>
  <pageSetup orientation="landscape" fitToHeight="0" fitToWidth="1"/>
</worksheet>
</file>

<file path=xl/worksheets/sheet5.xml><?xml version="1.0" encoding="utf-8"?>
<worksheet xmlns="http://schemas.openxmlformats.org/spreadsheetml/2006/main">
  <sheetPr>
    <tabColor rgb="002F5597"/>
    <outlinePr summaryBelow="1" summaryRight="1"/>
    <pageSetUpPr fitToPage="1"/>
  </sheetPr>
  <dimension ref="A1:AF91"/>
  <sheetViews>
    <sheetView zoomScale="85" workbookViewId="0">
      <pane xSplit="2" ySplit="6" topLeftCell="C7" activePane="bottomRight" state="frozen"/>
      <selection pane="topRight"/>
      <selection pane="bottomLeft"/>
      <selection pane="bottomRight" activeCell="A1" sqref="A1"/>
    </sheetView>
  </sheetViews>
  <sheetFormatPr baseColWidth="8" defaultRowHeight="15"/>
  <cols>
    <col width="40" customWidth="1" min="1" max="1"/>
    <col width="8" customWidth="1" min="2" max="2"/>
    <col outlineLevel="1" width="10.5" customWidth="1" min="3" max="26"/>
    <col width="10.5" customWidth="1" min="27" max="27"/>
    <col width="10.5" customWidth="1" min="28" max="28"/>
    <col width="10.5" customWidth="1" min="29" max="29"/>
    <col width="10.5" customWidth="1" min="30" max="30"/>
    <col width="10.5" customWidth="1" min="31" max="31"/>
    <col width="10.5" customWidth="1" min="32" max="32"/>
  </cols>
  <sheetData>
    <row r="1">
      <c r="A1" s="1" t="inlineStr">
        <is>
          <t>5_매출_제품지역 — 제품·지역·채널·근거수준별 매출</t>
        </is>
      </c>
    </row>
    <row r="2">
      <c r="A2" s="2" t="inlineStr">
        <is>
          <t>단위: 천원. 선택 시나리오 기준(4_매출_거래처 B블록 집계).</t>
        </is>
      </c>
    </row>
    <row r="5">
      <c r="A5" s="21" t="inlineStr">
        <is>
          <t>구분</t>
        </is>
      </c>
      <c r="B5" s="11" t="inlineStr">
        <is>
          <t>코드</t>
        </is>
      </c>
      <c r="C5" s="11" t="inlineStr">
        <is>
          <t>2026-01</t>
        </is>
      </c>
      <c r="D5" s="11" t="inlineStr">
        <is>
          <t>2026-02</t>
        </is>
      </c>
      <c r="E5" s="11" t="inlineStr">
        <is>
          <t>2026-03</t>
        </is>
      </c>
      <c r="F5" s="11" t="inlineStr">
        <is>
          <t>2026-04</t>
        </is>
      </c>
      <c r="G5" s="11" t="inlineStr">
        <is>
          <t>2026-05</t>
        </is>
      </c>
      <c r="H5" s="11" t="inlineStr">
        <is>
          <t>2026-06</t>
        </is>
      </c>
      <c r="I5" s="11" t="inlineStr">
        <is>
          <t>2026-07</t>
        </is>
      </c>
      <c r="J5" s="11" t="inlineStr">
        <is>
          <t>2026-08</t>
        </is>
      </c>
      <c r="K5" s="11" t="inlineStr">
        <is>
          <t>2026-09</t>
        </is>
      </c>
      <c r="L5" s="11" t="inlineStr">
        <is>
          <t>2026-10</t>
        </is>
      </c>
      <c r="M5" s="11" t="inlineStr">
        <is>
          <t>2026-11</t>
        </is>
      </c>
      <c r="N5" s="11" t="inlineStr">
        <is>
          <t>2026-12</t>
        </is>
      </c>
      <c r="O5" s="11" t="inlineStr">
        <is>
          <t>2027-01</t>
        </is>
      </c>
      <c r="P5" s="11" t="inlineStr">
        <is>
          <t>2027-02</t>
        </is>
      </c>
      <c r="Q5" s="11" t="inlineStr">
        <is>
          <t>2027-03</t>
        </is>
      </c>
      <c r="R5" s="11" t="inlineStr">
        <is>
          <t>2027-04</t>
        </is>
      </c>
      <c r="S5" s="11" t="inlineStr">
        <is>
          <t>2027-05</t>
        </is>
      </c>
      <c r="T5" s="11" t="inlineStr">
        <is>
          <t>2027-06</t>
        </is>
      </c>
      <c r="U5" s="11" t="inlineStr">
        <is>
          <t>2027-07</t>
        </is>
      </c>
      <c r="V5" s="11" t="inlineStr">
        <is>
          <t>2027-08</t>
        </is>
      </c>
      <c r="W5" s="11" t="inlineStr">
        <is>
          <t>2027-09</t>
        </is>
      </c>
      <c r="X5" s="11" t="inlineStr">
        <is>
          <t>2027-10</t>
        </is>
      </c>
      <c r="Y5" s="11" t="inlineStr">
        <is>
          <t>2027-11</t>
        </is>
      </c>
      <c r="Z5" s="11" t="inlineStr">
        <is>
          <t>2027-12</t>
        </is>
      </c>
      <c r="AA5" s="11" t="inlineStr">
        <is>
          <t>FY2026</t>
        </is>
      </c>
      <c r="AB5" s="11" t="inlineStr">
        <is>
          <t>FY2027</t>
        </is>
      </c>
      <c r="AC5" s="11" t="inlineStr">
        <is>
          <t>2028E</t>
        </is>
      </c>
      <c r="AD5" s="11" t="inlineStr">
        <is>
          <t>2029E</t>
        </is>
      </c>
      <c r="AE5" s="11" t="inlineStr">
        <is>
          <t>2030E</t>
        </is>
      </c>
      <c r="AF5" s="11" t="inlineStr">
        <is>
          <t>5개년 합계</t>
        </is>
      </c>
    </row>
    <row r="6">
      <c r="A6" s="22" t="inlineStr"/>
      <c r="B6" s="22" t="inlineStr"/>
      <c r="C6" s="22" t="inlineStr">
        <is>
          <t>추정</t>
        </is>
      </c>
      <c r="D6" s="22" t="inlineStr">
        <is>
          <t>추정</t>
        </is>
      </c>
      <c r="E6" s="22" t="inlineStr">
        <is>
          <t>추정</t>
        </is>
      </c>
      <c r="F6" s="22" t="inlineStr">
        <is>
          <t>추정</t>
        </is>
      </c>
      <c r="G6" s="22" t="inlineStr">
        <is>
          <t>추정</t>
        </is>
      </c>
      <c r="H6" s="22" t="inlineStr">
        <is>
          <t>추정</t>
        </is>
      </c>
      <c r="I6" s="22" t="inlineStr">
        <is>
          <t>추정</t>
        </is>
      </c>
      <c r="J6" s="22" t="inlineStr">
        <is>
          <t>추정</t>
        </is>
      </c>
      <c r="K6" s="22" t="inlineStr">
        <is>
          <t>추정</t>
        </is>
      </c>
      <c r="L6" s="22" t="inlineStr">
        <is>
          <t>계획</t>
        </is>
      </c>
      <c r="M6" s="22" t="inlineStr">
        <is>
          <t>계획</t>
        </is>
      </c>
      <c r="N6" s="22" t="inlineStr">
        <is>
          <t>계획</t>
        </is>
      </c>
      <c r="O6" s="22" t="inlineStr">
        <is>
          <t>계획</t>
        </is>
      </c>
      <c r="P6" s="22" t="inlineStr">
        <is>
          <t>계획</t>
        </is>
      </c>
      <c r="Q6" s="22" t="inlineStr">
        <is>
          <t>계획</t>
        </is>
      </c>
      <c r="R6" s="22" t="inlineStr">
        <is>
          <t>계획</t>
        </is>
      </c>
      <c r="S6" s="22" t="inlineStr">
        <is>
          <t>계획</t>
        </is>
      </c>
      <c r="T6" s="22" t="inlineStr">
        <is>
          <t>계획</t>
        </is>
      </c>
      <c r="U6" s="22" t="inlineStr">
        <is>
          <t>계획</t>
        </is>
      </c>
      <c r="V6" s="22" t="inlineStr">
        <is>
          <t>계획</t>
        </is>
      </c>
      <c r="W6" s="22" t="inlineStr">
        <is>
          <t>계획</t>
        </is>
      </c>
      <c r="X6" s="22" t="inlineStr">
        <is>
          <t>계획</t>
        </is>
      </c>
      <c r="Y6" s="22" t="inlineStr">
        <is>
          <t>계획</t>
        </is>
      </c>
      <c r="Z6" s="22" t="inlineStr">
        <is>
          <t>계획</t>
        </is>
      </c>
      <c r="AA6" s="22" t="inlineStr">
        <is>
          <t>FY합계</t>
        </is>
      </c>
      <c r="AB6" s="22" t="inlineStr">
        <is>
          <t>FY합계</t>
        </is>
      </c>
      <c r="AC6" s="22" t="inlineStr">
        <is>
          <t>계획(연)</t>
        </is>
      </c>
      <c r="AD6" s="22" t="inlineStr">
        <is>
          <t>계획(연)</t>
        </is>
      </c>
      <c r="AE6" s="22" t="inlineStr">
        <is>
          <t>계획(연)</t>
        </is>
      </c>
      <c r="AF6" s="22" t="inlineStr">
        <is>
          <t>합계</t>
        </is>
      </c>
    </row>
    <row r="8">
      <c r="A8" s="3" t="inlineStr">
        <is>
          <t>A. 제품별 매출</t>
        </is>
      </c>
    </row>
    <row r="9">
      <c r="A9" s="15" t="inlineStr">
        <is>
          <t>스마트 기저귀(전용 기저귀·패드, 소모품)</t>
        </is>
      </c>
      <c r="B9" s="15" t="inlineStr">
        <is>
          <t>P1</t>
        </is>
      </c>
      <c r="C9" s="18">
        <f>SUMPRODUCT('4_매출_거래처'!X$52:X$85,$C$58:$C$91)</f>
        <v>37455.08</v>
      </c>
      <c r="D9" s="18">
        <f>SUMPRODUCT('4_매출_거래처'!Y$52:Y$85,$C$58:$C$91)</f>
        <v>32686.3</v>
      </c>
      <c r="E9" s="18">
        <f>SUMPRODUCT('4_매출_거래처'!Z$52:Z$85,$C$58:$C$91)</f>
        <v>51000.27</v>
      </c>
      <c r="F9" s="18">
        <f>SUMPRODUCT('4_매출_거래처'!AA$52:AA$85,$C$58:$C$91)</f>
        <v>17799.4</v>
      </c>
      <c r="G9" s="18">
        <f>SUMPRODUCT('4_매출_거래처'!AB$52:AB$85,$C$58:$C$91)</f>
        <v>24299.15</v>
      </c>
      <c r="H9" s="18">
        <f>SUMPRODUCT('4_매출_거래처'!AC$52:AC$85,$C$58:$C$91)</f>
        <v>51266.7</v>
      </c>
      <c r="I9" s="18">
        <f>SUMPRODUCT('4_매출_거래처'!AD$52:AD$85,$C$58:$C$91)</f>
        <v>20490.34</v>
      </c>
      <c r="J9" s="18">
        <f>SUMPRODUCT('4_매출_거래처'!AE$52:AE$85,$C$58:$C$91)</f>
        <v>13639.6</v>
      </c>
      <c r="K9" s="18">
        <f>SUMPRODUCT('4_매출_거래처'!AF$52:AF$85,$C$58:$C$91)</f>
        <v>31617.97</v>
      </c>
      <c r="L9" s="18">
        <f>SUMPRODUCT('4_매출_거래처'!AG$52:AG$85,$C$58:$C$91)</f>
        <v>14647.5</v>
      </c>
      <c r="M9" s="18">
        <f>SUMPRODUCT('4_매출_거래처'!AH$52:AH$85,$C$58:$C$91)</f>
        <v>195503.5</v>
      </c>
      <c r="N9" s="18">
        <f>SUMPRODUCT('4_매출_거래처'!AI$52:AI$85,$C$58:$C$91)</f>
        <v>293144</v>
      </c>
      <c r="O9" s="18">
        <f>SUMPRODUCT('4_매출_거래처'!AJ$52:AJ$85,$D$58:$D$91)</f>
        <v>492430.5</v>
      </c>
      <c r="P9" s="18">
        <f>SUMPRODUCT('4_매출_거래처'!AK$52:AK$85,$D$58:$D$91)</f>
        <v>598154.5</v>
      </c>
      <c r="Q9" s="18">
        <f>SUMPRODUCT('4_매출_거래처'!AL$52:AL$85,$D$58:$D$91)</f>
        <v>529478.5</v>
      </c>
      <c r="R9" s="18">
        <f>SUMPRODUCT('4_매출_거래처'!AM$52:AM$85,$D$58:$D$91)</f>
        <v>529402.5</v>
      </c>
      <c r="S9" s="18">
        <f>SUMPRODUCT('4_매출_거래처'!AN$52:AN$85,$D$58:$D$91)</f>
        <v>541726.5</v>
      </c>
      <c r="T9" s="18">
        <f>SUMPRODUCT('4_매출_거래처'!AO$52:AO$85,$D$58:$D$91)</f>
        <v>659774.5</v>
      </c>
      <c r="U9" s="18">
        <f>SUMPRODUCT('4_매출_거래처'!AP$52:AP$85,$D$58:$D$91)</f>
        <v>582598.5</v>
      </c>
      <c r="V9" s="18">
        <f>SUMPRODUCT('4_매출_거래처'!AQ$52:AQ$85,$D$58:$D$91)</f>
        <v>570198.5</v>
      </c>
      <c r="W9" s="18">
        <f>SUMPRODUCT('4_매출_거래처'!AR$52:AR$85,$D$58:$D$91)</f>
        <v>591022.5</v>
      </c>
      <c r="X9" s="18">
        <f>SUMPRODUCT('4_매출_거래처'!AS$52:AS$85,$D$58:$D$91)</f>
        <v>703922.5</v>
      </c>
      <c r="Y9" s="18">
        <f>SUMPRODUCT('4_매출_거래처'!AT$52:AT$85,$D$58:$D$91)</f>
        <v>635246.5</v>
      </c>
      <c r="Z9" s="18">
        <f>SUMPRODUCT('4_매출_거래처'!AU$52:AU$85,$D$58:$D$91)</f>
        <v>637725.5</v>
      </c>
      <c r="AA9" s="23">
        <f>SUM(C9:N9)</f>
        <v>783549.81</v>
      </c>
      <c r="AB9" s="23">
        <f>SUM(O9:Z9)</f>
        <v>7071681</v>
      </c>
      <c r="AC9" s="24">
        <f>SUMPRODUCT('4_매출_거래처'!AX$52:AX$85,$E$58:$E$91)</f>
        <v>22312286.68</v>
      </c>
      <c r="AD9" s="24">
        <f>SUMPRODUCT('4_매출_거래처'!AY$52:AY$85,$F$58:$F$91)</f>
        <v>44047862.48</v>
      </c>
      <c r="AE9" s="24">
        <f>SUMPRODUCT('4_매출_거래처'!AZ$52:AZ$85,$G$58:$G$91)</f>
        <v>91099614.74168</v>
      </c>
      <c r="AF9" s="25">
        <f>SUM(AA9:AE9)</f>
        <v>165314994.71168</v>
      </c>
    </row>
    <row r="10">
      <c r="A10" s="15" t="inlineStr">
        <is>
          <t>센서·BLE 게이트웨이(하드웨어)</t>
        </is>
      </c>
      <c r="B10" s="15" t="inlineStr">
        <is>
          <t>P2</t>
        </is>
      </c>
      <c r="C10" s="18">
        <f>SUMPRODUCT('4_매출_거래처'!X$52:X$85,$H$58:$H$91)</f>
        <v>10589.04</v>
      </c>
      <c r="D10" s="18">
        <f>SUMPRODUCT('4_매출_거래처'!Y$52:Y$85,$H$58:$H$91)</f>
        <v>4574.51</v>
      </c>
      <c r="E10" s="18">
        <f>SUMPRODUCT('4_매출_거래처'!Z$52:Z$85,$H$58:$H$91)</f>
        <v>8755.35</v>
      </c>
      <c r="F10" s="18">
        <f>SUMPRODUCT('4_매출_거래처'!AA$52:AA$85,$H$58:$H$91)</f>
        <v>1063</v>
      </c>
      <c r="G10" s="18">
        <f>SUMPRODUCT('4_매출_거래처'!AB$52:AB$85,$H$58:$H$91)</f>
        <v>1462.27</v>
      </c>
      <c r="H10" s="18">
        <f>SUMPRODUCT('4_매출_거래처'!AC$52:AC$85,$H$58:$H$91)</f>
        <v>3051.66</v>
      </c>
      <c r="I10" s="18">
        <f>SUMPRODUCT('4_매출_거래처'!AD$52:AD$85,$H$58:$H$91)</f>
        <v>1417.1</v>
      </c>
      <c r="J10" s="18">
        <f>SUMPRODUCT('4_매출_거래처'!AE$52:AE$85,$H$58:$H$91)</f>
        <v>824.96</v>
      </c>
      <c r="K10" s="18">
        <f>SUMPRODUCT('4_매출_거래처'!AF$52:AF$85,$H$58:$H$91)</f>
        <v>9959.53</v>
      </c>
      <c r="L10" s="18">
        <f>SUMPRODUCT('4_매출_거래처'!AG$52:AG$85,$H$58:$H$91)</f>
        <v>6615</v>
      </c>
      <c r="M10" s="18">
        <f>SUMPRODUCT('4_매출_거래처'!AH$52:AH$85,$H$58:$H$91)</f>
        <v>24700.6</v>
      </c>
      <c r="N10" s="18">
        <f>SUMPRODUCT('4_매출_거래처'!AI$52:AI$85,$H$58:$H$91)</f>
        <v>167578.3</v>
      </c>
      <c r="O10" s="18">
        <f>SUMPRODUCT('4_매출_거래처'!AJ$52:AJ$85,$I$58:$I$91)</f>
        <v>101048</v>
      </c>
      <c r="P10" s="18">
        <f>SUMPRODUCT('4_매출_거래처'!AK$52:AK$85,$I$58:$I$91)</f>
        <v>121712</v>
      </c>
      <c r="Q10" s="18">
        <f>SUMPRODUCT('4_매출_거래처'!AL$52:AL$85,$I$58:$I$91)</f>
        <v>108776</v>
      </c>
      <c r="R10" s="18">
        <f>SUMPRODUCT('4_매출_거래처'!AM$52:AM$85,$I$58:$I$91)</f>
        <v>104840</v>
      </c>
      <c r="S10" s="18">
        <f>SUMPRODUCT('4_매출_거래처'!AN$52:AN$85,$I$58:$I$91)</f>
        <v>106104</v>
      </c>
      <c r="T10" s="18">
        <f>SUMPRODUCT('4_매출_거래처'!AO$52:AO$85,$I$58:$I$91)</f>
        <v>128032</v>
      </c>
      <c r="U10" s="18">
        <f>SUMPRODUCT('4_매출_거래처'!AP$52:AP$85,$I$58:$I$91)</f>
        <v>114596</v>
      </c>
      <c r="V10" s="18">
        <f>SUMPRODUCT('4_매출_거래처'!AQ$52:AQ$85,$I$58:$I$91)</f>
        <v>109396</v>
      </c>
      <c r="W10" s="18">
        <f>SUMPRODUCT('4_매출_거래처'!AR$52:AR$85,$I$58:$I$91)</f>
        <v>111160</v>
      </c>
      <c r="X10" s="18">
        <f>SUMPRODUCT('4_매출_거래처'!AS$52:AS$85,$I$58:$I$91)</f>
        <v>132560</v>
      </c>
      <c r="Y10" s="18">
        <f>SUMPRODUCT('4_매출_거래처'!AT$52:AT$85,$I$58:$I$91)</f>
        <v>133624</v>
      </c>
      <c r="Z10" s="18">
        <f>SUMPRODUCT('4_매출_거래처'!AU$52:AU$85,$I$58:$I$91)</f>
        <v>133338</v>
      </c>
      <c r="AA10" s="23">
        <f>SUM(C10:N10)</f>
        <v>240591.32</v>
      </c>
      <c r="AB10" s="23">
        <f>SUM(O10:Z10)</f>
        <v>1405186</v>
      </c>
      <c r="AC10" s="24">
        <f>SUMPRODUCT('4_매출_거래처'!AX$52:AX$85,$J$58:$J$91)</f>
        <v>4109516.96</v>
      </c>
      <c r="AD10" s="24">
        <f>SUMPRODUCT('4_매출_거래처'!AY$52:AY$85,$K$58:$K$91)</f>
        <v>8490677.282</v>
      </c>
      <c r="AE10" s="24">
        <f>SUMPRODUCT('4_매출_거래처'!AZ$52:AZ$85,$L$58:$L$91)</f>
        <v>18067723.89576</v>
      </c>
      <c r="AF10" s="25">
        <f>SUM(AA10:AE10)</f>
        <v>32313695.45776</v>
      </c>
    </row>
    <row r="11">
      <c r="A11" s="15" t="inlineStr">
        <is>
          <t>앱·웹 모니터링 구독(SW·AI)</t>
        </is>
      </c>
      <c r="B11" s="15" t="inlineStr">
        <is>
          <t>P3</t>
        </is>
      </c>
      <c r="C11" s="18">
        <f>SUMPRODUCT('4_매출_거래처'!X$52:X$85,$M$58:$M$91)</f>
        <v>6252.88</v>
      </c>
      <c r="D11" s="18">
        <f>SUMPRODUCT('4_매출_거래처'!Y$52:Y$85,$M$58:$M$91)</f>
        <v>4863.19</v>
      </c>
      <c r="E11" s="18">
        <f>SUMPRODUCT('4_매출_거래처'!Z$52:Z$85,$M$58:$M$91)</f>
        <v>6796.38</v>
      </c>
      <c r="F11" s="18">
        <f>SUMPRODUCT('4_매출_거래처'!AA$52:AA$85,$M$58:$M$91)</f>
        <v>2106.6</v>
      </c>
      <c r="G11" s="18">
        <f>SUMPRODUCT('4_매출_거래처'!AB$52:AB$85,$M$58:$M$91)</f>
        <v>2884.58</v>
      </c>
      <c r="H11" s="18">
        <f>SUMPRODUCT('4_매출_거래처'!AC$52:AC$85,$M$58:$M$91)</f>
        <v>6059.64</v>
      </c>
      <c r="I11" s="18">
        <f>SUMPRODUCT('4_매출_거래처'!AD$52:AD$85,$M$58:$M$91)</f>
        <v>2471.56</v>
      </c>
      <c r="J11" s="18">
        <f>SUMPRODUCT('4_매출_거래처'!AE$52:AE$85,$M$58:$M$91)</f>
        <v>1622.44</v>
      </c>
      <c r="K11" s="18">
        <f>SUMPRODUCT('4_매출_거래처'!AF$52:AF$85,$M$58:$M$91)</f>
        <v>4628.5</v>
      </c>
      <c r="L11" s="18">
        <f>SUMPRODUCT('4_매출_거래처'!AG$52:AG$85,$M$58:$M$91)</f>
        <v>2362.5</v>
      </c>
      <c r="M11" s="18">
        <f>SUMPRODUCT('4_매출_거래처'!AH$52:AH$85,$M$58:$M$91)</f>
        <v>29490.9</v>
      </c>
      <c r="N11" s="18">
        <f>SUMPRODUCT('4_매출_거래처'!AI$52:AI$85,$M$58:$M$91)</f>
        <v>70371.15</v>
      </c>
      <c r="O11" s="18">
        <f>SUMPRODUCT('4_매출_거래처'!AJ$52:AJ$85,$N$58:$N$91)</f>
        <v>73597.25</v>
      </c>
      <c r="P11" s="18">
        <f>SUMPRODUCT('4_매출_거래처'!AK$52:AK$85,$N$58:$N$91)</f>
        <v>88635.25</v>
      </c>
      <c r="Q11" s="18">
        <f>SUMPRODUCT('4_매출_거래처'!AL$52:AL$85,$N$58:$N$91)</f>
        <v>78873.25</v>
      </c>
      <c r="R11" s="18">
        <f>SUMPRODUCT('4_매출_거래처'!AM$52:AM$85,$N$58:$N$91)</f>
        <v>78811.25</v>
      </c>
      <c r="S11" s="18">
        <f>SUMPRODUCT('4_매출_거래처'!AN$52:AN$85,$N$58:$N$91)</f>
        <v>80549.25</v>
      </c>
      <c r="T11" s="18">
        <f>SUMPRODUCT('4_매출_거래처'!AO$52:AO$85,$N$58:$N$91)</f>
        <v>97325.25</v>
      </c>
      <c r="U11" s="18">
        <f>SUMPRODUCT('4_매출_거래처'!AP$52:AP$85,$N$58:$N$91)</f>
        <v>86563.25</v>
      </c>
      <c r="V11" s="18">
        <f>SUMPRODUCT('4_매출_거래처'!AQ$52:AQ$85,$N$58:$N$91)</f>
        <v>84763.25</v>
      </c>
      <c r="W11" s="18">
        <f>SUMPRODUCT('4_매출_거래처'!AR$52:AR$85,$N$58:$N$91)</f>
        <v>87501.25</v>
      </c>
      <c r="X11" s="18">
        <f>SUMPRODUCT('4_매출_거래처'!AS$52:AS$85,$N$58:$N$91)</f>
        <v>103551.25</v>
      </c>
      <c r="Y11" s="18">
        <f>SUMPRODUCT('4_매출_거래처'!AT$52:AT$85,$N$58:$N$91)</f>
        <v>96789.25</v>
      </c>
      <c r="Z11" s="18">
        <f>SUMPRODUCT('4_매출_거래처'!AU$52:AU$85,$N$58:$N$91)</f>
        <v>97822.25</v>
      </c>
      <c r="AA11" s="23">
        <f>SUM(C11:N11)</f>
        <v>139910.32</v>
      </c>
      <c r="AB11" s="23">
        <f>SUM(O11:Z11)</f>
        <v>1054782</v>
      </c>
      <c r="AC11" s="24">
        <f>SUMPRODUCT('4_매출_거래처'!AX$52:AX$85,$O$58:$O$91)</f>
        <v>3793301.24</v>
      </c>
      <c r="AD11" s="24">
        <f>SUMPRODUCT('4_매출_거래처'!AY$52:AY$85,$P$58:$P$91)</f>
        <v>8132664.66</v>
      </c>
      <c r="AE11" s="24">
        <f>SUMPRODUCT('4_매출_거래처'!AZ$52:AZ$85,$Q$58:$Q$91)</f>
        <v>18355638.0552</v>
      </c>
      <c r="AF11" s="25">
        <f>SUM(AA11:AE11)</f>
        <v>31476296.2752</v>
      </c>
    </row>
    <row r="12">
      <c r="A12" s="15" t="inlineStr">
        <is>
          <t>바이탈 모니터링 센서(60GHz, 2026 Q4 출시)</t>
        </is>
      </c>
      <c r="B12" s="15" t="inlineStr">
        <is>
          <t>P4</t>
        </is>
      </c>
      <c r="C12" s="18">
        <f>SUMPRODUCT('4_매출_거래처'!X$52:X$85,$R$58:$R$91)</f>
        <v>0</v>
      </c>
      <c r="D12" s="18">
        <f>SUMPRODUCT('4_매출_거래처'!Y$52:Y$85,$R$58:$R$91)</f>
        <v>0</v>
      </c>
      <c r="E12" s="18">
        <f>SUMPRODUCT('4_매출_거래처'!Z$52:Z$85,$R$58:$R$91)</f>
        <v>0</v>
      </c>
      <c r="F12" s="18">
        <f>SUMPRODUCT('4_매출_거래처'!AA$52:AA$85,$R$58:$R$91)</f>
        <v>0</v>
      </c>
      <c r="G12" s="18">
        <f>SUMPRODUCT('4_매출_거래처'!AB$52:AB$85,$R$58:$R$91)</f>
        <v>0</v>
      </c>
      <c r="H12" s="18">
        <f>SUMPRODUCT('4_매출_거래처'!AC$52:AC$85,$R$58:$R$91)</f>
        <v>0</v>
      </c>
      <c r="I12" s="18">
        <f>SUMPRODUCT('4_매출_거래처'!AD$52:AD$85,$R$58:$R$91)</f>
        <v>0</v>
      </c>
      <c r="J12" s="18">
        <f>SUMPRODUCT('4_매출_거래처'!AE$52:AE$85,$R$58:$R$91)</f>
        <v>0</v>
      </c>
      <c r="K12" s="18">
        <f>SUMPRODUCT('4_매출_거래처'!AF$52:AF$85,$R$58:$R$91)</f>
        <v>0</v>
      </c>
      <c r="L12" s="18">
        <f>SUMPRODUCT('4_매출_거래처'!AG$52:AG$85,$R$58:$R$91)</f>
        <v>0</v>
      </c>
      <c r="M12" s="18">
        <f>SUMPRODUCT('4_매출_거래처'!AH$52:AH$85,$R$58:$R$91)</f>
        <v>0</v>
      </c>
      <c r="N12" s="18">
        <f>SUMPRODUCT('4_매출_거래처'!AI$52:AI$85,$R$58:$R$91)</f>
        <v>0</v>
      </c>
      <c r="O12" s="18">
        <f>SUMPRODUCT('4_매출_거래처'!AJ$52:AJ$85,$S$58:$S$91)</f>
        <v>11399.25</v>
      </c>
      <c r="P12" s="18">
        <f>SUMPRODUCT('4_매출_거래처'!AK$52:AK$85,$S$58:$S$91)</f>
        <v>15773.25</v>
      </c>
      <c r="Q12" s="18">
        <f>SUMPRODUCT('4_매출_거래처'!AL$52:AL$85,$S$58:$S$91)</f>
        <v>12947.25</v>
      </c>
      <c r="R12" s="18">
        <f>SUMPRODUCT('4_매출_거래처'!AM$52:AM$85,$S$58:$S$91)</f>
        <v>12821.25</v>
      </c>
      <c r="S12" s="18">
        <f>SUMPRODUCT('4_매출_거래처'!AN$52:AN$85,$S$58:$S$91)</f>
        <v>13295.25</v>
      </c>
      <c r="T12" s="18">
        <f>SUMPRODUCT('4_매출_거래처'!AO$52:AO$85,$S$58:$S$91)</f>
        <v>18143.25</v>
      </c>
      <c r="U12" s="18">
        <f>SUMPRODUCT('4_매출_거래처'!AP$52:AP$85,$S$58:$S$91)</f>
        <v>15317.25</v>
      </c>
      <c r="V12" s="18">
        <f>SUMPRODUCT('4_매출_거래처'!AQ$52:AQ$85,$S$58:$S$91)</f>
        <v>14717.25</v>
      </c>
      <c r="W12" s="18">
        <f>SUMPRODUCT('4_매출_거래처'!AR$52:AR$85,$S$58:$S$91)</f>
        <v>15191.25</v>
      </c>
      <c r="X12" s="18">
        <f>SUMPRODUCT('4_매출_거래처'!AS$52:AS$85,$S$58:$S$91)</f>
        <v>19841.25</v>
      </c>
      <c r="Y12" s="18">
        <f>SUMPRODUCT('4_매출_거래처'!AT$52:AT$85,$S$58:$S$91)</f>
        <v>17015.25</v>
      </c>
      <c r="Z12" s="18">
        <f>SUMPRODUCT('4_매출_거래처'!AU$52:AU$85,$S$58:$S$91)</f>
        <v>16889.25</v>
      </c>
      <c r="AA12" s="23">
        <f>SUM(C12:N12)</f>
        <v>0</v>
      </c>
      <c r="AB12" s="23">
        <f>SUM(O12:Z12)</f>
        <v>183351</v>
      </c>
      <c r="AC12" s="24">
        <f>SUMPRODUCT('4_매출_거래처'!AX$52:AX$85,$T$58:$T$91)</f>
        <v>1665697.4</v>
      </c>
      <c r="AD12" s="24">
        <f>SUMPRODUCT('4_매출_거래처'!AY$52:AY$85,$U$58:$U$91)</f>
        <v>5666438.436</v>
      </c>
      <c r="AE12" s="24">
        <f>SUMPRODUCT('4_매출_거래처'!AZ$52:AZ$85,$V$58:$V$91)</f>
        <v>17287571.29568</v>
      </c>
      <c r="AF12" s="25">
        <f>SUM(AA12:AE12)</f>
        <v>24803058.13168</v>
      </c>
    </row>
    <row r="13">
      <c r="A13" s="15" t="inlineStr">
        <is>
          <t>스마트 욕창 케어(2027 Q4 출시)</t>
        </is>
      </c>
      <c r="B13" s="15" t="inlineStr">
        <is>
          <t>P5</t>
        </is>
      </c>
      <c r="C13" s="18">
        <f>SUMPRODUCT('4_매출_거래처'!X$52:X$85,$W$58:$W$91)</f>
        <v>0</v>
      </c>
      <c r="D13" s="18">
        <f>SUMPRODUCT('4_매출_거래처'!Y$52:Y$85,$W$58:$W$91)</f>
        <v>0</v>
      </c>
      <c r="E13" s="18">
        <f>SUMPRODUCT('4_매출_거래처'!Z$52:Z$85,$W$58:$W$91)</f>
        <v>0</v>
      </c>
      <c r="F13" s="18">
        <f>SUMPRODUCT('4_매출_거래처'!AA$52:AA$85,$W$58:$W$91)</f>
        <v>0</v>
      </c>
      <c r="G13" s="18">
        <f>SUMPRODUCT('4_매출_거래처'!AB$52:AB$85,$W$58:$W$91)</f>
        <v>0</v>
      </c>
      <c r="H13" s="18">
        <f>SUMPRODUCT('4_매출_거래처'!AC$52:AC$85,$W$58:$W$91)</f>
        <v>0</v>
      </c>
      <c r="I13" s="18">
        <f>SUMPRODUCT('4_매출_거래처'!AD$52:AD$85,$W$58:$W$91)</f>
        <v>0</v>
      </c>
      <c r="J13" s="18">
        <f>SUMPRODUCT('4_매출_거래처'!AE$52:AE$85,$W$58:$W$91)</f>
        <v>0</v>
      </c>
      <c r="K13" s="18">
        <f>SUMPRODUCT('4_매출_거래처'!AF$52:AF$85,$W$58:$W$91)</f>
        <v>0</v>
      </c>
      <c r="L13" s="18">
        <f>SUMPRODUCT('4_매출_거래처'!AG$52:AG$85,$W$58:$W$91)</f>
        <v>0</v>
      </c>
      <c r="M13" s="18">
        <f>SUMPRODUCT('4_매출_거래처'!AH$52:AH$85,$W$58:$W$91)</f>
        <v>0</v>
      </c>
      <c r="N13" s="18">
        <f>SUMPRODUCT('4_매출_거래처'!AI$52:AI$85,$W$58:$W$91)</f>
        <v>0</v>
      </c>
      <c r="O13" s="18">
        <f>SUMPRODUCT('4_매출_거래처'!AJ$52:AJ$85,$X$58:$X$91)</f>
        <v>0</v>
      </c>
      <c r="P13" s="18">
        <f>SUMPRODUCT('4_매출_거래처'!AK$52:AK$85,$X$58:$X$91)</f>
        <v>0</v>
      </c>
      <c r="Q13" s="18">
        <f>SUMPRODUCT('4_매출_거래처'!AL$52:AL$85,$X$58:$X$91)</f>
        <v>0</v>
      </c>
      <c r="R13" s="18">
        <f>SUMPRODUCT('4_매출_거래처'!AM$52:AM$85,$X$58:$X$91)</f>
        <v>0</v>
      </c>
      <c r="S13" s="18">
        <f>SUMPRODUCT('4_매출_거래처'!AN$52:AN$85,$X$58:$X$91)</f>
        <v>0</v>
      </c>
      <c r="T13" s="18">
        <f>SUMPRODUCT('4_매출_거래처'!AO$52:AO$85,$X$58:$X$91)</f>
        <v>0</v>
      </c>
      <c r="U13" s="18">
        <f>SUMPRODUCT('4_매출_거래처'!AP$52:AP$85,$X$58:$X$91)</f>
        <v>0</v>
      </c>
      <c r="V13" s="18">
        <f>SUMPRODUCT('4_매출_거래처'!AQ$52:AQ$85,$X$58:$X$91)</f>
        <v>0</v>
      </c>
      <c r="W13" s="18">
        <f>SUMPRODUCT('4_매출_거래처'!AR$52:AR$85,$X$58:$X$91)</f>
        <v>0</v>
      </c>
      <c r="X13" s="18">
        <f>SUMPRODUCT('4_매출_거래처'!AS$52:AS$85,$X$58:$X$91)</f>
        <v>0</v>
      </c>
      <c r="Y13" s="18">
        <f>SUMPRODUCT('4_매출_거래처'!AT$52:AT$85,$X$58:$X$91)</f>
        <v>0</v>
      </c>
      <c r="Z13" s="18">
        <f>SUMPRODUCT('4_매출_거래처'!AU$52:AU$85,$X$58:$X$91)</f>
        <v>0</v>
      </c>
      <c r="AA13" s="23">
        <f>SUM(C13:N13)</f>
        <v>0</v>
      </c>
      <c r="AB13" s="23">
        <f>SUM(O13:Z13)</f>
        <v>0</v>
      </c>
      <c r="AC13" s="24">
        <f>SUMPRODUCT('4_매출_거래처'!AX$52:AX$85,$Y$58:$Y$91)</f>
        <v>393883.96</v>
      </c>
      <c r="AD13" s="24">
        <f>SUMPRODUCT('4_매출_거래처'!AY$52:AY$85,$Z$58:$Z$91)</f>
        <v>2211255.194</v>
      </c>
      <c r="AE13" s="24">
        <f>SUMPRODUCT('4_매출_거래처'!AZ$52:AZ$85,$AA$58:$AA$91)</f>
        <v>8071639.57504</v>
      </c>
      <c r="AF13" s="25">
        <f>SUM(AA13:AE13)</f>
        <v>10676778.72904</v>
      </c>
    </row>
    <row r="14">
      <c r="A14" s="15" t="inlineStr">
        <is>
          <t>R&amp;D·PoC 용역</t>
        </is>
      </c>
      <c r="B14" s="15" t="inlineStr">
        <is>
          <t>P6</t>
        </is>
      </c>
      <c r="C14" s="18">
        <f>SUMPRODUCT('4_매출_거래처'!X$52:X$85,$AB$58:$AB$91)</f>
        <v>0</v>
      </c>
      <c r="D14" s="18">
        <f>SUMPRODUCT('4_매출_거래처'!Y$52:Y$85,$AB$58:$AB$91)</f>
        <v>0</v>
      </c>
      <c r="E14" s="18">
        <f>SUMPRODUCT('4_매출_거래처'!Z$52:Z$85,$AB$58:$AB$91)</f>
        <v>0</v>
      </c>
      <c r="F14" s="18">
        <f>SUMPRODUCT('4_매출_거래처'!AA$52:AA$85,$AB$58:$AB$91)</f>
        <v>0</v>
      </c>
      <c r="G14" s="18">
        <f>SUMPRODUCT('4_매출_거래처'!AB$52:AB$85,$AB$58:$AB$91)</f>
        <v>0</v>
      </c>
      <c r="H14" s="18">
        <f>SUMPRODUCT('4_매출_거래처'!AC$52:AC$85,$AB$58:$AB$91)</f>
        <v>0</v>
      </c>
      <c r="I14" s="18">
        <f>SUMPRODUCT('4_매출_거래처'!AD$52:AD$85,$AB$58:$AB$91)</f>
        <v>0</v>
      </c>
      <c r="J14" s="18">
        <f>SUMPRODUCT('4_매출_거래처'!AE$52:AE$85,$AB$58:$AB$91)</f>
        <v>0</v>
      </c>
      <c r="K14" s="18">
        <f>SUMPRODUCT('4_매출_거래처'!AF$52:AF$85,$AB$58:$AB$91)</f>
        <v>0</v>
      </c>
      <c r="L14" s="18">
        <f>SUMPRODUCT('4_매출_거래처'!AG$52:AG$85,$AB$58:$AB$91)</f>
        <v>47250</v>
      </c>
      <c r="M14" s="18">
        <f>SUMPRODUCT('4_매출_거래처'!AH$52:AH$85,$AB$58:$AB$91)</f>
        <v>0</v>
      </c>
      <c r="N14" s="18">
        <f>SUMPRODUCT('4_매출_거래처'!AI$52:AI$85,$AB$58:$AB$91)</f>
        <v>63343.55</v>
      </c>
      <c r="O14" s="18">
        <f>SUMPRODUCT('4_매출_거래처'!AJ$52:AJ$85,$AC$58:$AC$91)</f>
        <v>4500</v>
      </c>
      <c r="P14" s="18">
        <f>SUMPRODUCT('4_매출_거래처'!AK$52:AK$85,$AC$58:$AC$91)</f>
        <v>4500</v>
      </c>
      <c r="Q14" s="18">
        <f>SUMPRODUCT('4_매출_거래처'!AL$52:AL$85,$AC$58:$AC$91)</f>
        <v>54500</v>
      </c>
      <c r="R14" s="18">
        <f>SUMPRODUCT('4_매출_거래처'!AM$52:AM$85,$AC$58:$AC$91)</f>
        <v>64500</v>
      </c>
      <c r="S14" s="18">
        <f>SUMPRODUCT('4_매출_거래처'!AN$52:AN$85,$AC$58:$AC$91)</f>
        <v>14500</v>
      </c>
      <c r="T14" s="18">
        <f>SUMPRODUCT('4_매출_거래처'!AO$52:AO$85,$AC$58:$AC$91)</f>
        <v>14500</v>
      </c>
      <c r="U14" s="18">
        <f>SUMPRODUCT('4_매출_거래처'!AP$52:AP$85,$AC$58:$AC$91)</f>
        <v>14500</v>
      </c>
      <c r="V14" s="18">
        <f>SUMPRODUCT('4_매출_거래처'!AQ$52:AQ$85,$AC$58:$AC$91)</f>
        <v>14500</v>
      </c>
      <c r="W14" s="18">
        <f>SUMPRODUCT('4_매출_거래처'!AR$52:AR$85,$AC$58:$AC$91)</f>
        <v>14500</v>
      </c>
      <c r="X14" s="18">
        <f>SUMPRODUCT('4_매출_거래처'!AS$52:AS$85,$AC$58:$AC$91)</f>
        <v>14500</v>
      </c>
      <c r="Y14" s="18">
        <f>SUMPRODUCT('4_매출_거래처'!AT$52:AT$85,$AC$58:$AC$91)</f>
        <v>17500</v>
      </c>
      <c r="Z14" s="18">
        <f>SUMPRODUCT('4_매출_거래처'!AU$52:AU$85,$AC$58:$AC$91)</f>
        <v>57500</v>
      </c>
      <c r="AA14" s="23">
        <f>SUM(C14:N14)</f>
        <v>110593.55</v>
      </c>
      <c r="AB14" s="23">
        <f>SUM(O14:Z14)</f>
        <v>290000</v>
      </c>
      <c r="AC14" s="24">
        <f>SUMPRODUCT('4_매출_거래처'!AX$52:AX$85,$AD$58:$AD$91)</f>
        <v>725313.76</v>
      </c>
      <c r="AD14" s="24">
        <f>SUMPRODUCT('4_매출_거래처'!AY$52:AY$85,$AE$58:$AE$91)</f>
        <v>1451101.948</v>
      </c>
      <c r="AE14" s="24">
        <f>SUMPRODUCT('4_매출_거래처'!AZ$52:AZ$85,$AF$58:$AF$91)</f>
        <v>3117812.43664</v>
      </c>
      <c r="AF14" s="25">
        <f>SUM(AA14:AE14)</f>
        <v>5694821.69464</v>
      </c>
    </row>
    <row r="15">
      <c r="A15" s="12" t="inlineStr">
        <is>
          <t>매출액 합계</t>
        </is>
      </c>
      <c r="C15" s="26">
        <f>SUM(C9:C14)</f>
        <v>54297</v>
      </c>
      <c r="D15" s="26">
        <f>SUM(D9:D14)</f>
        <v>42124</v>
      </c>
      <c r="E15" s="26">
        <f>SUM(E9:E14)</f>
        <v>66552</v>
      </c>
      <c r="F15" s="26">
        <f>SUM(F9:F14)</f>
        <v>20969</v>
      </c>
      <c r="G15" s="26">
        <f>SUM(G9:G14)</f>
        <v>28646</v>
      </c>
      <c r="H15" s="26">
        <f>SUM(H9:H14)</f>
        <v>60378</v>
      </c>
      <c r="I15" s="26">
        <f>SUM(I9:I14)</f>
        <v>24379</v>
      </c>
      <c r="J15" s="26">
        <f>SUM(J9:J14)</f>
        <v>16087</v>
      </c>
      <c r="K15" s="26">
        <f>SUM(K9:K14)</f>
        <v>46206</v>
      </c>
      <c r="L15" s="26">
        <f>SUM(L9:L14)</f>
        <v>70875</v>
      </c>
      <c r="M15" s="26">
        <f>SUM(M9:M14)</f>
        <v>249695</v>
      </c>
      <c r="N15" s="26">
        <f>SUM(N9:N14)</f>
        <v>594437</v>
      </c>
      <c r="O15" s="26">
        <f>SUM(O9:O14)</f>
        <v>682975</v>
      </c>
      <c r="P15" s="26">
        <f>SUM(P9:P14)</f>
        <v>828775</v>
      </c>
      <c r="Q15" s="26">
        <f>SUM(Q9:Q14)</f>
        <v>784575</v>
      </c>
      <c r="R15" s="26">
        <f>SUM(R9:R14)</f>
        <v>790375</v>
      </c>
      <c r="S15" s="26">
        <f>SUM(S9:S14)</f>
        <v>756175</v>
      </c>
      <c r="T15" s="26">
        <f>SUM(T9:T14)</f>
        <v>917775</v>
      </c>
      <c r="U15" s="26">
        <f>SUM(U9:U14)</f>
        <v>813575</v>
      </c>
      <c r="V15" s="26">
        <f>SUM(V9:V14)</f>
        <v>793575</v>
      </c>
      <c r="W15" s="26">
        <f>SUM(W9:W14)</f>
        <v>819375</v>
      </c>
      <c r="X15" s="26">
        <f>SUM(X9:X14)</f>
        <v>974375</v>
      </c>
      <c r="Y15" s="26">
        <f>SUM(Y9:Y14)</f>
        <v>900175</v>
      </c>
      <c r="Z15" s="26">
        <f>SUM(Z9:Z14)</f>
        <v>943275</v>
      </c>
      <c r="AA15" s="27">
        <f>SUM(AA9:AA14)</f>
        <v>1274645</v>
      </c>
      <c r="AB15" s="27">
        <f>SUM(AB9:AB14)</f>
        <v>10005000</v>
      </c>
      <c r="AC15" s="28">
        <f>SUM(AC9:AC14)</f>
        <v>33000000</v>
      </c>
      <c r="AD15" s="28">
        <f>SUM(AD9:AD14)</f>
        <v>70000000</v>
      </c>
      <c r="AE15" s="28">
        <f>SUM(AE9:AE14)</f>
        <v>156000000</v>
      </c>
      <c r="AF15" s="26">
        <f>SUM(AF9:AF14)</f>
        <v>270279645</v>
      </c>
    </row>
    <row r="18">
      <c r="A18" s="3" t="inlineStr">
        <is>
          <t>B. 지역별 매출</t>
        </is>
      </c>
    </row>
    <row r="19">
      <c r="A19" s="15" t="inlineStr">
        <is>
          <t>한국</t>
        </is>
      </c>
      <c r="C19" s="18">
        <f>SUMIF('4_매출_거래처'!$C$52:$C$85,$A19,'4_매출_거래처'!X$52:X$85)</f>
        <v>41418</v>
      </c>
      <c r="D19" s="18">
        <f>SUMIF('4_매출_거래처'!$C$52:$C$85,$A19,'4_매출_거래처'!Y$52:Y$85)</f>
        <v>42124</v>
      </c>
      <c r="E19" s="18">
        <f>SUMIF('4_매출_거래처'!$C$52:$C$85,$A19,'4_매출_거래처'!Z$52:Z$85)</f>
        <v>24556</v>
      </c>
      <c r="F19" s="18">
        <f>SUMIF('4_매출_거래처'!$C$52:$C$85,$A19,'4_매출_거래처'!AA$52:AA$85)</f>
        <v>20969</v>
      </c>
      <c r="G19" s="18">
        <f>SUMIF('4_매출_거래처'!$C$52:$C$85,$A19,'4_매출_거래처'!AB$52:AB$85)</f>
        <v>13642</v>
      </c>
      <c r="H19" s="18">
        <f>SUMIF('4_매출_거래처'!$C$52:$C$85,$A19,'4_매출_거래처'!AC$52:AC$85)</f>
        <v>21145</v>
      </c>
      <c r="I19" s="18">
        <f>SUMIF('4_매출_거래처'!$C$52:$C$85,$A19,'4_매출_거래처'!AD$52:AD$85)</f>
        <v>23737</v>
      </c>
      <c r="J19" s="18">
        <f>SUMIF('4_매출_거래처'!$C$52:$C$85,$A19,'4_매출_거래처'!AE$52:AE$85)</f>
        <v>16087</v>
      </c>
      <c r="K19" s="18">
        <f>SUMIF('4_매출_거래처'!$C$52:$C$85,$A19,'4_매출_거래처'!AF$52:AF$85)</f>
        <v>13000</v>
      </c>
      <c r="L19" s="18">
        <f>SUMIF('4_매출_거래처'!$C$52:$C$85,$A19,'4_매출_거래처'!AG$52:AG$85)</f>
        <v>0</v>
      </c>
      <c r="M19" s="18">
        <f>SUMIF('4_매출_거래처'!$C$52:$C$85,$A19,'4_매출_거래처'!AH$52:AH$85)</f>
        <v>226070</v>
      </c>
      <c r="N19" s="18">
        <f>SUMIF('4_매출_거래처'!$C$52:$C$85,$A19,'4_매출_거래처'!AI$52:AI$85)</f>
        <v>283980</v>
      </c>
      <c r="O19" s="18">
        <f>SUMIF('4_매출_거래처'!$C$52:$C$85,$A19,'4_매출_거래처'!AJ$52:AJ$85)</f>
        <v>507975</v>
      </c>
      <c r="P19" s="18">
        <f>SUMIF('4_매출_거래처'!$C$52:$C$85,$A19,'4_매출_거래처'!AK$52:AK$85)</f>
        <v>523775</v>
      </c>
      <c r="Q19" s="18">
        <f>SUMIF('4_매출_거래처'!$C$52:$C$85,$A19,'4_매출_거래처'!AL$52:AL$85)</f>
        <v>539575</v>
      </c>
      <c r="R19" s="18">
        <f>SUMIF('4_매출_거래처'!$C$52:$C$85,$A19,'4_매출_거래처'!AM$52:AM$85)</f>
        <v>555375</v>
      </c>
      <c r="S19" s="18">
        <f>SUMIF('4_매출_거래처'!$C$52:$C$85,$A19,'4_매출_거래처'!AN$52:AN$85)</f>
        <v>571175</v>
      </c>
      <c r="T19" s="18">
        <f>SUMIF('4_매출_거래처'!$C$52:$C$85,$A19,'4_매출_거래처'!AO$52:AO$85)</f>
        <v>602775</v>
      </c>
      <c r="U19" s="18">
        <f>SUMIF('4_매출_거래처'!$C$52:$C$85,$A19,'4_매출_거래처'!AP$52:AP$85)</f>
        <v>608575</v>
      </c>
      <c r="V19" s="18">
        <f>SUMIF('4_매출_거래처'!$C$52:$C$85,$A19,'4_매출_거래처'!AQ$52:AQ$85)</f>
        <v>608575</v>
      </c>
      <c r="W19" s="18">
        <f>SUMIF('4_매출_거래처'!$C$52:$C$85,$A19,'4_매출_거래처'!AR$52:AR$85)</f>
        <v>634375</v>
      </c>
      <c r="X19" s="18">
        <f>SUMIF('4_매출_거래처'!$C$52:$C$85,$A19,'4_매출_거래처'!AS$52:AS$85)</f>
        <v>659375</v>
      </c>
      <c r="Y19" s="18">
        <f>SUMIF('4_매출_거래처'!$C$52:$C$85,$A19,'4_매출_거래처'!AT$52:AT$85)</f>
        <v>675175</v>
      </c>
      <c r="Z19" s="18">
        <f>SUMIF('4_매출_거래처'!$C$52:$C$85,$A19,'4_매출_거래처'!AU$52:AU$85)</f>
        <v>698275</v>
      </c>
      <c r="AA19" s="23">
        <f>SUM(C19:N19)</f>
        <v>726728</v>
      </c>
      <c r="AB19" s="23">
        <f>SUM(O19:Z19)</f>
        <v>7185000</v>
      </c>
      <c r="AC19" s="24">
        <f>SUMIF('4_매출_거래처'!$C$52:$C$85,$A19,'4_매출_거래처'!AX$52:AX$85)</f>
        <v>14043112</v>
      </c>
      <c r="AD19" s="24">
        <f>SUMIF('4_매출_거래처'!$C$52:$C$85,$A19,'4_매출_거래처'!AY$52:AY$85)</f>
        <v>21205622.6</v>
      </c>
      <c r="AE19" s="24">
        <f>SUMIF('4_매출_거래처'!$C$52:$C$85,$A19,'4_매출_거래처'!AZ$52:AZ$85)</f>
        <v>27944491.768</v>
      </c>
      <c r="AF19" s="25">
        <f>SUM(AA19:AE19)</f>
        <v>71104954.368</v>
      </c>
    </row>
    <row r="20">
      <c r="A20" s="15" t="inlineStr">
        <is>
          <t>일본</t>
        </is>
      </c>
      <c r="C20" s="18">
        <f>SUMIF('4_매출_거래처'!$C$52:$C$85,$A20,'4_매출_거래처'!X$52:X$85)</f>
        <v>0</v>
      </c>
      <c r="D20" s="18">
        <f>SUMIF('4_매출_거래처'!$C$52:$C$85,$A20,'4_매출_거래처'!Y$52:Y$85)</f>
        <v>0</v>
      </c>
      <c r="E20" s="18">
        <f>SUMIF('4_매출_거래처'!$C$52:$C$85,$A20,'4_매출_거래처'!Z$52:Z$85)</f>
        <v>0</v>
      </c>
      <c r="F20" s="18">
        <f>SUMIF('4_매출_거래처'!$C$52:$C$85,$A20,'4_매출_거래처'!AA$52:AA$85)</f>
        <v>0</v>
      </c>
      <c r="G20" s="18">
        <f>SUMIF('4_매출_거래처'!$C$52:$C$85,$A20,'4_매출_거래처'!AB$52:AB$85)</f>
        <v>0</v>
      </c>
      <c r="H20" s="18">
        <f>SUMIF('4_매출_거래처'!$C$52:$C$85,$A20,'4_매출_거래처'!AC$52:AC$85)</f>
        <v>0</v>
      </c>
      <c r="I20" s="18">
        <f>SUMIF('4_매출_거래처'!$C$52:$C$85,$A20,'4_매출_거래처'!AD$52:AD$85)</f>
        <v>0</v>
      </c>
      <c r="J20" s="18">
        <f>SUMIF('4_매출_거래처'!$C$52:$C$85,$A20,'4_매출_거래처'!AE$52:AE$85)</f>
        <v>0</v>
      </c>
      <c r="K20" s="18">
        <f>SUMIF('4_매출_거래처'!$C$52:$C$85,$A20,'4_매출_거래처'!AF$52:AF$85)</f>
        <v>0</v>
      </c>
      <c r="L20" s="18">
        <f>SUMIF('4_매출_거래처'!$C$52:$C$85,$A20,'4_매출_거래처'!AG$52:AG$85)</f>
        <v>0</v>
      </c>
      <c r="M20" s="18">
        <f>SUMIF('4_매출_거래처'!$C$52:$C$85,$A20,'4_매출_거래처'!AH$52:AH$85)</f>
        <v>0</v>
      </c>
      <c r="N20" s="18">
        <f>SUMIF('4_매출_거래처'!$C$52:$C$85,$A20,'4_매출_거래처'!AI$52:AI$85)</f>
        <v>0</v>
      </c>
      <c r="O20" s="18">
        <f>SUMIF('4_매출_거래처'!$C$52:$C$85,$A20,'4_매출_거래처'!AJ$52:AJ$85)</f>
        <v>0</v>
      </c>
      <c r="P20" s="18">
        <f>SUMIF('4_매출_거래처'!$C$52:$C$85,$A20,'4_매출_거래처'!AK$52:AK$85)</f>
        <v>80000</v>
      </c>
      <c r="Q20" s="18">
        <f>SUMIF('4_매출_거래처'!$C$52:$C$85,$A20,'4_매출_거래처'!AL$52:AL$85)</f>
        <v>120000</v>
      </c>
      <c r="R20" s="18">
        <f>SUMIF('4_매출_거래처'!$C$52:$C$85,$A20,'4_매출_거래처'!AM$52:AM$85)</f>
        <v>0</v>
      </c>
      <c r="S20" s="18">
        <f>SUMIF('4_매출_거래처'!$C$52:$C$85,$A20,'4_매출_거래처'!AN$52:AN$85)</f>
        <v>0</v>
      </c>
      <c r="T20" s="18">
        <f>SUMIF('4_매출_거래처'!$C$52:$C$85,$A20,'4_매출_거래처'!AO$52:AO$85)</f>
        <v>80000</v>
      </c>
      <c r="U20" s="18">
        <f>SUMIF('4_매출_거래처'!$C$52:$C$85,$A20,'4_매출_거래처'!AP$52:AP$85)</f>
        <v>120000</v>
      </c>
      <c r="V20" s="18">
        <f>SUMIF('4_매출_거래처'!$C$52:$C$85,$A20,'4_매출_거래처'!AQ$52:AQ$85)</f>
        <v>0</v>
      </c>
      <c r="W20" s="18">
        <f>SUMIF('4_매출_거래처'!$C$52:$C$85,$A20,'4_매출_거래처'!AR$52:AR$85)</f>
        <v>0</v>
      </c>
      <c r="X20" s="18">
        <f>SUMIF('4_매출_거래처'!$C$52:$C$85,$A20,'4_매출_거래처'!AS$52:AS$85)</f>
        <v>80000</v>
      </c>
      <c r="Y20" s="18">
        <f>SUMIF('4_매출_거래처'!$C$52:$C$85,$A20,'4_매출_거래처'!AT$52:AT$85)</f>
        <v>120000</v>
      </c>
      <c r="Z20" s="18">
        <f>SUMIF('4_매출_거래처'!$C$52:$C$85,$A20,'4_매출_거래처'!AU$52:AU$85)</f>
        <v>0</v>
      </c>
      <c r="AA20" s="23">
        <f>SUM(C20:N20)</f>
        <v>0</v>
      </c>
      <c r="AB20" s="23">
        <f>SUM(O20:Z20)</f>
        <v>600000</v>
      </c>
      <c r="AC20" s="24">
        <f>SUMIF('4_매출_거래처'!$C$52:$C$85,$A20,'4_매출_거래처'!AX$52:AX$85)</f>
        <v>5443200</v>
      </c>
      <c r="AD20" s="24">
        <f>SUMIF('4_매출_거래처'!$C$52:$C$85,$A20,'4_매출_거래처'!AY$52:AY$85)</f>
        <v>14059680</v>
      </c>
      <c r="AE20" s="24">
        <f>SUMIF('4_매출_거래처'!$C$52:$C$85,$A20,'4_매출_거래처'!AZ$52:AZ$85)</f>
        <v>35978310.4</v>
      </c>
      <c r="AF20" s="25">
        <f>SUM(AA20:AE20)</f>
        <v>56081190.4</v>
      </c>
    </row>
    <row r="21">
      <c r="A21" s="15" t="inlineStr">
        <is>
          <t>동남아·APAC</t>
        </is>
      </c>
      <c r="C21" s="18">
        <f>SUMIF('4_매출_거래처'!$C$52:$C$85,$A21,'4_매출_거래처'!X$52:X$85)</f>
        <v>12879</v>
      </c>
      <c r="D21" s="18">
        <f>SUMIF('4_매출_거래처'!$C$52:$C$85,$A21,'4_매출_거래처'!Y$52:Y$85)</f>
        <v>0</v>
      </c>
      <c r="E21" s="18">
        <f>SUMIF('4_매출_거래처'!$C$52:$C$85,$A21,'4_매출_거래처'!Z$52:Z$85)</f>
        <v>35637</v>
      </c>
      <c r="F21" s="18">
        <f>SUMIF('4_매출_거래처'!$C$52:$C$85,$A21,'4_매출_거래처'!AA$52:AA$85)</f>
        <v>0</v>
      </c>
      <c r="G21" s="18">
        <f>SUMIF('4_매출_거래처'!$C$52:$C$85,$A21,'4_매출_거래처'!AB$52:AB$85)</f>
        <v>15004</v>
      </c>
      <c r="H21" s="18">
        <f>SUMIF('4_매출_거래처'!$C$52:$C$85,$A21,'4_매출_거래처'!AC$52:AC$85)</f>
        <v>39233</v>
      </c>
      <c r="I21" s="18">
        <f>SUMIF('4_매출_거래처'!$C$52:$C$85,$A21,'4_매출_거래처'!AD$52:AD$85)</f>
        <v>642</v>
      </c>
      <c r="J21" s="18">
        <f>SUMIF('4_매출_거래처'!$C$52:$C$85,$A21,'4_매출_거래처'!AE$52:AE$85)</f>
        <v>0</v>
      </c>
      <c r="K21" s="18">
        <f>SUMIF('4_매출_거래처'!$C$52:$C$85,$A21,'4_매출_거래처'!AF$52:AF$85)</f>
        <v>1903</v>
      </c>
      <c r="L21" s="18">
        <f>SUMIF('4_매출_거래처'!$C$52:$C$85,$A21,'4_매출_거래처'!AG$52:AG$85)</f>
        <v>47250</v>
      </c>
      <c r="M21" s="18">
        <f>SUMIF('4_매출_거래처'!$C$52:$C$85,$A21,'4_매출_거래처'!AH$52:AH$85)</f>
        <v>23625</v>
      </c>
      <c r="N21" s="18">
        <f>SUMIF('4_매출_거래처'!$C$52:$C$85,$A21,'4_매출_거래처'!AI$52:AI$85)</f>
        <v>269957</v>
      </c>
      <c r="O21" s="18">
        <f>SUMIF('4_매출_거래처'!$C$52:$C$85,$A21,'4_매출_거래처'!AJ$52:AJ$85)</f>
        <v>75000</v>
      </c>
      <c r="P21" s="18">
        <f>SUMIF('4_매출_거래처'!$C$52:$C$85,$A21,'4_매출_거래처'!AK$52:AK$85)</f>
        <v>175000</v>
      </c>
      <c r="Q21" s="18">
        <f>SUMIF('4_매출_거래처'!$C$52:$C$85,$A21,'4_매출_거래처'!AL$52:AL$85)</f>
        <v>125000</v>
      </c>
      <c r="R21" s="18">
        <f>SUMIF('4_매출_거래처'!$C$52:$C$85,$A21,'4_매출_거래처'!AM$52:AM$85)</f>
        <v>235000</v>
      </c>
      <c r="S21" s="18">
        <f>SUMIF('4_매출_거래처'!$C$52:$C$85,$A21,'4_매출_거래처'!AN$52:AN$85)</f>
        <v>85000</v>
      </c>
      <c r="T21" s="18">
        <f>SUMIF('4_매출_거래처'!$C$52:$C$85,$A21,'4_매출_거래처'!AO$52:AO$85)</f>
        <v>185000</v>
      </c>
      <c r="U21" s="18">
        <f>SUMIF('4_매출_거래처'!$C$52:$C$85,$A21,'4_매출_거래처'!AP$52:AP$85)</f>
        <v>85000</v>
      </c>
      <c r="V21" s="18">
        <f>SUMIF('4_매출_거래처'!$C$52:$C$85,$A21,'4_매출_거래처'!AQ$52:AQ$85)</f>
        <v>185000</v>
      </c>
      <c r="W21" s="18">
        <f>SUMIF('4_매출_거래처'!$C$52:$C$85,$A21,'4_매출_거래처'!AR$52:AR$85)</f>
        <v>85000</v>
      </c>
      <c r="X21" s="18">
        <f>SUMIF('4_매출_거래처'!$C$52:$C$85,$A21,'4_매출_거래처'!AS$52:AS$85)</f>
        <v>185000</v>
      </c>
      <c r="Y21" s="18">
        <f>SUMIF('4_매출_거래처'!$C$52:$C$85,$A21,'4_매출_거래처'!AT$52:AT$85)</f>
        <v>105000</v>
      </c>
      <c r="Z21" s="18">
        <f>SUMIF('4_매출_거래처'!$C$52:$C$85,$A21,'4_매출_거래처'!AU$52:AU$85)</f>
        <v>245000</v>
      </c>
      <c r="AA21" s="23">
        <f>SUM(C21:N21)</f>
        <v>446130</v>
      </c>
      <c r="AB21" s="23">
        <f>SUM(O21:Z21)</f>
        <v>1770000</v>
      </c>
      <c r="AC21" s="24">
        <f>SUMIF('4_매출_거래처'!$C$52:$C$85,$A21,'4_매출_거래처'!AX$52:AX$85)</f>
        <v>5978000</v>
      </c>
      <c r="AD21" s="24">
        <f>SUMIF('4_매출_거래처'!$C$52:$C$85,$A21,'4_매출_거래처'!AY$52:AY$85)</f>
        <v>12633600</v>
      </c>
      <c r="AE21" s="24">
        <f>SUMIF('4_매출_거래처'!$C$52:$C$85,$A21,'4_매출_거래처'!AZ$52:AZ$85)</f>
        <v>26448896</v>
      </c>
      <c r="AF21" s="25">
        <f>SUM(AA21:AE21)</f>
        <v>47276626</v>
      </c>
    </row>
    <row r="22">
      <c r="A22" s="15" t="inlineStr">
        <is>
          <t>유럽</t>
        </is>
      </c>
      <c r="C22" s="18">
        <f>SUMIF('4_매출_거래처'!$C$52:$C$85,$A22,'4_매출_거래처'!X$52:X$85)</f>
        <v>0</v>
      </c>
      <c r="D22" s="18">
        <f>SUMIF('4_매출_거래처'!$C$52:$C$85,$A22,'4_매출_거래처'!Y$52:Y$85)</f>
        <v>0</v>
      </c>
      <c r="E22" s="18">
        <f>SUMIF('4_매출_거래처'!$C$52:$C$85,$A22,'4_매출_거래처'!Z$52:Z$85)</f>
        <v>6359</v>
      </c>
      <c r="F22" s="18">
        <f>SUMIF('4_매출_거래처'!$C$52:$C$85,$A22,'4_매출_거래처'!AA$52:AA$85)</f>
        <v>0</v>
      </c>
      <c r="G22" s="18">
        <f>SUMIF('4_매출_거래처'!$C$52:$C$85,$A22,'4_매출_거래처'!AB$52:AB$85)</f>
        <v>0</v>
      </c>
      <c r="H22" s="18">
        <f>SUMIF('4_매출_거래처'!$C$52:$C$85,$A22,'4_매출_거래처'!AC$52:AC$85)</f>
        <v>0</v>
      </c>
      <c r="I22" s="18">
        <f>SUMIF('4_매출_거래처'!$C$52:$C$85,$A22,'4_매출_거래처'!AD$52:AD$85)</f>
        <v>0</v>
      </c>
      <c r="J22" s="18">
        <f>SUMIF('4_매출_거래처'!$C$52:$C$85,$A22,'4_매출_거래처'!AE$52:AE$85)</f>
        <v>0</v>
      </c>
      <c r="K22" s="18">
        <f>SUMIF('4_매출_거래처'!$C$52:$C$85,$A22,'4_매출_거래처'!AF$52:AF$85)</f>
        <v>31303</v>
      </c>
      <c r="L22" s="18">
        <f>SUMIF('4_매출_거래처'!$C$52:$C$85,$A22,'4_매출_거래처'!AG$52:AG$85)</f>
        <v>23625</v>
      </c>
      <c r="M22" s="18">
        <f>SUMIF('4_매출_거래처'!$C$52:$C$85,$A22,'4_매출_거래처'!AH$52:AH$85)</f>
        <v>0</v>
      </c>
      <c r="N22" s="18">
        <f>SUMIF('4_매출_거래처'!$C$52:$C$85,$A22,'4_매출_거래처'!AI$52:AI$85)</f>
        <v>40500</v>
      </c>
      <c r="O22" s="18">
        <f>SUMIF('4_매출_거래처'!$C$52:$C$85,$A22,'4_매출_거래처'!AJ$52:AJ$85)</f>
        <v>100000</v>
      </c>
      <c r="P22" s="18">
        <f>SUMIF('4_매출_거래처'!$C$52:$C$85,$A22,'4_매출_거래처'!AK$52:AK$85)</f>
        <v>50000</v>
      </c>
      <c r="Q22" s="18">
        <f>SUMIF('4_매출_거래처'!$C$52:$C$85,$A22,'4_매출_거래처'!AL$52:AL$85)</f>
        <v>0</v>
      </c>
      <c r="R22" s="18">
        <f>SUMIF('4_매출_거래처'!$C$52:$C$85,$A22,'4_매출_거래처'!AM$52:AM$85)</f>
        <v>0</v>
      </c>
      <c r="S22" s="18">
        <f>SUMIF('4_매출_거래처'!$C$52:$C$85,$A22,'4_매출_거래처'!AN$52:AN$85)</f>
        <v>100000</v>
      </c>
      <c r="T22" s="18">
        <f>SUMIF('4_매출_거래처'!$C$52:$C$85,$A22,'4_매출_거래처'!AO$52:AO$85)</f>
        <v>50000</v>
      </c>
      <c r="U22" s="18">
        <f>SUMIF('4_매출_거래처'!$C$52:$C$85,$A22,'4_매출_거래처'!AP$52:AP$85)</f>
        <v>0</v>
      </c>
      <c r="V22" s="18">
        <f>SUMIF('4_매출_거래처'!$C$52:$C$85,$A22,'4_매출_거래처'!AQ$52:AQ$85)</f>
        <v>0</v>
      </c>
      <c r="W22" s="18">
        <f>SUMIF('4_매출_거래처'!$C$52:$C$85,$A22,'4_매출_거래처'!AR$52:AR$85)</f>
        <v>100000</v>
      </c>
      <c r="X22" s="18">
        <f>SUMIF('4_매출_거래처'!$C$52:$C$85,$A22,'4_매출_거래처'!AS$52:AS$85)</f>
        <v>50000</v>
      </c>
      <c r="Y22" s="18">
        <f>SUMIF('4_매출_거래처'!$C$52:$C$85,$A22,'4_매출_거래처'!AT$52:AT$85)</f>
        <v>0</v>
      </c>
      <c r="Z22" s="18">
        <f>SUMIF('4_매출_거래처'!$C$52:$C$85,$A22,'4_매출_거래처'!AU$52:AU$85)</f>
        <v>0</v>
      </c>
      <c r="AA22" s="23">
        <f>SUM(C22:N22)</f>
        <v>101787</v>
      </c>
      <c r="AB22" s="23">
        <f>SUM(O22:Z22)</f>
        <v>450000</v>
      </c>
      <c r="AC22" s="24">
        <f>SUMIF('4_매출_거래처'!$C$52:$C$85,$A22,'4_매출_거래처'!AX$52:AX$85)</f>
        <v>2370000</v>
      </c>
      <c r="AD22" s="24">
        <f>SUMIF('4_매출_거래처'!$C$52:$C$85,$A22,'4_매출_거래처'!AY$52:AY$85)</f>
        <v>5406000</v>
      </c>
      <c r="AE22" s="24">
        <f>SUMIF('4_매출_거래처'!$C$52:$C$85,$A22,'4_매출_거래처'!AZ$52:AZ$85)</f>
        <v>14116880</v>
      </c>
      <c r="AF22" s="25">
        <f>SUM(AA22:AE22)</f>
        <v>22444667</v>
      </c>
    </row>
    <row r="23">
      <c r="A23" s="15" t="inlineStr">
        <is>
          <t>미국</t>
        </is>
      </c>
      <c r="C23" s="18">
        <f>SUMIF('4_매출_거래처'!$C$52:$C$85,$A23,'4_매출_거래처'!X$52:X$85)</f>
        <v>0</v>
      </c>
      <c r="D23" s="18">
        <f>SUMIF('4_매출_거래처'!$C$52:$C$85,$A23,'4_매출_거래처'!Y$52:Y$85)</f>
        <v>0</v>
      </c>
      <c r="E23" s="18">
        <f>SUMIF('4_매출_거래처'!$C$52:$C$85,$A23,'4_매출_거래처'!Z$52:Z$85)</f>
        <v>0</v>
      </c>
      <c r="F23" s="18">
        <f>SUMIF('4_매출_거래처'!$C$52:$C$85,$A23,'4_매출_거래처'!AA$52:AA$85)</f>
        <v>0</v>
      </c>
      <c r="G23" s="18">
        <f>SUMIF('4_매출_거래처'!$C$52:$C$85,$A23,'4_매출_거래처'!AB$52:AB$85)</f>
        <v>0</v>
      </c>
      <c r="H23" s="18">
        <f>SUMIF('4_매출_거래처'!$C$52:$C$85,$A23,'4_매출_거래처'!AC$52:AC$85)</f>
        <v>0</v>
      </c>
      <c r="I23" s="18">
        <f>SUMIF('4_매출_거래처'!$C$52:$C$85,$A23,'4_매출_거래처'!AD$52:AD$85)</f>
        <v>0</v>
      </c>
      <c r="J23" s="18">
        <f>SUMIF('4_매출_거래처'!$C$52:$C$85,$A23,'4_매출_거래처'!AE$52:AE$85)</f>
        <v>0</v>
      </c>
      <c r="K23" s="18">
        <f>SUMIF('4_매출_거래처'!$C$52:$C$85,$A23,'4_매출_거래처'!AF$52:AF$85)</f>
        <v>0</v>
      </c>
      <c r="L23" s="18">
        <f>SUMIF('4_매출_거래처'!$C$52:$C$85,$A23,'4_매출_거래처'!AG$52:AG$85)</f>
        <v>0</v>
      </c>
      <c r="M23" s="18">
        <f>SUMIF('4_매출_거래처'!$C$52:$C$85,$A23,'4_매출_거래처'!AH$52:AH$85)</f>
        <v>0</v>
      </c>
      <c r="N23" s="18">
        <f>SUMIF('4_매출_거래처'!$C$52:$C$85,$A23,'4_매출_거래처'!AI$52:AI$85)</f>
        <v>0</v>
      </c>
      <c r="O23" s="18">
        <f>SUMIF('4_매출_거래처'!$C$52:$C$85,$A23,'4_매출_거래처'!AJ$52:AJ$85)</f>
        <v>0</v>
      </c>
      <c r="P23" s="18">
        <f>SUMIF('4_매출_거래처'!$C$52:$C$85,$A23,'4_매출_거래처'!AK$52:AK$85)</f>
        <v>0</v>
      </c>
      <c r="Q23" s="18">
        <f>SUMIF('4_매출_거래처'!$C$52:$C$85,$A23,'4_매출_거래처'!AL$52:AL$85)</f>
        <v>0</v>
      </c>
      <c r="R23" s="18">
        <f>SUMIF('4_매출_거래처'!$C$52:$C$85,$A23,'4_매출_거래처'!AM$52:AM$85)</f>
        <v>0</v>
      </c>
      <c r="S23" s="18">
        <f>SUMIF('4_매출_거래처'!$C$52:$C$85,$A23,'4_매출_거래처'!AN$52:AN$85)</f>
        <v>0</v>
      </c>
      <c r="T23" s="18">
        <f>SUMIF('4_매출_거래처'!$C$52:$C$85,$A23,'4_매출_거래처'!AO$52:AO$85)</f>
        <v>0</v>
      </c>
      <c r="U23" s="18">
        <f>SUMIF('4_매출_거래처'!$C$52:$C$85,$A23,'4_매출_거래처'!AP$52:AP$85)</f>
        <v>0</v>
      </c>
      <c r="V23" s="18">
        <f>SUMIF('4_매출_거래처'!$C$52:$C$85,$A23,'4_매출_거래처'!AQ$52:AQ$85)</f>
        <v>0</v>
      </c>
      <c r="W23" s="18">
        <f>SUMIF('4_매출_거래처'!$C$52:$C$85,$A23,'4_매출_거래처'!AR$52:AR$85)</f>
        <v>0</v>
      </c>
      <c r="X23" s="18">
        <f>SUMIF('4_매출_거래처'!$C$52:$C$85,$A23,'4_매출_거래처'!AS$52:AS$85)</f>
        <v>0</v>
      </c>
      <c r="Y23" s="18">
        <f>SUMIF('4_매출_거래처'!$C$52:$C$85,$A23,'4_매출_거래처'!AT$52:AT$85)</f>
        <v>0</v>
      </c>
      <c r="Z23" s="18">
        <f>SUMIF('4_매출_거래처'!$C$52:$C$85,$A23,'4_매출_거래처'!AU$52:AU$85)</f>
        <v>0</v>
      </c>
      <c r="AA23" s="23">
        <f>SUM(C23:N23)</f>
        <v>0</v>
      </c>
      <c r="AB23" s="23">
        <f>SUM(O23:Z23)</f>
        <v>0</v>
      </c>
      <c r="AC23" s="24">
        <f>SUMIF('4_매출_거래처'!$C$52:$C$85,$A23,'4_매출_거래처'!AX$52:AX$85)</f>
        <v>1000000</v>
      </c>
      <c r="AD23" s="24">
        <f>SUMIF('4_매출_거래처'!$C$52:$C$85,$A23,'4_매출_거래처'!AY$52:AY$85)</f>
        <v>7500000</v>
      </c>
      <c r="AE23" s="24">
        <f>SUMIF('4_매출_거래처'!$C$52:$C$85,$A23,'4_매출_거래처'!AZ$52:AZ$85)</f>
        <v>30000000</v>
      </c>
      <c r="AF23" s="25">
        <f>SUM(AA23:AE23)</f>
        <v>38500000</v>
      </c>
    </row>
    <row r="24">
      <c r="A24" s="15" t="inlineStr">
        <is>
          <t>글로벌(삼성채널)</t>
        </is>
      </c>
      <c r="C24" s="18">
        <f>SUMIF('4_매출_거래처'!$C$52:$C$85,$A24,'4_매출_거래처'!X$52:X$85)</f>
        <v>0</v>
      </c>
      <c r="D24" s="18">
        <f>SUMIF('4_매출_거래처'!$C$52:$C$85,$A24,'4_매출_거래처'!Y$52:Y$85)</f>
        <v>0</v>
      </c>
      <c r="E24" s="18">
        <f>SUMIF('4_매출_거래처'!$C$52:$C$85,$A24,'4_매출_거래처'!Z$52:Z$85)</f>
        <v>0</v>
      </c>
      <c r="F24" s="18">
        <f>SUMIF('4_매출_거래처'!$C$52:$C$85,$A24,'4_매출_거래처'!AA$52:AA$85)</f>
        <v>0</v>
      </c>
      <c r="G24" s="18">
        <f>SUMIF('4_매출_거래처'!$C$52:$C$85,$A24,'4_매출_거래처'!AB$52:AB$85)</f>
        <v>0</v>
      </c>
      <c r="H24" s="18">
        <f>SUMIF('4_매출_거래처'!$C$52:$C$85,$A24,'4_매출_거래처'!AC$52:AC$85)</f>
        <v>0</v>
      </c>
      <c r="I24" s="18">
        <f>SUMIF('4_매출_거래처'!$C$52:$C$85,$A24,'4_매출_거래처'!AD$52:AD$85)</f>
        <v>0</v>
      </c>
      <c r="J24" s="18">
        <f>SUMIF('4_매출_거래처'!$C$52:$C$85,$A24,'4_매출_거래처'!AE$52:AE$85)</f>
        <v>0</v>
      </c>
      <c r="K24" s="18">
        <f>SUMIF('4_매출_거래처'!$C$52:$C$85,$A24,'4_매출_거래처'!AF$52:AF$85)</f>
        <v>0</v>
      </c>
      <c r="L24" s="18">
        <f>SUMIF('4_매출_거래처'!$C$52:$C$85,$A24,'4_매출_거래처'!AG$52:AG$85)</f>
        <v>0</v>
      </c>
      <c r="M24" s="18">
        <f>SUMIF('4_매출_거래처'!$C$52:$C$85,$A24,'4_매출_거래처'!AH$52:AH$85)</f>
        <v>0</v>
      </c>
      <c r="N24" s="18">
        <f>SUMIF('4_매출_거래처'!$C$52:$C$85,$A24,'4_매출_거래처'!AI$52:AI$85)</f>
        <v>0</v>
      </c>
      <c r="O24" s="18">
        <f>SUMIF('4_매출_거래처'!$C$52:$C$85,$A24,'4_매출_거래처'!AJ$52:AJ$85)</f>
        <v>0</v>
      </c>
      <c r="P24" s="18">
        <f>SUMIF('4_매출_거래처'!$C$52:$C$85,$A24,'4_매출_거래처'!AK$52:AK$85)</f>
        <v>0</v>
      </c>
      <c r="Q24" s="18">
        <f>SUMIF('4_매출_거래처'!$C$52:$C$85,$A24,'4_매출_거래처'!AL$52:AL$85)</f>
        <v>0</v>
      </c>
      <c r="R24" s="18">
        <f>SUMIF('4_매출_거래처'!$C$52:$C$85,$A24,'4_매출_거래처'!AM$52:AM$85)</f>
        <v>0</v>
      </c>
      <c r="S24" s="18">
        <f>SUMIF('4_매출_거래처'!$C$52:$C$85,$A24,'4_매출_거래처'!AN$52:AN$85)</f>
        <v>0</v>
      </c>
      <c r="T24" s="18">
        <f>SUMIF('4_매출_거래처'!$C$52:$C$85,$A24,'4_매출_거래처'!AO$52:AO$85)</f>
        <v>0</v>
      </c>
      <c r="U24" s="18">
        <f>SUMIF('4_매출_거래처'!$C$52:$C$85,$A24,'4_매출_거래처'!AP$52:AP$85)</f>
        <v>0</v>
      </c>
      <c r="V24" s="18">
        <f>SUMIF('4_매출_거래처'!$C$52:$C$85,$A24,'4_매출_거래처'!AQ$52:AQ$85)</f>
        <v>0</v>
      </c>
      <c r="W24" s="18">
        <f>SUMIF('4_매출_거래처'!$C$52:$C$85,$A24,'4_매출_거래처'!AR$52:AR$85)</f>
        <v>0</v>
      </c>
      <c r="X24" s="18">
        <f>SUMIF('4_매출_거래처'!$C$52:$C$85,$A24,'4_매출_거래처'!AS$52:AS$85)</f>
        <v>0</v>
      </c>
      <c r="Y24" s="18">
        <f>SUMIF('4_매출_거래처'!$C$52:$C$85,$A24,'4_매출_거래처'!AT$52:AT$85)</f>
        <v>0</v>
      </c>
      <c r="Z24" s="18">
        <f>SUMIF('4_매출_거래처'!$C$52:$C$85,$A24,'4_매출_거래처'!AU$52:AU$85)</f>
        <v>0</v>
      </c>
      <c r="AA24" s="23">
        <f>SUM(C24:N24)</f>
        <v>0</v>
      </c>
      <c r="AB24" s="23">
        <f>SUM(O24:Z24)</f>
        <v>0</v>
      </c>
      <c r="AC24" s="24">
        <f>SUMIF('4_매출_거래처'!$C$52:$C$85,$A24,'4_매출_거래처'!AX$52:AX$85)</f>
        <v>4165688</v>
      </c>
      <c r="AD24" s="24">
        <f>SUMIF('4_매출_거래처'!$C$52:$C$85,$A24,'4_매출_거래처'!AY$52:AY$85)</f>
        <v>9195097.4</v>
      </c>
      <c r="AE24" s="24">
        <f>SUMIF('4_매출_거래처'!$C$52:$C$85,$A24,'4_매출_거래처'!AZ$52:AZ$85)</f>
        <v>21511421.832</v>
      </c>
      <c r="AF24" s="25">
        <f>SUM(AA24:AE24)</f>
        <v>34872207.232</v>
      </c>
    </row>
    <row r="26">
      <c r="A26" s="12" t="inlineStr">
        <is>
          <t>지역 합계</t>
        </is>
      </c>
      <c r="C26" s="26">
        <f>SUM(C19:C24)</f>
        <v>54297</v>
      </c>
      <c r="D26" s="26">
        <f>SUM(D19:D24)</f>
        <v>42124</v>
      </c>
      <c r="E26" s="26">
        <f>SUM(E19:E24)</f>
        <v>66552</v>
      </c>
      <c r="F26" s="26">
        <f>SUM(F19:F24)</f>
        <v>20969</v>
      </c>
      <c r="G26" s="26">
        <f>SUM(G19:G24)</f>
        <v>28646</v>
      </c>
      <c r="H26" s="26">
        <f>SUM(H19:H24)</f>
        <v>60378</v>
      </c>
      <c r="I26" s="26">
        <f>SUM(I19:I24)</f>
        <v>24379</v>
      </c>
      <c r="J26" s="26">
        <f>SUM(J19:J24)</f>
        <v>16087</v>
      </c>
      <c r="K26" s="26">
        <f>SUM(K19:K24)</f>
        <v>46206</v>
      </c>
      <c r="L26" s="26">
        <f>SUM(L19:L24)</f>
        <v>70875</v>
      </c>
      <c r="M26" s="26">
        <f>SUM(M19:M24)</f>
        <v>249695</v>
      </c>
      <c r="N26" s="26">
        <f>SUM(N19:N24)</f>
        <v>594437</v>
      </c>
      <c r="O26" s="26">
        <f>SUM(O19:O24)</f>
        <v>682975</v>
      </c>
      <c r="P26" s="26">
        <f>SUM(P19:P24)</f>
        <v>828775</v>
      </c>
      <c r="Q26" s="26">
        <f>SUM(Q19:Q24)</f>
        <v>784575</v>
      </c>
      <c r="R26" s="26">
        <f>SUM(R19:R24)</f>
        <v>790375</v>
      </c>
      <c r="S26" s="26">
        <f>SUM(S19:S24)</f>
        <v>756175</v>
      </c>
      <c r="T26" s="26">
        <f>SUM(T19:T24)</f>
        <v>917775</v>
      </c>
      <c r="U26" s="26">
        <f>SUM(U19:U24)</f>
        <v>813575</v>
      </c>
      <c r="V26" s="26">
        <f>SUM(V19:V24)</f>
        <v>793575</v>
      </c>
      <c r="W26" s="26">
        <f>SUM(W19:W24)</f>
        <v>819375</v>
      </c>
      <c r="X26" s="26">
        <f>SUM(X19:X24)</f>
        <v>974375</v>
      </c>
      <c r="Y26" s="26">
        <f>SUM(Y19:Y24)</f>
        <v>900175</v>
      </c>
      <c r="Z26" s="26">
        <f>SUM(Z19:Z24)</f>
        <v>943275</v>
      </c>
      <c r="AA26" s="27">
        <f>SUM(AA19:AA24)</f>
        <v>1274645</v>
      </c>
      <c r="AB26" s="27">
        <f>SUM(AB19:AB24)</f>
        <v>10005000</v>
      </c>
      <c r="AC26" s="28">
        <f>SUM(AC19:AC24)</f>
        <v>33000000</v>
      </c>
      <c r="AD26" s="28">
        <f>SUM(AD19:AD24)</f>
        <v>70000000</v>
      </c>
      <c r="AE26" s="28">
        <f>SUM(AE19:AE24)</f>
        <v>156000000</v>
      </c>
      <c r="AF26" s="26">
        <f>SUM(AF19:AF24)</f>
        <v>270279645</v>
      </c>
    </row>
    <row r="27">
      <c r="A27" s="2" t="inlineStr">
        <is>
          <t>검증: 지역 합계 − 제품 합계(0이어야 함)</t>
        </is>
      </c>
      <c r="C27" s="59">
        <f>C26-C15</f>
        <v>0</v>
      </c>
      <c r="D27" s="59">
        <f>D26-D15</f>
        <v>0</v>
      </c>
      <c r="E27" s="59">
        <f>E26-E15</f>
        <v>0</v>
      </c>
      <c r="F27" s="59">
        <f>F26-F15</f>
        <v>0</v>
      </c>
      <c r="G27" s="59">
        <f>G26-G15</f>
        <v>0</v>
      </c>
      <c r="H27" s="59">
        <f>H26-H15</f>
        <v>0</v>
      </c>
      <c r="I27" s="59">
        <f>I26-I15</f>
        <v>0</v>
      </c>
      <c r="J27" s="59">
        <f>J26-J15</f>
        <v>0</v>
      </c>
      <c r="K27" s="59">
        <f>K26-K15</f>
        <v>0</v>
      </c>
      <c r="L27" s="59">
        <f>L26-L15</f>
        <v>0</v>
      </c>
      <c r="M27" s="59">
        <f>M26-M15</f>
        <v>0</v>
      </c>
      <c r="N27" s="59">
        <f>N26-N15</f>
        <v>0</v>
      </c>
      <c r="O27" s="59">
        <f>O26-O15</f>
        <v>0</v>
      </c>
      <c r="P27" s="59">
        <f>P26-P15</f>
        <v>0</v>
      </c>
      <c r="Q27" s="59">
        <f>Q26-Q15</f>
        <v>0</v>
      </c>
      <c r="R27" s="59">
        <f>R26-R15</f>
        <v>0</v>
      </c>
      <c r="S27" s="59">
        <f>S26-S15</f>
        <v>0</v>
      </c>
      <c r="T27" s="59">
        <f>T26-T15</f>
        <v>0</v>
      </c>
      <c r="U27" s="59">
        <f>U26-U15</f>
        <v>0</v>
      </c>
      <c r="V27" s="59">
        <f>V26-V15</f>
        <v>0</v>
      </c>
      <c r="W27" s="59">
        <f>W26-W15</f>
        <v>0</v>
      </c>
      <c r="X27" s="59">
        <f>X26-X15</f>
        <v>0</v>
      </c>
      <c r="Y27" s="59">
        <f>Y26-Y15</f>
        <v>0</v>
      </c>
      <c r="Z27" s="59">
        <f>Z26-Z15</f>
        <v>0</v>
      </c>
      <c r="AA27" s="59">
        <f>AA26-AA15</f>
        <v>0</v>
      </c>
      <c r="AB27" s="59">
        <f>AB26-AB15</f>
        <v>0</v>
      </c>
      <c r="AC27" s="59">
        <f>AC26-AC15</f>
        <v>0</v>
      </c>
      <c r="AD27" s="59">
        <f>AD26-AD15</f>
        <v>0</v>
      </c>
      <c r="AE27" s="59">
        <f>AE26-AE15</f>
        <v>0</v>
      </c>
      <c r="AF27" s="59">
        <f>AF26-AF15</f>
        <v>0</v>
      </c>
    </row>
    <row r="29">
      <c r="A29" s="3" t="inlineStr">
        <is>
          <t>C. 채널(거래형태)별 매출</t>
        </is>
      </c>
    </row>
    <row r="30">
      <c r="A30" s="15" t="inlineStr">
        <is>
          <t>온라인·B2C</t>
        </is>
      </c>
      <c r="C30" s="18">
        <f>SUMIF('4_매출_거래처'!$E$52:$E$85,$A30,'4_매출_거래처'!X$52:X$85)</f>
        <v>24382</v>
      </c>
      <c r="D30" s="18">
        <f>SUMIF('4_매출_거래처'!$E$52:$E$85,$A30,'4_매출_거래처'!Y$52:Y$85)</f>
        <v>32161</v>
      </c>
      <c r="E30" s="18">
        <f>SUMIF('4_매출_거래처'!$E$52:$E$85,$A30,'4_매출_거래처'!Z$52:Z$85)</f>
        <v>12448</v>
      </c>
      <c r="F30" s="18">
        <f>SUMIF('4_매출_거래처'!$E$52:$E$85,$A30,'4_매출_거래처'!AA$52:AA$85)</f>
        <v>10935</v>
      </c>
      <c r="G30" s="18">
        <f>SUMIF('4_매출_거래처'!$E$52:$E$85,$A30,'4_매출_거래처'!AB$52:AB$85)</f>
        <v>7313</v>
      </c>
      <c r="H30" s="18">
        <f>SUMIF('4_매출_거래처'!$E$52:$E$85,$A30,'4_매출_거래처'!AC$52:AC$85)</f>
        <v>12220</v>
      </c>
      <c r="I30" s="18">
        <f>SUMIF('4_매출_거래처'!$E$52:$E$85,$A30,'4_매출_거래처'!AD$52:AD$85)</f>
        <v>12672</v>
      </c>
      <c r="J30" s="18">
        <f>SUMIF('4_매출_거래처'!$E$52:$E$85,$A30,'4_매출_거래처'!AE$52:AE$85)</f>
        <v>7697</v>
      </c>
      <c r="K30" s="18">
        <f>SUMIF('4_매출_거래처'!$E$52:$E$85,$A30,'4_매출_거래처'!AF$52:AF$85)</f>
        <v>7523</v>
      </c>
      <c r="L30" s="18">
        <f>SUMIF('4_매출_거래처'!$E$52:$E$85,$A30,'4_매출_거래처'!AG$52:AG$85)</f>
        <v>0</v>
      </c>
      <c r="M30" s="18">
        <f>SUMIF('4_매출_거래처'!$E$52:$E$85,$A30,'4_매출_거래처'!AH$52:AH$85)</f>
        <v>0</v>
      </c>
      <c r="N30" s="18">
        <f>SUMIF('4_매출_거래처'!$E$52:$E$85,$A30,'4_매출_거래처'!AI$52:AI$85)</f>
        <v>0</v>
      </c>
      <c r="O30" s="18">
        <f>SUMIF('4_매출_거래처'!$E$52:$E$85,$A30,'4_매출_거래처'!AJ$52:AJ$85)</f>
        <v>88000</v>
      </c>
      <c r="P30" s="18">
        <f>SUMIF('4_매출_거래처'!$E$52:$E$85,$A30,'4_매출_거래처'!AK$52:AK$85)</f>
        <v>88000</v>
      </c>
      <c r="Q30" s="18">
        <f>SUMIF('4_매출_거래처'!$E$52:$E$85,$A30,'4_매출_거래처'!AL$52:AL$85)</f>
        <v>88000</v>
      </c>
      <c r="R30" s="18">
        <f>SUMIF('4_매출_거래처'!$E$52:$E$85,$A30,'4_매출_거래처'!AM$52:AM$85)</f>
        <v>88000</v>
      </c>
      <c r="S30" s="18">
        <f>SUMIF('4_매출_거래처'!$E$52:$E$85,$A30,'4_매출_거래처'!AN$52:AN$85)</f>
        <v>88000</v>
      </c>
      <c r="T30" s="18">
        <f>SUMIF('4_매출_거래처'!$E$52:$E$85,$A30,'4_매출_거래처'!AO$52:AO$85)</f>
        <v>88000</v>
      </c>
      <c r="U30" s="18">
        <f>SUMIF('4_매출_거래처'!$E$52:$E$85,$A30,'4_매출_거래처'!AP$52:AP$85)</f>
        <v>88000</v>
      </c>
      <c r="V30" s="18">
        <f>SUMIF('4_매출_거래처'!$E$52:$E$85,$A30,'4_매출_거래처'!AQ$52:AQ$85)</f>
        <v>88000</v>
      </c>
      <c r="W30" s="18">
        <f>SUMIF('4_매출_거래처'!$E$52:$E$85,$A30,'4_매출_거래처'!AR$52:AR$85)</f>
        <v>88000</v>
      </c>
      <c r="X30" s="18">
        <f>SUMIF('4_매출_거래처'!$E$52:$E$85,$A30,'4_매출_거래처'!AS$52:AS$85)</f>
        <v>88000</v>
      </c>
      <c r="Y30" s="18">
        <f>SUMIF('4_매출_거래처'!$E$52:$E$85,$A30,'4_매출_거래처'!AT$52:AT$85)</f>
        <v>88000</v>
      </c>
      <c r="Z30" s="18">
        <f>SUMIF('4_매출_거래처'!$E$52:$E$85,$A30,'4_매출_거래처'!AU$52:AU$85)</f>
        <v>88000</v>
      </c>
      <c r="AA30" s="23">
        <f>SUM(C30:N30)</f>
        <v>127351</v>
      </c>
      <c r="AB30" s="23">
        <f>SUM(O30:Z30)</f>
        <v>1056000</v>
      </c>
      <c r="AC30" s="24">
        <f>SUMIF('4_매출_거래처'!$E$52:$E$85,$A30,'4_매출_거래처'!AX$52:AX$85)</f>
        <v>1497600</v>
      </c>
      <c r="AD30" s="24">
        <f>SUMIF('4_매출_거래처'!$E$52:$E$85,$A30,'4_매출_거래처'!AY$52:AY$85)</f>
        <v>1814880</v>
      </c>
      <c r="AE30" s="24">
        <f>SUMIF('4_매출_거래처'!$E$52:$E$85,$A30,'4_매출_거래처'!AZ$52:AZ$85)</f>
        <v>2050425.6</v>
      </c>
      <c r="AF30" s="25">
        <f>SUM(AA30:AE30)</f>
        <v>6546256.6</v>
      </c>
    </row>
    <row r="31">
      <c r="A31" s="15" t="inlineStr">
        <is>
          <t>국내 B2B</t>
        </is>
      </c>
      <c r="C31" s="18">
        <f>SUMIF('4_매출_거래처'!$E$52:$E$85,$A31,'4_매출_거래처'!X$52:X$85)</f>
        <v>7230</v>
      </c>
      <c r="D31" s="18">
        <f>SUMIF('4_매출_거래처'!$E$52:$E$85,$A31,'4_매출_거래처'!Y$52:Y$85)</f>
        <v>5984</v>
      </c>
      <c r="E31" s="18">
        <f>SUMIF('4_매출_거래처'!$E$52:$E$85,$A31,'4_매출_거래처'!Z$52:Z$85)</f>
        <v>10098</v>
      </c>
      <c r="F31" s="18">
        <f>SUMIF('4_매출_거래처'!$E$52:$E$85,$A31,'4_매출_거래처'!AA$52:AA$85)</f>
        <v>10034</v>
      </c>
      <c r="G31" s="18">
        <f>SUMIF('4_매출_거래처'!$E$52:$E$85,$A31,'4_매출_거래처'!AB$52:AB$85)</f>
        <v>6329</v>
      </c>
      <c r="H31" s="18">
        <f>SUMIF('4_매출_거래처'!$E$52:$E$85,$A31,'4_매출_거래처'!AC$52:AC$85)</f>
        <v>8925</v>
      </c>
      <c r="I31" s="18">
        <f>SUMIF('4_매출_거래처'!$E$52:$E$85,$A31,'4_매출_거래처'!AD$52:AD$85)</f>
        <v>11065</v>
      </c>
      <c r="J31" s="18">
        <f>SUMIF('4_매출_거래처'!$E$52:$E$85,$A31,'4_매출_거래처'!AE$52:AE$85)</f>
        <v>8390</v>
      </c>
      <c r="K31" s="18">
        <f>SUMIF('4_매출_거래처'!$E$52:$E$85,$A31,'4_매출_거래처'!AF$52:AF$85)</f>
        <v>5477</v>
      </c>
      <c r="L31" s="18">
        <f>SUMIF('4_매출_거래처'!$E$52:$E$85,$A31,'4_매출_거래처'!AG$52:AG$85)</f>
        <v>0</v>
      </c>
      <c r="M31" s="18">
        <f>SUMIF('4_매출_거래처'!$E$52:$E$85,$A31,'4_매출_거래처'!AH$52:AH$85)</f>
        <v>-3950</v>
      </c>
      <c r="N31" s="18">
        <f>SUMIF('4_매출_거래처'!$E$52:$E$85,$A31,'4_매출_거래처'!AI$52:AI$85)</f>
        <v>0</v>
      </c>
      <c r="O31" s="18">
        <f>SUMIF('4_매출_거래처'!$E$52:$E$85,$A31,'4_매출_거래처'!AJ$52:AJ$85)</f>
        <v>20000</v>
      </c>
      <c r="P31" s="18">
        <f>SUMIF('4_매출_거래처'!$E$52:$E$85,$A31,'4_매출_거래처'!AK$52:AK$85)</f>
        <v>20000</v>
      </c>
      <c r="Q31" s="18">
        <f>SUMIF('4_매출_거래처'!$E$52:$E$85,$A31,'4_매출_거래처'!AL$52:AL$85)</f>
        <v>20000</v>
      </c>
      <c r="R31" s="18">
        <f>SUMIF('4_매출_거래처'!$E$52:$E$85,$A31,'4_매출_거래처'!AM$52:AM$85)</f>
        <v>20000</v>
      </c>
      <c r="S31" s="18">
        <f>SUMIF('4_매출_거래처'!$E$52:$E$85,$A31,'4_매출_거래처'!AN$52:AN$85)</f>
        <v>20000</v>
      </c>
      <c r="T31" s="18">
        <f>SUMIF('4_매출_거래처'!$E$52:$E$85,$A31,'4_매출_거래처'!AO$52:AO$85)</f>
        <v>20000</v>
      </c>
      <c r="U31" s="18">
        <f>SUMIF('4_매출_거래처'!$E$52:$E$85,$A31,'4_매출_거래처'!AP$52:AP$85)</f>
        <v>10000</v>
      </c>
      <c r="V31" s="18">
        <f>SUMIF('4_매출_거래처'!$E$52:$E$85,$A31,'4_매출_거래처'!AQ$52:AQ$85)</f>
        <v>10000</v>
      </c>
      <c r="W31" s="18">
        <f>SUMIF('4_매출_거래처'!$E$52:$E$85,$A31,'4_매출_거래처'!AR$52:AR$85)</f>
        <v>20000</v>
      </c>
      <c r="X31" s="18">
        <f>SUMIF('4_매출_거래처'!$E$52:$E$85,$A31,'4_매출_거래처'!AS$52:AS$85)</f>
        <v>20000</v>
      </c>
      <c r="Y31" s="18">
        <f>SUMIF('4_매출_거래처'!$E$52:$E$85,$A31,'4_매출_거래처'!AT$52:AT$85)</f>
        <v>20000</v>
      </c>
      <c r="Z31" s="18">
        <f>SUMIF('4_매출_거래처'!$E$52:$E$85,$A31,'4_매출_거래처'!AU$52:AU$85)</f>
        <v>20000</v>
      </c>
      <c r="AA31" s="23">
        <f>SUM(C31:N31)</f>
        <v>69582</v>
      </c>
      <c r="AB31" s="23">
        <f>SUM(O31:Z31)</f>
        <v>220000</v>
      </c>
      <c r="AC31" s="24">
        <f>SUMIF('4_매출_거래처'!$E$52:$E$85,$A31,'4_매출_거래처'!AX$52:AX$85)</f>
        <v>308000</v>
      </c>
      <c r="AD31" s="24">
        <f>SUMIF('4_매출_거래처'!$E$52:$E$85,$A31,'4_매출_거래처'!AY$52:AY$85)</f>
        <v>369600</v>
      </c>
      <c r="AE31" s="24">
        <f>SUMIF('4_매출_거래처'!$E$52:$E$85,$A31,'4_매출_거래처'!AZ$52:AZ$85)</f>
        <v>413952</v>
      </c>
      <c r="AF31" s="25">
        <f>SUM(AA31:AE31)</f>
        <v>1381134</v>
      </c>
    </row>
    <row r="32">
      <c r="A32" s="15" t="inlineStr">
        <is>
          <t>총판</t>
        </is>
      </c>
      <c r="C32" s="18">
        <f>SUMIF('4_매출_거래처'!$E$52:$E$85,$A32,'4_매출_거래처'!X$52:X$85)</f>
        <v>12879</v>
      </c>
      <c r="D32" s="18">
        <f>SUMIF('4_매출_거래처'!$E$52:$E$85,$A32,'4_매출_거래처'!Y$52:Y$85)</f>
        <v>0</v>
      </c>
      <c r="E32" s="18">
        <f>SUMIF('4_매출_거래처'!$E$52:$E$85,$A32,'4_매출_거래처'!Z$52:Z$85)</f>
        <v>41996</v>
      </c>
      <c r="F32" s="18">
        <f>SUMIF('4_매출_거래처'!$E$52:$E$85,$A32,'4_매출_거래처'!AA$52:AA$85)</f>
        <v>0</v>
      </c>
      <c r="G32" s="18">
        <f>SUMIF('4_매출_거래처'!$E$52:$E$85,$A32,'4_매출_거래처'!AB$52:AB$85)</f>
        <v>15004</v>
      </c>
      <c r="H32" s="18">
        <f>SUMIF('4_매출_거래처'!$E$52:$E$85,$A32,'4_매출_거래처'!AC$52:AC$85)</f>
        <v>39233</v>
      </c>
      <c r="I32" s="18">
        <f>SUMIF('4_매출_거래처'!$E$52:$E$85,$A32,'4_매출_거래처'!AD$52:AD$85)</f>
        <v>0</v>
      </c>
      <c r="J32" s="18">
        <f>SUMIF('4_매출_거래처'!$E$52:$E$85,$A32,'4_매출_거래처'!AE$52:AE$85)</f>
        <v>0</v>
      </c>
      <c r="K32" s="18">
        <f>SUMIF('4_매출_거래처'!$E$52:$E$85,$A32,'4_매출_거래처'!AF$52:AF$85)</f>
        <v>31303</v>
      </c>
      <c r="L32" s="18">
        <f>SUMIF('4_매출_거래처'!$E$52:$E$85,$A32,'4_매출_거래처'!AG$52:AG$85)</f>
        <v>23625</v>
      </c>
      <c r="M32" s="18">
        <f>SUMIF('4_매출_거래처'!$E$52:$E$85,$A32,'4_매출_거래처'!AH$52:AH$85)</f>
        <v>45745</v>
      </c>
      <c r="N32" s="18">
        <f>SUMIF('4_매출_거래처'!$E$52:$E$85,$A32,'4_매출_거래처'!AI$52:AI$85)</f>
        <v>162580</v>
      </c>
      <c r="O32" s="18">
        <f>SUMIF('4_매출_거래처'!$E$52:$E$85,$A32,'4_매출_거래처'!AJ$52:AJ$85)</f>
        <v>303000</v>
      </c>
      <c r="P32" s="18">
        <f>SUMIF('4_매출_거래처'!$E$52:$E$85,$A32,'4_매출_거래처'!AK$52:AK$85)</f>
        <v>368800</v>
      </c>
      <c r="Q32" s="18">
        <f>SUMIF('4_매출_거래처'!$E$52:$E$85,$A32,'4_매출_거래처'!AL$52:AL$85)</f>
        <v>354600</v>
      </c>
      <c r="R32" s="18">
        <f>SUMIF('4_매출_거래처'!$E$52:$E$85,$A32,'4_매출_거래처'!AM$52:AM$85)</f>
        <v>350400</v>
      </c>
      <c r="S32" s="18">
        <f>SUMIF('4_매출_거래처'!$E$52:$E$85,$A32,'4_매출_거래처'!AN$52:AN$85)</f>
        <v>366200</v>
      </c>
      <c r="T32" s="18">
        <f>SUMIF('4_매출_거래처'!$E$52:$E$85,$A32,'4_매출_거래처'!AO$52:AO$85)</f>
        <v>447800</v>
      </c>
      <c r="U32" s="18">
        <f>SUMIF('4_매출_거래처'!$E$52:$E$85,$A32,'4_매출_거래처'!AP$52:AP$85)</f>
        <v>433600</v>
      </c>
      <c r="V32" s="18">
        <f>SUMIF('4_매출_거래처'!$E$52:$E$85,$A32,'4_매출_거래처'!AQ$52:AQ$85)</f>
        <v>413600</v>
      </c>
      <c r="W32" s="18">
        <f>SUMIF('4_매출_거래처'!$E$52:$E$85,$A32,'4_매출_거래처'!AR$52:AR$85)</f>
        <v>429400</v>
      </c>
      <c r="X32" s="18">
        <f>SUMIF('4_매출_거래처'!$E$52:$E$85,$A32,'4_매출_거래처'!AS$52:AS$85)</f>
        <v>504400</v>
      </c>
      <c r="Y32" s="18">
        <f>SUMIF('4_매출_거래처'!$E$52:$E$85,$A32,'4_매출_거래처'!AT$52:AT$85)</f>
        <v>490200</v>
      </c>
      <c r="Z32" s="18">
        <f>SUMIF('4_매출_거래처'!$E$52:$E$85,$A32,'4_매출_거래처'!AU$52:AU$85)</f>
        <v>486000</v>
      </c>
      <c r="AA32" s="23">
        <f>SUM(C32:N32)</f>
        <v>372365</v>
      </c>
      <c r="AB32" s="23">
        <f>SUM(O32:Z32)</f>
        <v>4948000</v>
      </c>
      <c r="AC32" s="24">
        <f>SUMIF('4_매출_거래처'!$E$52:$E$85,$A32,'4_매출_거래처'!AX$52:AX$85)</f>
        <v>12404320</v>
      </c>
      <c r="AD32" s="24">
        <f>SUMIF('4_매출_거래처'!$E$52:$E$85,$A32,'4_매출_거래처'!AY$52:AY$85)</f>
        <v>21564584</v>
      </c>
      <c r="AE32" s="24">
        <f>SUMIF('4_매출_거래처'!$E$52:$E$85,$A32,'4_매출_거래처'!AZ$52:AZ$85)</f>
        <v>30833176</v>
      </c>
      <c r="AF32" s="25">
        <f>SUM(AA32:AE32)</f>
        <v>70122445</v>
      </c>
    </row>
    <row r="33">
      <c r="A33" s="15" t="inlineStr">
        <is>
          <t>B2G·제도</t>
        </is>
      </c>
      <c r="C33" s="18">
        <f>SUMIF('4_매출_거래처'!$E$52:$E$85,$A33,'4_매출_거래처'!X$52:X$85)</f>
        <v>9806</v>
      </c>
      <c r="D33" s="18">
        <f>SUMIF('4_매출_거래처'!$E$52:$E$85,$A33,'4_매출_거래처'!Y$52:Y$85)</f>
        <v>3979</v>
      </c>
      <c r="E33" s="18">
        <f>SUMIF('4_매출_거래처'!$E$52:$E$85,$A33,'4_매출_거래처'!Z$52:Z$85)</f>
        <v>2010</v>
      </c>
      <c r="F33" s="18">
        <f>SUMIF('4_매출_거래처'!$E$52:$E$85,$A33,'4_매출_거래처'!AA$52:AA$85)</f>
        <v>0</v>
      </c>
      <c r="G33" s="18">
        <f>SUMIF('4_매출_거래처'!$E$52:$E$85,$A33,'4_매출_거래처'!AB$52:AB$85)</f>
        <v>0</v>
      </c>
      <c r="H33" s="18">
        <f>SUMIF('4_매출_거래처'!$E$52:$E$85,$A33,'4_매출_거래처'!AC$52:AC$85)</f>
        <v>0</v>
      </c>
      <c r="I33" s="18">
        <f>SUMIF('4_매출_거래처'!$E$52:$E$85,$A33,'4_매출_거래처'!AD$52:AD$85)</f>
        <v>0</v>
      </c>
      <c r="J33" s="18">
        <f>SUMIF('4_매출_거래처'!$E$52:$E$85,$A33,'4_매출_거래처'!AE$52:AE$85)</f>
        <v>0</v>
      </c>
      <c r="K33" s="18">
        <f>SUMIF('4_매출_거래처'!$E$52:$E$85,$A33,'4_매출_거래처'!AF$52:AF$85)</f>
        <v>0</v>
      </c>
      <c r="L33" s="18">
        <f>SUMIF('4_매출_거래처'!$E$52:$E$85,$A33,'4_매출_거래처'!AG$52:AG$85)</f>
        <v>0</v>
      </c>
      <c r="M33" s="18">
        <f>SUMIF('4_매출_거래처'!$E$52:$E$85,$A33,'4_매출_거래처'!AH$52:AH$85)</f>
        <v>0</v>
      </c>
      <c r="N33" s="18">
        <f>SUMIF('4_매출_거래처'!$E$52:$E$85,$A33,'4_매출_거래처'!AI$52:AI$85)</f>
        <v>0</v>
      </c>
      <c r="O33" s="18">
        <f>SUMIF('4_매출_거래처'!$E$52:$E$85,$A33,'4_매출_거래처'!AJ$52:AJ$85)</f>
        <v>40000</v>
      </c>
      <c r="P33" s="18">
        <f>SUMIF('4_매출_거래처'!$E$52:$E$85,$A33,'4_매출_거래처'!AK$52:AK$85)</f>
        <v>120000</v>
      </c>
      <c r="Q33" s="18">
        <f>SUMIF('4_매출_거래처'!$E$52:$E$85,$A33,'4_매출_거래처'!AL$52:AL$85)</f>
        <v>40000</v>
      </c>
      <c r="R33" s="18">
        <f>SUMIF('4_매출_거래처'!$E$52:$E$85,$A33,'4_매출_거래처'!AM$52:AM$85)</f>
        <v>40000</v>
      </c>
      <c r="S33" s="18">
        <f>SUMIF('4_매출_거래처'!$E$52:$E$85,$A33,'4_매출_거래처'!AN$52:AN$85)</f>
        <v>40000</v>
      </c>
      <c r="T33" s="18">
        <f>SUMIF('4_매출_거래처'!$E$52:$E$85,$A33,'4_매출_거래처'!AO$52:AO$85)</f>
        <v>120000</v>
      </c>
      <c r="U33" s="18">
        <f>SUMIF('4_매출_거래처'!$E$52:$E$85,$A33,'4_매출_거래처'!AP$52:AP$85)</f>
        <v>40000</v>
      </c>
      <c r="V33" s="18">
        <f>SUMIF('4_매출_거래처'!$E$52:$E$85,$A33,'4_매출_거래처'!AQ$52:AQ$85)</f>
        <v>40000</v>
      </c>
      <c r="W33" s="18">
        <f>SUMIF('4_매출_거래처'!$E$52:$E$85,$A33,'4_매출_거래처'!AR$52:AR$85)</f>
        <v>40000</v>
      </c>
      <c r="X33" s="18">
        <f>SUMIF('4_매출_거래처'!$E$52:$E$85,$A33,'4_매출_거래처'!AS$52:AS$85)</f>
        <v>120000</v>
      </c>
      <c r="Y33" s="18">
        <f>SUMIF('4_매출_거래처'!$E$52:$E$85,$A33,'4_매출_거래처'!AT$52:AT$85)</f>
        <v>40000</v>
      </c>
      <c r="Z33" s="18">
        <f>SUMIF('4_매출_거래처'!$E$52:$E$85,$A33,'4_매출_거래처'!AU$52:AU$85)</f>
        <v>47300</v>
      </c>
      <c r="AA33" s="23">
        <f>SUM(C33:N33)</f>
        <v>15795</v>
      </c>
      <c r="AB33" s="23">
        <f>SUM(O33:Z33)</f>
        <v>727300</v>
      </c>
      <c r="AC33" s="24">
        <f>SUMIF('4_매출_거래처'!$E$52:$E$85,$A33,'4_매출_거래처'!AX$52:AX$85)</f>
        <v>2347108</v>
      </c>
      <c r="AD33" s="24">
        <f>SUMIF('4_매출_거래처'!$E$52:$E$85,$A33,'4_매출_거래처'!AY$52:AY$85)</f>
        <v>4495062</v>
      </c>
      <c r="AE33" s="24">
        <f>SUMIF('4_매출_거래처'!$E$52:$E$85,$A33,'4_매출_거래처'!AZ$52:AZ$85)</f>
        <v>6913449.84</v>
      </c>
      <c r="AF33" s="25">
        <f>SUM(AA33:AE33)</f>
        <v>14498714.84</v>
      </c>
    </row>
    <row r="34">
      <c r="A34" s="15" t="inlineStr">
        <is>
          <t>파트너</t>
        </is>
      </c>
      <c r="C34" s="18">
        <f>SUMIF('4_매출_거래처'!$E$52:$E$85,$A34,'4_매출_거래처'!X$52:X$85)</f>
        <v>0</v>
      </c>
      <c r="D34" s="18">
        <f>SUMIF('4_매출_거래처'!$E$52:$E$85,$A34,'4_매출_거래처'!Y$52:Y$85)</f>
        <v>0</v>
      </c>
      <c r="E34" s="18">
        <f>SUMIF('4_매출_거래처'!$E$52:$E$85,$A34,'4_매출_거래처'!Z$52:Z$85)</f>
        <v>0</v>
      </c>
      <c r="F34" s="18">
        <f>SUMIF('4_매출_거래처'!$E$52:$E$85,$A34,'4_매출_거래처'!AA$52:AA$85)</f>
        <v>0</v>
      </c>
      <c r="G34" s="18">
        <f>SUMIF('4_매출_거래처'!$E$52:$E$85,$A34,'4_매출_거래처'!AB$52:AB$85)</f>
        <v>0</v>
      </c>
      <c r="H34" s="18">
        <f>SUMIF('4_매출_거래처'!$E$52:$E$85,$A34,'4_매출_거래처'!AC$52:AC$85)</f>
        <v>0</v>
      </c>
      <c r="I34" s="18">
        <f>SUMIF('4_매출_거래처'!$E$52:$E$85,$A34,'4_매출_거래처'!AD$52:AD$85)</f>
        <v>0</v>
      </c>
      <c r="J34" s="18">
        <f>SUMIF('4_매출_거래처'!$E$52:$E$85,$A34,'4_매출_거래처'!AE$52:AE$85)</f>
        <v>0</v>
      </c>
      <c r="K34" s="18">
        <f>SUMIF('4_매출_거래처'!$E$52:$E$85,$A34,'4_매출_거래처'!AF$52:AF$85)</f>
        <v>0</v>
      </c>
      <c r="L34" s="18">
        <f>SUMIF('4_매출_거래처'!$E$52:$E$85,$A34,'4_매출_거래처'!AG$52:AG$85)</f>
        <v>0</v>
      </c>
      <c r="M34" s="18">
        <f>SUMIF('4_매출_거래처'!$E$52:$E$85,$A34,'4_매출_거래처'!AH$52:AH$85)</f>
        <v>200000</v>
      </c>
      <c r="N34" s="18">
        <f>SUMIF('4_매출_거래처'!$E$52:$E$85,$A34,'4_매출_거래처'!AI$52:AI$85)</f>
        <v>200000</v>
      </c>
      <c r="O34" s="18">
        <f>SUMIF('4_매출_거래처'!$E$52:$E$85,$A34,'4_매출_거래처'!AJ$52:AJ$85)</f>
        <v>200000</v>
      </c>
      <c r="P34" s="18">
        <f>SUMIF('4_매출_거래처'!$E$52:$E$85,$A34,'4_매출_거래처'!AK$52:AK$85)</f>
        <v>200000</v>
      </c>
      <c r="Q34" s="18">
        <f>SUMIF('4_매출_거래처'!$E$52:$E$85,$A34,'4_매출_거래처'!AL$52:AL$85)</f>
        <v>200000</v>
      </c>
      <c r="R34" s="18">
        <f>SUMIF('4_매출_거래처'!$E$52:$E$85,$A34,'4_매출_거래처'!AM$52:AM$85)</f>
        <v>200000</v>
      </c>
      <c r="S34" s="18">
        <f>SUMIF('4_매출_거래처'!$E$52:$E$85,$A34,'4_매출_거래처'!AN$52:AN$85)</f>
        <v>200000</v>
      </c>
      <c r="T34" s="18">
        <f>SUMIF('4_매출_거래처'!$E$52:$E$85,$A34,'4_매출_거래처'!AO$52:AO$85)</f>
        <v>200000</v>
      </c>
      <c r="U34" s="18">
        <f>SUMIF('4_매출_거래처'!$E$52:$E$85,$A34,'4_매출_거래처'!AP$52:AP$85)</f>
        <v>200000</v>
      </c>
      <c r="V34" s="18">
        <f>SUMIF('4_매출_거래처'!$E$52:$E$85,$A34,'4_매출_거래처'!AQ$52:AQ$85)</f>
        <v>200000</v>
      </c>
      <c r="W34" s="18">
        <f>SUMIF('4_매출_거래처'!$E$52:$E$85,$A34,'4_매출_거래처'!AR$52:AR$85)</f>
        <v>200000</v>
      </c>
      <c r="X34" s="18">
        <f>SUMIF('4_매출_거래처'!$E$52:$E$85,$A34,'4_매출_거래처'!AS$52:AS$85)</f>
        <v>200000</v>
      </c>
      <c r="Y34" s="18">
        <f>SUMIF('4_매출_거래처'!$E$52:$E$85,$A34,'4_매출_거래처'!AT$52:AT$85)</f>
        <v>200000</v>
      </c>
      <c r="Z34" s="18">
        <f>SUMIF('4_매출_거래처'!$E$52:$E$85,$A34,'4_매출_거래처'!AU$52:AU$85)</f>
        <v>200000</v>
      </c>
      <c r="AA34" s="23">
        <f>SUM(C34:N34)</f>
        <v>400000</v>
      </c>
      <c r="AB34" s="23">
        <f>SUM(O34:Z34)</f>
        <v>2400000</v>
      </c>
      <c r="AC34" s="24">
        <f>SUMIF('4_매출_거래처'!$E$52:$E$85,$A34,'4_매출_거래처'!AX$52:AX$85)</f>
        <v>8101688</v>
      </c>
      <c r="AD34" s="24">
        <f>SUMIF('4_매출_거래처'!$E$52:$E$85,$A34,'4_매출_거래처'!AY$52:AY$85)</f>
        <v>14311897.4</v>
      </c>
      <c r="AE34" s="24">
        <f>SUMIF('4_매출_거래처'!$E$52:$E$85,$A34,'4_매출_거래처'!AZ$52:AZ$85)</f>
        <v>27651581.832</v>
      </c>
      <c r="AF34" s="25">
        <f>SUM(AA34:AE34)</f>
        <v>52865167.232</v>
      </c>
    </row>
    <row r="35">
      <c r="A35" s="15" t="inlineStr">
        <is>
          <t>기관(직접)</t>
        </is>
      </c>
      <c r="C35" s="18">
        <f>SUMIF('4_매출_거래처'!$E$52:$E$85,$A35,'4_매출_거래처'!X$52:X$85)</f>
        <v>0</v>
      </c>
      <c r="D35" s="18">
        <f>SUMIF('4_매출_거래처'!$E$52:$E$85,$A35,'4_매출_거래처'!Y$52:Y$85)</f>
        <v>0</v>
      </c>
      <c r="E35" s="18">
        <f>SUMIF('4_매출_거래처'!$E$52:$E$85,$A35,'4_매출_거래처'!Z$52:Z$85)</f>
        <v>0</v>
      </c>
      <c r="F35" s="18">
        <f>SUMIF('4_매출_거래처'!$E$52:$E$85,$A35,'4_매출_거래처'!AA$52:AA$85)</f>
        <v>0</v>
      </c>
      <c r="G35" s="18">
        <f>SUMIF('4_매출_거래처'!$E$52:$E$85,$A35,'4_매출_거래처'!AB$52:AB$85)</f>
        <v>0</v>
      </c>
      <c r="H35" s="18">
        <f>SUMIF('4_매출_거래처'!$E$52:$E$85,$A35,'4_매출_거래처'!AC$52:AC$85)</f>
        <v>0</v>
      </c>
      <c r="I35" s="18">
        <f>SUMIF('4_매출_거래처'!$E$52:$E$85,$A35,'4_매출_거래처'!AD$52:AD$85)</f>
        <v>0</v>
      </c>
      <c r="J35" s="18">
        <f>SUMIF('4_매출_거래처'!$E$52:$E$85,$A35,'4_매출_거래처'!AE$52:AE$85)</f>
        <v>0</v>
      </c>
      <c r="K35" s="18">
        <f>SUMIF('4_매출_거래처'!$E$52:$E$85,$A35,'4_매출_거래처'!AF$52:AF$85)</f>
        <v>0</v>
      </c>
      <c r="L35" s="18">
        <f>SUMIF('4_매출_거래처'!$E$52:$E$85,$A35,'4_매출_거래처'!AG$52:AG$85)</f>
        <v>47250</v>
      </c>
      <c r="M35" s="18">
        <f>SUMIF('4_매출_거래처'!$E$52:$E$85,$A35,'4_매출_거래처'!AH$52:AH$85)</f>
        <v>7900</v>
      </c>
      <c r="N35" s="18">
        <f>SUMIF('4_매출_거래처'!$E$52:$E$85,$A35,'4_매출_거래처'!AI$52:AI$85)</f>
        <v>231857</v>
      </c>
      <c r="O35" s="18">
        <f>SUMIF('4_매출_거래처'!$E$52:$E$85,$A35,'4_매출_거래처'!AJ$52:AJ$85)</f>
        <v>31975</v>
      </c>
      <c r="P35" s="18">
        <f>SUMIF('4_매출_거래처'!$E$52:$E$85,$A35,'4_매출_거래처'!AK$52:AK$85)</f>
        <v>31975</v>
      </c>
      <c r="Q35" s="18">
        <f>SUMIF('4_매출_거래처'!$E$52:$E$85,$A35,'4_매출_거래처'!AL$52:AL$85)</f>
        <v>81975</v>
      </c>
      <c r="R35" s="18">
        <f>SUMIF('4_매출_거래처'!$E$52:$E$85,$A35,'4_매출_거래처'!AM$52:AM$85)</f>
        <v>91975</v>
      </c>
      <c r="S35" s="18">
        <f>SUMIF('4_매출_거래처'!$E$52:$E$85,$A35,'4_매출_거래처'!AN$52:AN$85)</f>
        <v>41975</v>
      </c>
      <c r="T35" s="18">
        <f>SUMIF('4_매출_거래처'!$E$52:$E$85,$A35,'4_매출_거래처'!AO$52:AO$85)</f>
        <v>41975</v>
      </c>
      <c r="U35" s="18">
        <f>SUMIF('4_매출_거래처'!$E$52:$E$85,$A35,'4_매출_거래처'!AP$52:AP$85)</f>
        <v>41975</v>
      </c>
      <c r="V35" s="18">
        <f>SUMIF('4_매출_거래처'!$E$52:$E$85,$A35,'4_매출_거래처'!AQ$52:AQ$85)</f>
        <v>41975</v>
      </c>
      <c r="W35" s="18">
        <f>SUMIF('4_매출_거래처'!$E$52:$E$85,$A35,'4_매출_거래처'!AR$52:AR$85)</f>
        <v>41975</v>
      </c>
      <c r="X35" s="18">
        <f>SUMIF('4_매출_거래처'!$E$52:$E$85,$A35,'4_매출_거래처'!AS$52:AS$85)</f>
        <v>41975</v>
      </c>
      <c r="Y35" s="18">
        <f>SUMIF('4_매출_거래처'!$E$52:$E$85,$A35,'4_매출_거래처'!AT$52:AT$85)</f>
        <v>61975</v>
      </c>
      <c r="Z35" s="18">
        <f>SUMIF('4_매출_거래처'!$E$52:$E$85,$A35,'4_매출_거래처'!AU$52:AU$85)</f>
        <v>101975</v>
      </c>
      <c r="AA35" s="23">
        <f>SUM(C35:N35)</f>
        <v>287007</v>
      </c>
      <c r="AB35" s="23">
        <f>SUM(O35:Z35)</f>
        <v>653700</v>
      </c>
      <c r="AC35" s="24">
        <f>SUMIF('4_매출_거래처'!$E$52:$E$85,$A35,'4_매출_거래처'!AX$52:AX$85)</f>
        <v>1141284</v>
      </c>
      <c r="AD35" s="24">
        <f>SUMIF('4_매출_거래처'!$E$52:$E$85,$A35,'4_매출_거래처'!AY$52:AY$85)</f>
        <v>1643976.6</v>
      </c>
      <c r="AE35" s="24">
        <f>SUMIF('4_매출_거래처'!$E$52:$E$85,$A35,'4_매출_거래처'!AZ$52:AZ$85)</f>
        <v>2137414.728</v>
      </c>
      <c r="AF35" s="25">
        <f>SUM(AA35:AE35)</f>
        <v>5863382.328</v>
      </c>
    </row>
    <row r="36">
      <c r="A36" s="15" t="inlineStr">
        <is>
          <t>신규 파이프라인</t>
        </is>
      </c>
      <c r="C36" s="18">
        <f>SUMIF('4_매출_거래처'!$E$52:$E$85,$A36,'4_매출_거래처'!X$52:X$85)</f>
        <v>0</v>
      </c>
      <c r="D36" s="18">
        <f>SUMIF('4_매출_거래처'!$E$52:$E$85,$A36,'4_매출_거래처'!Y$52:Y$85)</f>
        <v>0</v>
      </c>
      <c r="E36" s="18">
        <f>SUMIF('4_매출_거래처'!$E$52:$E$85,$A36,'4_매출_거래처'!Z$52:Z$85)</f>
        <v>0</v>
      </c>
      <c r="F36" s="18">
        <f>SUMIF('4_매출_거래처'!$E$52:$E$85,$A36,'4_매출_거래처'!AA$52:AA$85)</f>
        <v>0</v>
      </c>
      <c r="G36" s="18">
        <f>SUMIF('4_매출_거래처'!$E$52:$E$85,$A36,'4_매출_거래처'!AB$52:AB$85)</f>
        <v>0</v>
      </c>
      <c r="H36" s="18">
        <f>SUMIF('4_매출_거래처'!$E$52:$E$85,$A36,'4_매출_거래처'!AC$52:AC$85)</f>
        <v>0</v>
      </c>
      <c r="I36" s="18">
        <f>SUMIF('4_매출_거래처'!$E$52:$E$85,$A36,'4_매출_거래처'!AD$52:AD$85)</f>
        <v>0</v>
      </c>
      <c r="J36" s="18">
        <f>SUMIF('4_매출_거래처'!$E$52:$E$85,$A36,'4_매출_거래처'!AE$52:AE$85)</f>
        <v>0</v>
      </c>
      <c r="K36" s="18">
        <f>SUMIF('4_매출_거래처'!$E$52:$E$85,$A36,'4_매출_거래처'!AF$52:AF$85)</f>
        <v>0</v>
      </c>
      <c r="L36" s="18">
        <f>SUMIF('4_매출_거래처'!$E$52:$E$85,$A36,'4_매출_거래처'!AG$52:AG$85)</f>
        <v>0</v>
      </c>
      <c r="M36" s="18">
        <f>SUMIF('4_매출_거래처'!$E$52:$E$85,$A36,'4_매출_거래처'!AH$52:AH$85)</f>
        <v>0</v>
      </c>
      <c r="N36" s="18">
        <f>SUMIF('4_매출_거래처'!$E$52:$E$85,$A36,'4_매출_거래처'!AI$52:AI$85)</f>
        <v>0</v>
      </c>
      <c r="O36" s="18">
        <f>SUMIF('4_매출_거래처'!$E$52:$E$85,$A36,'4_매출_거래처'!AJ$52:AJ$85)</f>
        <v>0</v>
      </c>
      <c r="P36" s="18">
        <f>SUMIF('4_매출_거래처'!$E$52:$E$85,$A36,'4_매출_거래처'!AK$52:AK$85)</f>
        <v>0</v>
      </c>
      <c r="Q36" s="18">
        <f>SUMIF('4_매출_거래처'!$E$52:$E$85,$A36,'4_매출_거래처'!AL$52:AL$85)</f>
        <v>0</v>
      </c>
      <c r="R36" s="18">
        <f>SUMIF('4_매출_거래처'!$E$52:$E$85,$A36,'4_매출_거래처'!AM$52:AM$85)</f>
        <v>0</v>
      </c>
      <c r="S36" s="18">
        <f>SUMIF('4_매출_거래처'!$E$52:$E$85,$A36,'4_매출_거래처'!AN$52:AN$85)</f>
        <v>0</v>
      </c>
      <c r="T36" s="18">
        <f>SUMIF('4_매출_거래처'!$E$52:$E$85,$A36,'4_매출_거래처'!AO$52:AO$85)</f>
        <v>0</v>
      </c>
      <c r="U36" s="18">
        <f>SUMIF('4_매출_거래처'!$E$52:$E$85,$A36,'4_매출_거래처'!AP$52:AP$85)</f>
        <v>0</v>
      </c>
      <c r="V36" s="18">
        <f>SUMIF('4_매출_거래처'!$E$52:$E$85,$A36,'4_매출_거래처'!AQ$52:AQ$85)</f>
        <v>0</v>
      </c>
      <c r="W36" s="18">
        <f>SUMIF('4_매출_거래처'!$E$52:$E$85,$A36,'4_매출_거래처'!AR$52:AR$85)</f>
        <v>0</v>
      </c>
      <c r="X36" s="18">
        <f>SUMIF('4_매출_거래처'!$E$52:$E$85,$A36,'4_매출_거래처'!AS$52:AS$85)</f>
        <v>0</v>
      </c>
      <c r="Y36" s="18">
        <f>SUMIF('4_매출_거래처'!$E$52:$E$85,$A36,'4_매출_거래처'!AT$52:AT$85)</f>
        <v>0</v>
      </c>
      <c r="Z36" s="18">
        <f>SUMIF('4_매출_거래처'!$E$52:$E$85,$A36,'4_매출_거래처'!AU$52:AU$85)</f>
        <v>0</v>
      </c>
      <c r="AA36" s="23">
        <f>SUM(C36:N36)</f>
        <v>0</v>
      </c>
      <c r="AB36" s="23">
        <f>SUM(O36:Z36)</f>
        <v>0</v>
      </c>
      <c r="AC36" s="24">
        <f>SUMIF('4_매출_거래처'!$E$52:$E$85,$A36,'4_매출_거래처'!AX$52:AX$85)</f>
        <v>7200000</v>
      </c>
      <c r="AD36" s="24">
        <f>SUMIF('4_매출_거래처'!$E$52:$E$85,$A36,'4_매출_거래처'!AY$52:AY$85)</f>
        <v>25800000</v>
      </c>
      <c r="AE36" s="24">
        <f>SUMIF('4_매출_거래처'!$E$52:$E$85,$A36,'4_매출_거래처'!AZ$52:AZ$85)</f>
        <v>86000000</v>
      </c>
      <c r="AF36" s="25">
        <f>SUM(AA36:AE36)</f>
        <v>119000000</v>
      </c>
    </row>
    <row r="37">
      <c r="A37" s="15" t="inlineStr">
        <is>
          <t>기타</t>
        </is>
      </c>
      <c r="C37" s="18">
        <f>SUMIF('4_매출_거래처'!$E$52:$E$85,$A37,'4_매출_거래처'!X$52:X$85)</f>
        <v>0</v>
      </c>
      <c r="D37" s="18">
        <f>SUMIF('4_매출_거래처'!$E$52:$E$85,$A37,'4_매출_거래처'!Y$52:Y$85)</f>
        <v>0</v>
      </c>
      <c r="E37" s="18">
        <f>SUMIF('4_매출_거래처'!$E$52:$E$85,$A37,'4_매출_거래처'!Z$52:Z$85)</f>
        <v>0</v>
      </c>
      <c r="F37" s="18">
        <f>SUMIF('4_매출_거래처'!$E$52:$E$85,$A37,'4_매출_거래처'!AA$52:AA$85)</f>
        <v>0</v>
      </c>
      <c r="G37" s="18">
        <f>SUMIF('4_매출_거래처'!$E$52:$E$85,$A37,'4_매출_거래처'!AB$52:AB$85)</f>
        <v>0</v>
      </c>
      <c r="H37" s="18">
        <f>SUMIF('4_매출_거래처'!$E$52:$E$85,$A37,'4_매출_거래처'!AC$52:AC$85)</f>
        <v>0</v>
      </c>
      <c r="I37" s="18">
        <f>SUMIF('4_매출_거래처'!$E$52:$E$85,$A37,'4_매출_거래처'!AD$52:AD$85)</f>
        <v>642</v>
      </c>
      <c r="J37" s="18">
        <f>SUMIF('4_매출_거래처'!$E$52:$E$85,$A37,'4_매출_거래처'!AE$52:AE$85)</f>
        <v>0</v>
      </c>
      <c r="K37" s="18">
        <f>SUMIF('4_매출_거래처'!$E$52:$E$85,$A37,'4_매출_거래처'!AF$52:AF$85)</f>
        <v>1903</v>
      </c>
      <c r="L37" s="18">
        <f>SUMIF('4_매출_거래처'!$E$52:$E$85,$A37,'4_매출_거래처'!AG$52:AG$85)</f>
        <v>0</v>
      </c>
      <c r="M37" s="18">
        <f>SUMIF('4_매출_거래처'!$E$52:$E$85,$A37,'4_매출_거래처'!AH$52:AH$85)</f>
        <v>0</v>
      </c>
      <c r="N37" s="18">
        <f>SUMIF('4_매출_거래처'!$E$52:$E$85,$A37,'4_매출_거래처'!AI$52:AI$85)</f>
        <v>0</v>
      </c>
      <c r="O37" s="18">
        <f>SUMIF('4_매출_거래처'!$E$52:$E$85,$A37,'4_매출_거래처'!AJ$52:AJ$85)</f>
        <v>0</v>
      </c>
      <c r="P37" s="18">
        <f>SUMIF('4_매출_거래처'!$E$52:$E$85,$A37,'4_매출_거래처'!AK$52:AK$85)</f>
        <v>0</v>
      </c>
      <c r="Q37" s="18">
        <f>SUMIF('4_매출_거래처'!$E$52:$E$85,$A37,'4_매출_거래처'!AL$52:AL$85)</f>
        <v>0</v>
      </c>
      <c r="R37" s="18">
        <f>SUMIF('4_매출_거래처'!$E$52:$E$85,$A37,'4_매출_거래처'!AM$52:AM$85)</f>
        <v>0</v>
      </c>
      <c r="S37" s="18">
        <f>SUMIF('4_매출_거래처'!$E$52:$E$85,$A37,'4_매출_거래처'!AN$52:AN$85)</f>
        <v>0</v>
      </c>
      <c r="T37" s="18">
        <f>SUMIF('4_매출_거래처'!$E$52:$E$85,$A37,'4_매출_거래처'!AO$52:AO$85)</f>
        <v>0</v>
      </c>
      <c r="U37" s="18">
        <f>SUMIF('4_매출_거래처'!$E$52:$E$85,$A37,'4_매출_거래처'!AP$52:AP$85)</f>
        <v>0</v>
      </c>
      <c r="V37" s="18">
        <f>SUMIF('4_매출_거래처'!$E$52:$E$85,$A37,'4_매출_거래처'!AQ$52:AQ$85)</f>
        <v>0</v>
      </c>
      <c r="W37" s="18">
        <f>SUMIF('4_매출_거래처'!$E$52:$E$85,$A37,'4_매출_거래처'!AR$52:AR$85)</f>
        <v>0</v>
      </c>
      <c r="X37" s="18">
        <f>SUMIF('4_매출_거래처'!$E$52:$E$85,$A37,'4_매출_거래처'!AS$52:AS$85)</f>
        <v>0</v>
      </c>
      <c r="Y37" s="18">
        <f>SUMIF('4_매출_거래처'!$E$52:$E$85,$A37,'4_매출_거래처'!AT$52:AT$85)</f>
        <v>0</v>
      </c>
      <c r="Z37" s="18">
        <f>SUMIF('4_매출_거래처'!$E$52:$E$85,$A37,'4_매출_거래처'!AU$52:AU$85)</f>
        <v>0</v>
      </c>
      <c r="AA37" s="23">
        <f>SUM(C37:N37)</f>
        <v>2545</v>
      </c>
      <c r="AB37" s="23">
        <f>SUM(O37:Z37)</f>
        <v>0</v>
      </c>
      <c r="AC37" s="24">
        <f>SUMIF('4_매출_거래처'!$E$52:$E$85,$A37,'4_매출_거래처'!AX$52:AX$85)</f>
        <v>0</v>
      </c>
      <c r="AD37" s="24">
        <f>SUMIF('4_매출_거래처'!$E$52:$E$85,$A37,'4_매출_거래처'!AY$52:AY$85)</f>
        <v>0</v>
      </c>
      <c r="AE37" s="24">
        <f>SUMIF('4_매출_거래처'!$E$52:$E$85,$A37,'4_매출_거래처'!AZ$52:AZ$85)</f>
        <v>0</v>
      </c>
      <c r="AF37" s="25">
        <f>SUM(AA37:AE37)</f>
        <v>2545</v>
      </c>
    </row>
    <row r="38">
      <c r="A38" s="12" t="inlineStr">
        <is>
          <t>채널 합계</t>
        </is>
      </c>
      <c r="C38" s="26">
        <f>SUM(C30:C37)</f>
        <v>54297</v>
      </c>
      <c r="D38" s="26">
        <f>SUM(D30:D37)</f>
        <v>42124</v>
      </c>
      <c r="E38" s="26">
        <f>SUM(E30:E37)</f>
        <v>66552</v>
      </c>
      <c r="F38" s="26">
        <f>SUM(F30:F37)</f>
        <v>20969</v>
      </c>
      <c r="G38" s="26">
        <f>SUM(G30:G37)</f>
        <v>28646</v>
      </c>
      <c r="H38" s="26">
        <f>SUM(H30:H37)</f>
        <v>60378</v>
      </c>
      <c r="I38" s="26">
        <f>SUM(I30:I37)</f>
        <v>24379</v>
      </c>
      <c r="J38" s="26">
        <f>SUM(J30:J37)</f>
        <v>16087</v>
      </c>
      <c r="K38" s="26">
        <f>SUM(K30:K37)</f>
        <v>46206</v>
      </c>
      <c r="L38" s="26">
        <f>SUM(L30:L37)</f>
        <v>70875</v>
      </c>
      <c r="M38" s="26">
        <f>SUM(M30:M37)</f>
        <v>249695</v>
      </c>
      <c r="N38" s="26">
        <f>SUM(N30:N37)</f>
        <v>594437</v>
      </c>
      <c r="O38" s="26">
        <f>SUM(O30:O37)</f>
        <v>682975</v>
      </c>
      <c r="P38" s="26">
        <f>SUM(P30:P37)</f>
        <v>828775</v>
      </c>
      <c r="Q38" s="26">
        <f>SUM(Q30:Q37)</f>
        <v>784575</v>
      </c>
      <c r="R38" s="26">
        <f>SUM(R30:R37)</f>
        <v>790375</v>
      </c>
      <c r="S38" s="26">
        <f>SUM(S30:S37)</f>
        <v>756175</v>
      </c>
      <c r="T38" s="26">
        <f>SUM(T30:T37)</f>
        <v>917775</v>
      </c>
      <c r="U38" s="26">
        <f>SUM(U30:U37)</f>
        <v>813575</v>
      </c>
      <c r="V38" s="26">
        <f>SUM(V30:V37)</f>
        <v>793575</v>
      </c>
      <c r="W38" s="26">
        <f>SUM(W30:W37)</f>
        <v>819375</v>
      </c>
      <c r="X38" s="26">
        <f>SUM(X30:X37)</f>
        <v>974375</v>
      </c>
      <c r="Y38" s="26">
        <f>SUM(Y30:Y37)</f>
        <v>900175</v>
      </c>
      <c r="Z38" s="26">
        <f>SUM(Z30:Z37)</f>
        <v>943275</v>
      </c>
      <c r="AA38" s="27">
        <f>SUM(AA30:AA37)</f>
        <v>1274645</v>
      </c>
      <c r="AB38" s="27">
        <f>SUM(AB30:AB37)</f>
        <v>10005000</v>
      </c>
      <c r="AC38" s="28">
        <f>SUM(AC30:AC37)</f>
        <v>33000000</v>
      </c>
      <c r="AD38" s="28">
        <f>SUM(AD30:AD37)</f>
        <v>70000000</v>
      </c>
      <c r="AE38" s="28">
        <f>SUM(AE30:AE37)</f>
        <v>156000000</v>
      </c>
      <c r="AF38" s="26">
        <f>SUM(AF30:AF37)</f>
        <v>270279645</v>
      </c>
    </row>
    <row r="40">
      <c r="A40" s="3" t="inlineStr">
        <is>
          <t>D. 근거수준별 매출</t>
        </is>
      </c>
    </row>
    <row r="41">
      <c r="A41" s="15" t="inlineStr">
        <is>
          <t>A 계약·기존 거래</t>
        </is>
      </c>
      <c r="C41" s="18">
        <f>SUMIF('4_매출_거래처'!$H$52:$H$85,$A41,'4_매출_거래처'!X$52:X$85)</f>
        <v>44491</v>
      </c>
      <c r="D41" s="18">
        <f>SUMIF('4_매출_거래처'!$H$52:$H$85,$A41,'4_매출_거래처'!Y$52:Y$85)</f>
        <v>38145</v>
      </c>
      <c r="E41" s="18">
        <f>SUMIF('4_매출_거래처'!$H$52:$H$85,$A41,'4_매출_거래처'!Z$52:Z$85)</f>
        <v>64542</v>
      </c>
      <c r="F41" s="18">
        <f>SUMIF('4_매출_거래처'!$H$52:$H$85,$A41,'4_매출_거래처'!AA$52:AA$85)</f>
        <v>20969</v>
      </c>
      <c r="G41" s="18">
        <f>SUMIF('4_매출_거래처'!$H$52:$H$85,$A41,'4_매출_거래처'!AB$52:AB$85)</f>
        <v>28646</v>
      </c>
      <c r="H41" s="18">
        <f>SUMIF('4_매출_거래처'!$H$52:$H$85,$A41,'4_매출_거래처'!AC$52:AC$85)</f>
        <v>60378</v>
      </c>
      <c r="I41" s="18">
        <f>SUMIF('4_매출_거래처'!$H$52:$H$85,$A41,'4_매출_거래처'!AD$52:AD$85)</f>
        <v>24379</v>
      </c>
      <c r="J41" s="18">
        <f>SUMIF('4_매출_거래처'!$H$52:$H$85,$A41,'4_매출_거래처'!AE$52:AE$85)</f>
        <v>16087</v>
      </c>
      <c r="K41" s="18">
        <f>SUMIF('4_매출_거래처'!$H$52:$H$85,$A41,'4_매출_거래처'!AF$52:AF$85)</f>
        <v>46206</v>
      </c>
      <c r="L41" s="18">
        <f>SUMIF('4_매출_거래처'!$H$52:$H$85,$A41,'4_매출_거래처'!AG$52:AG$85)</f>
        <v>70875</v>
      </c>
      <c r="M41" s="18">
        <f>SUMIF('4_매출_거래처'!$H$52:$H$85,$A41,'4_매출_거래처'!AH$52:AH$85)</f>
        <v>227575</v>
      </c>
      <c r="N41" s="18">
        <f>SUMIF('4_매출_거래처'!$H$52:$H$85,$A41,'4_매출_거래처'!AI$52:AI$85)</f>
        <v>364400</v>
      </c>
      <c r="O41" s="18">
        <f>SUMIF('4_매출_거래처'!$H$52:$H$85,$A41,'4_매출_거래처'!AJ$52:AJ$85)</f>
        <v>404975</v>
      </c>
      <c r="P41" s="18">
        <f>SUMIF('4_매출_거래처'!$H$52:$H$85,$A41,'4_매출_거래처'!AK$52:AK$85)</f>
        <v>409975</v>
      </c>
      <c r="Q41" s="18">
        <f>SUMIF('4_매출_거래처'!$H$52:$H$85,$A41,'4_매출_거래처'!AL$52:AL$85)</f>
        <v>524975</v>
      </c>
      <c r="R41" s="18">
        <f>SUMIF('4_매출_거래처'!$H$52:$H$85,$A41,'4_매출_거래처'!AM$52:AM$85)</f>
        <v>419975</v>
      </c>
      <c r="S41" s="18">
        <f>SUMIF('4_매출_거래처'!$H$52:$H$85,$A41,'4_매출_거래처'!AN$52:AN$85)</f>
        <v>414975</v>
      </c>
      <c r="T41" s="18">
        <f>SUMIF('4_매출_거래처'!$H$52:$H$85,$A41,'4_매출_거래처'!AO$52:AO$85)</f>
        <v>419975</v>
      </c>
      <c r="U41" s="18">
        <f>SUMIF('4_매출_거래처'!$H$52:$H$85,$A41,'4_매출_거래처'!AP$52:AP$85)</f>
        <v>474975</v>
      </c>
      <c r="V41" s="18">
        <f>SUMIF('4_매출_거래처'!$H$52:$H$85,$A41,'4_매출_거래처'!AQ$52:AQ$85)</f>
        <v>409975</v>
      </c>
      <c r="W41" s="18">
        <f>SUMIF('4_매출_거래처'!$H$52:$H$85,$A41,'4_매출_거래처'!AR$52:AR$85)</f>
        <v>414975</v>
      </c>
      <c r="X41" s="18">
        <f>SUMIF('4_매출_거래처'!$H$52:$H$85,$A41,'4_매출_거래처'!AS$52:AS$85)</f>
        <v>419975</v>
      </c>
      <c r="Y41" s="18">
        <f>SUMIF('4_매출_거래처'!$H$52:$H$85,$A41,'4_매출_거래처'!AT$52:AT$85)</f>
        <v>484975</v>
      </c>
      <c r="Z41" s="18">
        <f>SUMIF('4_매출_거래처'!$H$52:$H$85,$A41,'4_매출_거래처'!AU$52:AU$85)</f>
        <v>459975</v>
      </c>
      <c r="AA41" s="23">
        <f>SUM(C41:N41)</f>
        <v>1006693</v>
      </c>
      <c r="AB41" s="23">
        <f>SUM(O41:Z41)</f>
        <v>5259700</v>
      </c>
      <c r="AC41" s="24">
        <f>SUMIF('4_매출_거래처'!$H$52:$H$85,$A41,'4_매출_거래처'!AX$52:AX$85)</f>
        <v>9560084</v>
      </c>
      <c r="AD41" s="24">
        <f>SUMIF('4_매출_거래처'!$H$52:$H$85,$A41,'4_매출_거래처'!AY$52:AY$85)</f>
        <v>13978536.6</v>
      </c>
      <c r="AE41" s="24">
        <f>SUMIF('4_매출_거래처'!$H$52:$H$85,$A41,'4_매출_거래처'!AZ$52:AZ$85)</f>
        <v>18298534.728</v>
      </c>
      <c r="AF41" s="25">
        <f>SUM(AA41:AE41)</f>
        <v>48103548.328</v>
      </c>
    </row>
    <row r="42">
      <c r="A42" s="15" t="inlineStr">
        <is>
          <t>B 등록·입찰·협의 단계</t>
        </is>
      </c>
      <c r="C42" s="18">
        <f>SUMIF('4_매출_거래처'!$H$52:$H$85,$A42,'4_매출_거래처'!X$52:X$85)</f>
        <v>9806</v>
      </c>
      <c r="D42" s="18">
        <f>SUMIF('4_매출_거래처'!$H$52:$H$85,$A42,'4_매출_거래처'!Y$52:Y$85)</f>
        <v>3979</v>
      </c>
      <c r="E42" s="18">
        <f>SUMIF('4_매출_거래처'!$H$52:$H$85,$A42,'4_매출_거래처'!Z$52:Z$85)</f>
        <v>2010</v>
      </c>
      <c r="F42" s="18">
        <f>SUMIF('4_매출_거래처'!$H$52:$H$85,$A42,'4_매출_거래처'!AA$52:AA$85)</f>
        <v>0</v>
      </c>
      <c r="G42" s="18">
        <f>SUMIF('4_매출_거래처'!$H$52:$H$85,$A42,'4_매출_거래처'!AB$52:AB$85)</f>
        <v>0</v>
      </c>
      <c r="H42" s="18">
        <f>SUMIF('4_매출_거래처'!$H$52:$H$85,$A42,'4_매출_거래처'!AC$52:AC$85)</f>
        <v>0</v>
      </c>
      <c r="I42" s="18">
        <f>SUMIF('4_매출_거래처'!$H$52:$H$85,$A42,'4_매출_거래처'!AD$52:AD$85)</f>
        <v>0</v>
      </c>
      <c r="J42" s="18">
        <f>SUMIF('4_매출_거래처'!$H$52:$H$85,$A42,'4_매출_거래처'!AE$52:AE$85)</f>
        <v>0</v>
      </c>
      <c r="K42" s="18">
        <f>SUMIF('4_매출_거래처'!$H$52:$H$85,$A42,'4_매출_거래처'!AF$52:AF$85)</f>
        <v>0</v>
      </c>
      <c r="L42" s="18">
        <f>SUMIF('4_매출_거래처'!$H$52:$H$85,$A42,'4_매출_거래처'!AG$52:AG$85)</f>
        <v>0</v>
      </c>
      <c r="M42" s="18">
        <f>SUMIF('4_매출_거래처'!$H$52:$H$85,$A42,'4_매출_거래처'!AH$52:AH$85)</f>
        <v>22120</v>
      </c>
      <c r="N42" s="18">
        <f>SUMIF('4_매출_거래처'!$H$52:$H$85,$A42,'4_매출_거래처'!AI$52:AI$85)</f>
        <v>230037</v>
      </c>
      <c r="O42" s="18">
        <f>SUMIF('4_매출_거래처'!$H$52:$H$85,$A42,'4_매출_거래처'!AJ$52:AJ$85)</f>
        <v>278000</v>
      </c>
      <c r="P42" s="18">
        <f>SUMIF('4_매출_거래처'!$H$52:$H$85,$A42,'4_매출_거래처'!AK$52:AK$85)</f>
        <v>418800</v>
      </c>
      <c r="Q42" s="18">
        <f>SUMIF('4_매출_거래처'!$H$52:$H$85,$A42,'4_매출_거래처'!AL$52:AL$85)</f>
        <v>259600</v>
      </c>
      <c r="R42" s="18">
        <f>SUMIF('4_매출_거래처'!$H$52:$H$85,$A42,'4_매출_거래처'!AM$52:AM$85)</f>
        <v>370400</v>
      </c>
      <c r="S42" s="18">
        <f>SUMIF('4_매출_거래처'!$H$52:$H$85,$A42,'4_매출_거래처'!AN$52:AN$85)</f>
        <v>341200</v>
      </c>
      <c r="T42" s="18">
        <f>SUMIF('4_매출_거래처'!$H$52:$H$85,$A42,'4_매출_거래처'!AO$52:AO$85)</f>
        <v>497800</v>
      </c>
      <c r="U42" s="18">
        <f>SUMIF('4_매출_거래처'!$H$52:$H$85,$A42,'4_매출_거래처'!AP$52:AP$85)</f>
        <v>338600</v>
      </c>
      <c r="V42" s="18">
        <f>SUMIF('4_매출_거래처'!$H$52:$H$85,$A42,'4_매출_거래처'!AQ$52:AQ$85)</f>
        <v>383600</v>
      </c>
      <c r="W42" s="18">
        <f>SUMIF('4_매출_거래처'!$H$52:$H$85,$A42,'4_매출_거래처'!AR$52:AR$85)</f>
        <v>404400</v>
      </c>
      <c r="X42" s="18">
        <f>SUMIF('4_매출_거래처'!$H$52:$H$85,$A42,'4_매출_거래처'!AS$52:AS$85)</f>
        <v>554400</v>
      </c>
      <c r="Y42" s="18">
        <f>SUMIF('4_매출_거래처'!$H$52:$H$85,$A42,'4_매출_거래처'!AT$52:AT$85)</f>
        <v>415200</v>
      </c>
      <c r="Z42" s="18">
        <f>SUMIF('4_매출_거래처'!$H$52:$H$85,$A42,'4_매출_거래처'!AU$52:AU$85)</f>
        <v>483300</v>
      </c>
      <c r="AA42" s="23">
        <f>SUM(C42:N42)</f>
        <v>267952</v>
      </c>
      <c r="AB42" s="23">
        <f>SUM(O42:Z42)</f>
        <v>4745300</v>
      </c>
      <c r="AC42" s="24">
        <f>SUMIF('4_매출_거래처'!$H$52:$H$85,$A42,'4_매출_거래처'!AX$52:AX$85)</f>
        <v>12074228</v>
      </c>
      <c r="AD42" s="24">
        <f>SUMIF('4_매출_거래처'!$H$52:$H$85,$A42,'4_매출_거래처'!AY$52:AY$85)</f>
        <v>21026366</v>
      </c>
      <c r="AE42" s="24">
        <f>SUMIF('4_매출_거래처'!$H$52:$H$85,$A42,'4_매출_거래처'!AZ$52:AZ$85)</f>
        <v>30190043.44</v>
      </c>
      <c r="AF42" s="25">
        <f>SUM(AA42:AE42)</f>
        <v>68303889.44</v>
      </c>
    </row>
    <row r="43">
      <c r="A43" s="15" t="inlineStr">
        <is>
          <t>C 신규 파이프라인(미확정)</t>
        </is>
      </c>
      <c r="C43" s="18">
        <f>SUMIF('4_매출_거래처'!$H$52:$H$85,$A43,'4_매출_거래처'!X$52:X$85)</f>
        <v>0</v>
      </c>
      <c r="D43" s="18">
        <f>SUMIF('4_매출_거래처'!$H$52:$H$85,$A43,'4_매출_거래처'!Y$52:Y$85)</f>
        <v>0</v>
      </c>
      <c r="E43" s="18">
        <f>SUMIF('4_매출_거래처'!$H$52:$H$85,$A43,'4_매출_거래처'!Z$52:Z$85)</f>
        <v>0</v>
      </c>
      <c r="F43" s="18">
        <f>SUMIF('4_매출_거래처'!$H$52:$H$85,$A43,'4_매출_거래처'!AA$52:AA$85)</f>
        <v>0</v>
      </c>
      <c r="G43" s="18">
        <f>SUMIF('4_매출_거래처'!$H$52:$H$85,$A43,'4_매출_거래처'!AB$52:AB$85)</f>
        <v>0</v>
      </c>
      <c r="H43" s="18">
        <f>SUMIF('4_매출_거래처'!$H$52:$H$85,$A43,'4_매출_거래처'!AC$52:AC$85)</f>
        <v>0</v>
      </c>
      <c r="I43" s="18">
        <f>SUMIF('4_매출_거래처'!$H$52:$H$85,$A43,'4_매출_거래처'!AD$52:AD$85)</f>
        <v>0</v>
      </c>
      <c r="J43" s="18">
        <f>SUMIF('4_매출_거래처'!$H$52:$H$85,$A43,'4_매출_거래처'!AE$52:AE$85)</f>
        <v>0</v>
      </c>
      <c r="K43" s="18">
        <f>SUMIF('4_매출_거래처'!$H$52:$H$85,$A43,'4_매출_거래처'!AF$52:AF$85)</f>
        <v>0</v>
      </c>
      <c r="L43" s="18">
        <f>SUMIF('4_매출_거래처'!$H$52:$H$85,$A43,'4_매출_거래처'!AG$52:AG$85)</f>
        <v>0</v>
      </c>
      <c r="M43" s="18">
        <f>SUMIF('4_매출_거래처'!$H$52:$H$85,$A43,'4_매출_거래처'!AH$52:AH$85)</f>
        <v>0</v>
      </c>
      <c r="N43" s="18">
        <f>SUMIF('4_매출_거래처'!$H$52:$H$85,$A43,'4_매출_거래처'!AI$52:AI$85)</f>
        <v>0</v>
      </c>
      <c r="O43" s="18">
        <f>SUMIF('4_매출_거래처'!$H$52:$H$85,$A43,'4_매출_거래처'!AJ$52:AJ$85)</f>
        <v>0</v>
      </c>
      <c r="P43" s="18">
        <f>SUMIF('4_매출_거래처'!$H$52:$H$85,$A43,'4_매출_거래처'!AK$52:AK$85)</f>
        <v>0</v>
      </c>
      <c r="Q43" s="18">
        <f>SUMIF('4_매출_거래처'!$H$52:$H$85,$A43,'4_매출_거래처'!AL$52:AL$85)</f>
        <v>0</v>
      </c>
      <c r="R43" s="18">
        <f>SUMIF('4_매출_거래처'!$H$52:$H$85,$A43,'4_매출_거래처'!AM$52:AM$85)</f>
        <v>0</v>
      </c>
      <c r="S43" s="18">
        <f>SUMIF('4_매출_거래처'!$H$52:$H$85,$A43,'4_매출_거래처'!AN$52:AN$85)</f>
        <v>0</v>
      </c>
      <c r="T43" s="18">
        <f>SUMIF('4_매출_거래처'!$H$52:$H$85,$A43,'4_매출_거래처'!AO$52:AO$85)</f>
        <v>0</v>
      </c>
      <c r="U43" s="18">
        <f>SUMIF('4_매출_거래처'!$H$52:$H$85,$A43,'4_매출_거래처'!AP$52:AP$85)</f>
        <v>0</v>
      </c>
      <c r="V43" s="18">
        <f>SUMIF('4_매출_거래처'!$H$52:$H$85,$A43,'4_매출_거래처'!AQ$52:AQ$85)</f>
        <v>0</v>
      </c>
      <c r="W43" s="18">
        <f>SUMIF('4_매출_거래처'!$H$52:$H$85,$A43,'4_매출_거래처'!AR$52:AR$85)</f>
        <v>0</v>
      </c>
      <c r="X43" s="18">
        <f>SUMIF('4_매출_거래처'!$H$52:$H$85,$A43,'4_매출_거래처'!AS$52:AS$85)</f>
        <v>0</v>
      </c>
      <c r="Y43" s="18">
        <f>SUMIF('4_매출_거래처'!$H$52:$H$85,$A43,'4_매출_거래처'!AT$52:AT$85)</f>
        <v>0</v>
      </c>
      <c r="Z43" s="18">
        <f>SUMIF('4_매출_거래처'!$H$52:$H$85,$A43,'4_매출_거래처'!AU$52:AU$85)</f>
        <v>0</v>
      </c>
      <c r="AA43" s="23">
        <f>SUM(C43:N43)</f>
        <v>0</v>
      </c>
      <c r="AB43" s="23">
        <f>SUM(O43:Z43)</f>
        <v>0</v>
      </c>
      <c r="AC43" s="24">
        <f>SUMIF('4_매출_거래처'!$H$52:$H$85,$A43,'4_매출_거래처'!AX$52:AX$85)</f>
        <v>11365688</v>
      </c>
      <c r="AD43" s="24">
        <f>SUMIF('4_매출_거래처'!$H$52:$H$85,$A43,'4_매출_거래처'!AY$52:AY$85)</f>
        <v>34995097.4</v>
      </c>
      <c r="AE43" s="24">
        <f>SUMIF('4_매출_거래처'!$H$52:$H$85,$A43,'4_매출_거래처'!AZ$52:AZ$85)</f>
        <v>107511421.832</v>
      </c>
      <c r="AF43" s="25">
        <f>SUM(AA43:AE43)</f>
        <v>153872207.232</v>
      </c>
    </row>
    <row r="44">
      <c r="A44" s="12" t="inlineStr">
        <is>
          <t>근거수준 합계</t>
        </is>
      </c>
      <c r="C44" s="26">
        <f>SUM(C41:C43)</f>
        <v>54297</v>
      </c>
      <c r="D44" s="26">
        <f>SUM(D41:D43)</f>
        <v>42124</v>
      </c>
      <c r="E44" s="26">
        <f>SUM(E41:E43)</f>
        <v>66552</v>
      </c>
      <c r="F44" s="26">
        <f>SUM(F41:F43)</f>
        <v>20969</v>
      </c>
      <c r="G44" s="26">
        <f>SUM(G41:G43)</f>
        <v>28646</v>
      </c>
      <c r="H44" s="26">
        <f>SUM(H41:H43)</f>
        <v>60378</v>
      </c>
      <c r="I44" s="26">
        <f>SUM(I41:I43)</f>
        <v>24379</v>
      </c>
      <c r="J44" s="26">
        <f>SUM(J41:J43)</f>
        <v>16087</v>
      </c>
      <c r="K44" s="26">
        <f>SUM(K41:K43)</f>
        <v>46206</v>
      </c>
      <c r="L44" s="26">
        <f>SUM(L41:L43)</f>
        <v>70875</v>
      </c>
      <c r="M44" s="26">
        <f>SUM(M41:M43)</f>
        <v>249695</v>
      </c>
      <c r="N44" s="26">
        <f>SUM(N41:N43)</f>
        <v>594437</v>
      </c>
      <c r="O44" s="26">
        <f>SUM(O41:O43)</f>
        <v>682975</v>
      </c>
      <c r="P44" s="26">
        <f>SUM(P41:P43)</f>
        <v>828775</v>
      </c>
      <c r="Q44" s="26">
        <f>SUM(Q41:Q43)</f>
        <v>784575</v>
      </c>
      <c r="R44" s="26">
        <f>SUM(R41:R43)</f>
        <v>790375</v>
      </c>
      <c r="S44" s="26">
        <f>SUM(S41:S43)</f>
        <v>756175</v>
      </c>
      <c r="T44" s="26">
        <f>SUM(T41:T43)</f>
        <v>917775</v>
      </c>
      <c r="U44" s="26">
        <f>SUM(U41:U43)</f>
        <v>813575</v>
      </c>
      <c r="V44" s="26">
        <f>SUM(V41:V43)</f>
        <v>793575</v>
      </c>
      <c r="W44" s="26">
        <f>SUM(W41:W43)</f>
        <v>819375</v>
      </c>
      <c r="X44" s="26">
        <f>SUM(X41:X43)</f>
        <v>974375</v>
      </c>
      <c r="Y44" s="26">
        <f>SUM(Y41:Y43)</f>
        <v>900175</v>
      </c>
      <c r="Z44" s="26">
        <f>SUM(Z41:Z43)</f>
        <v>943275</v>
      </c>
      <c r="AA44" s="27">
        <f>SUM(AA41:AA43)</f>
        <v>1274645</v>
      </c>
      <c r="AB44" s="27">
        <f>SUM(AB41:AB43)</f>
        <v>10005000</v>
      </c>
      <c r="AC44" s="28">
        <f>SUM(AC41:AC43)</f>
        <v>33000000</v>
      </c>
      <c r="AD44" s="28">
        <f>SUM(AD41:AD43)</f>
        <v>70000000</v>
      </c>
      <c r="AE44" s="28">
        <f>SUM(AE41:AE43)</f>
        <v>156000000</v>
      </c>
      <c r="AF44" s="26">
        <f>SUM(AF41:AF43)</f>
        <v>270279645</v>
      </c>
    </row>
    <row r="45">
      <c r="A45" s="52" t="inlineStr">
        <is>
          <t xml:space="preserve">  비중 — A 계약·기존 거래</t>
        </is>
      </c>
      <c r="C45" s="70">
        <f>IFERROR(C41/C44,0)</f>
        <v>0.819400703537949</v>
      </c>
      <c r="D45" s="70">
        <f>IFERROR(D41/D44,0)</f>
        <v>0.905540784350964</v>
      </c>
      <c r="E45" s="70">
        <f>IFERROR(E41/E44,0)</f>
        <v>0.969798052650559</v>
      </c>
      <c r="F45" s="70">
        <f>IFERROR(F41/F44,0)</f>
        <v>1</v>
      </c>
      <c r="G45" s="70">
        <f>IFERROR(G41/G44,0)</f>
        <v>1</v>
      </c>
      <c r="H45" s="70">
        <f>IFERROR(H41/H44,0)</f>
        <v>1</v>
      </c>
      <c r="I45" s="70">
        <f>IFERROR(I41/I44,0)</f>
        <v>1</v>
      </c>
      <c r="J45" s="70">
        <f>IFERROR(J41/J44,0)</f>
        <v>1</v>
      </c>
      <c r="K45" s="70">
        <f>IFERROR(K41/K44,0)</f>
        <v>1</v>
      </c>
      <c r="L45" s="70">
        <f>IFERROR(L41/L44,0)</f>
        <v>1</v>
      </c>
      <c r="M45" s="70">
        <f>IFERROR(M41/M44,0)</f>
        <v>0.911411922545506</v>
      </c>
      <c r="N45" s="70">
        <f>IFERROR(N41/N44,0)</f>
        <v>0.613017022830006</v>
      </c>
      <c r="O45" s="70">
        <f>IFERROR(O41/O44,0)</f>
        <v>0.592957282477397</v>
      </c>
      <c r="P45" s="70">
        <f>IFERROR(P41/P44,0)</f>
        <v>0.49467587704745</v>
      </c>
      <c r="Q45" s="70">
        <f>IFERROR(Q41/Q44,0)</f>
        <v>0.669120224325272</v>
      </c>
      <c r="R45" s="70">
        <f>IFERROR(R41/R44,0)</f>
        <v>0.531361695397754</v>
      </c>
      <c r="S45" s="70">
        <f>IFERROR(S41/S44,0)</f>
        <v>0.548781697358416</v>
      </c>
      <c r="T45" s="70">
        <f>IFERROR(T41/T44,0)</f>
        <v>0.457601263926344</v>
      </c>
      <c r="U45" s="70">
        <f>IFERROR(U41/U44,0)</f>
        <v>0.583812186952647</v>
      </c>
      <c r="V45" s="70">
        <f>IFERROR(V41/V44,0)</f>
        <v>0.516617837003434</v>
      </c>
      <c r="W45" s="70">
        <f>IFERROR(W41/W44,0)</f>
        <v>0.506453089244851</v>
      </c>
      <c r="X45" s="70">
        <f>IFERROR(X41/X44,0)</f>
        <v>0.431019884541373</v>
      </c>
      <c r="Y45" s="70">
        <f>IFERROR(Y41/Y44,0)</f>
        <v>0.538756352931375</v>
      </c>
      <c r="Z45" s="70">
        <f>IFERROR(Z41/Z44,0)</f>
        <v>0.48763616124672</v>
      </c>
      <c r="AA45" s="70">
        <f>IFERROR(AA41/AA44,0)</f>
        <v>0.789783037630085</v>
      </c>
      <c r="AB45" s="70">
        <f>IFERROR(AB41/AB44,0)</f>
        <v>0.525707146426787</v>
      </c>
      <c r="AC45" s="70">
        <f>IFERROR(AC41/AC44,0)</f>
        <v>0.289699515151515</v>
      </c>
      <c r="AD45" s="70">
        <f>IFERROR(AD41/AD44,0)</f>
        <v>0.19969338</v>
      </c>
      <c r="AE45" s="70">
        <f>IFERROR(AE41/AE44,0)</f>
        <v>0.117298299538462</v>
      </c>
      <c r="AF45" s="70">
        <f>IFERROR(AF41/AF44,0)</f>
        <v>0.177976955415936</v>
      </c>
    </row>
    <row r="46">
      <c r="A46" s="52" t="inlineStr">
        <is>
          <t xml:space="preserve">  비중 — B 등록·입찰·협의 단계</t>
        </is>
      </c>
      <c r="C46" s="70">
        <f>IFERROR(C42/C44,0)</f>
        <v>0.180599296462051</v>
      </c>
      <c r="D46" s="70">
        <f>IFERROR(D42/D44,0)</f>
        <v>0.0944592156490362</v>
      </c>
      <c r="E46" s="70">
        <f>IFERROR(E42/E44,0)</f>
        <v>0.030201947349441</v>
      </c>
      <c r="F46" s="70">
        <f>IFERROR(F42/F44,0)</f>
        <v>0</v>
      </c>
      <c r="G46" s="70">
        <f>IFERROR(G42/G44,0)</f>
        <v>0</v>
      </c>
      <c r="H46" s="70">
        <f>IFERROR(H42/H44,0)</f>
        <v>0</v>
      </c>
      <c r="I46" s="70">
        <f>IFERROR(I42/I44,0)</f>
        <v>0</v>
      </c>
      <c r="J46" s="70">
        <f>IFERROR(J42/J44,0)</f>
        <v>0</v>
      </c>
      <c r="K46" s="70">
        <f>IFERROR(K42/K44,0)</f>
        <v>0</v>
      </c>
      <c r="L46" s="70">
        <f>IFERROR(L42/L44,0)</f>
        <v>0</v>
      </c>
      <c r="M46" s="70">
        <f>IFERROR(M42/M44,0)</f>
        <v>0.0885880774544945</v>
      </c>
      <c r="N46" s="70">
        <f>IFERROR(N42/N44,0)</f>
        <v>0.386982977169994</v>
      </c>
      <c r="O46" s="70">
        <f>IFERROR(O42/O44,0)</f>
        <v>0.407042717522603</v>
      </c>
      <c r="P46" s="70">
        <f>IFERROR(P42/P44,0)</f>
        <v>0.505324122952551</v>
      </c>
      <c r="Q46" s="70">
        <f>IFERROR(Q42/Q44,0)</f>
        <v>0.330879775674728</v>
      </c>
      <c r="R46" s="70">
        <f>IFERROR(R42/R44,0)</f>
        <v>0.468638304602246</v>
      </c>
      <c r="S46" s="70">
        <f>IFERROR(S42/S44,0)</f>
        <v>0.451218302641584</v>
      </c>
      <c r="T46" s="70">
        <f>IFERROR(T42/T44,0)</f>
        <v>0.542398736073656</v>
      </c>
      <c r="U46" s="70">
        <f>IFERROR(U42/U44,0)</f>
        <v>0.416187813047353</v>
      </c>
      <c r="V46" s="70">
        <f>IFERROR(V42/V44,0)</f>
        <v>0.483382162996566</v>
      </c>
      <c r="W46" s="70">
        <f>IFERROR(W42/W44,0)</f>
        <v>0.493546910755149</v>
      </c>
      <c r="X46" s="70">
        <f>IFERROR(X42/X44,0)</f>
        <v>0.568980115458627</v>
      </c>
      <c r="Y46" s="70">
        <f>IFERROR(Y42/Y44,0)</f>
        <v>0.461243647068626</v>
      </c>
      <c r="Z46" s="70">
        <f>IFERROR(Z42/Z44,0)</f>
        <v>0.51236383875328</v>
      </c>
      <c r="AA46" s="70">
        <f>IFERROR(AA42/AA44,0)</f>
        <v>0.210216962369915</v>
      </c>
      <c r="AB46" s="70">
        <f>IFERROR(AB42/AB44,0)</f>
        <v>0.474292853573213</v>
      </c>
      <c r="AC46" s="70">
        <f>IFERROR(AC42/AC44,0)</f>
        <v>0.365885696969697</v>
      </c>
      <c r="AD46" s="70">
        <f>IFERROR(AD42/AD44,0)</f>
        <v>0.300376657142857</v>
      </c>
      <c r="AE46" s="70">
        <f>IFERROR(AE42/AE44,0)</f>
        <v>0.193525919487179</v>
      </c>
      <c r="AF46" s="70">
        <f>IFERROR(AF42/AF44,0)</f>
        <v>0.25271562510747</v>
      </c>
    </row>
    <row r="47">
      <c r="A47" s="52" t="inlineStr">
        <is>
          <t xml:space="preserve">  비중 — C 신규 파이프라인(미확정)</t>
        </is>
      </c>
      <c r="C47" s="70">
        <f>IFERROR(C43/C44,0)</f>
        <v>0</v>
      </c>
      <c r="D47" s="70">
        <f>IFERROR(D43/D44,0)</f>
        <v>0</v>
      </c>
      <c r="E47" s="70">
        <f>IFERROR(E43/E44,0)</f>
        <v>0</v>
      </c>
      <c r="F47" s="70">
        <f>IFERROR(F43/F44,0)</f>
        <v>0</v>
      </c>
      <c r="G47" s="70">
        <f>IFERROR(G43/G44,0)</f>
        <v>0</v>
      </c>
      <c r="H47" s="70">
        <f>IFERROR(H43/H44,0)</f>
        <v>0</v>
      </c>
      <c r="I47" s="70">
        <f>IFERROR(I43/I44,0)</f>
        <v>0</v>
      </c>
      <c r="J47" s="70">
        <f>IFERROR(J43/J44,0)</f>
        <v>0</v>
      </c>
      <c r="K47" s="70">
        <f>IFERROR(K43/K44,0)</f>
        <v>0</v>
      </c>
      <c r="L47" s="70">
        <f>IFERROR(L43/L44,0)</f>
        <v>0</v>
      </c>
      <c r="M47" s="70">
        <f>IFERROR(M43/M44,0)</f>
        <v>0</v>
      </c>
      <c r="N47" s="70">
        <f>IFERROR(N43/N44,0)</f>
        <v>0</v>
      </c>
      <c r="O47" s="70">
        <f>IFERROR(O43/O44,0)</f>
        <v>0</v>
      </c>
      <c r="P47" s="70">
        <f>IFERROR(P43/P44,0)</f>
        <v>0</v>
      </c>
      <c r="Q47" s="70">
        <f>IFERROR(Q43/Q44,0)</f>
        <v>0</v>
      </c>
      <c r="R47" s="70">
        <f>IFERROR(R43/R44,0)</f>
        <v>0</v>
      </c>
      <c r="S47" s="70">
        <f>IFERROR(S43/S44,0)</f>
        <v>0</v>
      </c>
      <c r="T47" s="70">
        <f>IFERROR(T43/T44,0)</f>
        <v>0</v>
      </c>
      <c r="U47" s="70">
        <f>IFERROR(U43/U44,0)</f>
        <v>0</v>
      </c>
      <c r="V47" s="70">
        <f>IFERROR(V43/V44,0)</f>
        <v>0</v>
      </c>
      <c r="W47" s="70">
        <f>IFERROR(W43/W44,0)</f>
        <v>0</v>
      </c>
      <c r="X47" s="70">
        <f>IFERROR(X43/X44,0)</f>
        <v>0</v>
      </c>
      <c r="Y47" s="70">
        <f>IFERROR(Y43/Y44,0)</f>
        <v>0</v>
      </c>
      <c r="Z47" s="70">
        <f>IFERROR(Z43/Z44,0)</f>
        <v>0</v>
      </c>
      <c r="AA47" s="70">
        <f>IFERROR(AA43/AA44,0)</f>
        <v>0</v>
      </c>
      <c r="AB47" s="70">
        <f>IFERROR(AB43/AB44,0)</f>
        <v>0</v>
      </c>
      <c r="AC47" s="70">
        <f>IFERROR(AC43/AC44,0)</f>
        <v>0.344414787878788</v>
      </c>
      <c r="AD47" s="70">
        <f>IFERROR(AD43/AD44,0)</f>
        <v>0.499929962857143</v>
      </c>
      <c r="AE47" s="70">
        <f>IFERROR(AE43/AE44,0)</f>
        <v>0.689175780974359</v>
      </c>
      <c r="AF47" s="70">
        <f>IFERROR(AF43/AF44,0)</f>
        <v>0.569307419476594</v>
      </c>
    </row>
    <row r="49">
      <c r="A49" s="3" t="inlineStr">
        <is>
          <t>E. 구독형 KPI(추정)</t>
        </is>
      </c>
    </row>
    <row r="50">
      <c r="A50" s="15" t="inlineStr">
        <is>
          <t>구독형 매출(P1+P2+P3)</t>
        </is>
      </c>
      <c r="C50" s="43">
        <f>SUM(C9:C11)</f>
        <v>54297</v>
      </c>
      <c r="D50" s="43">
        <f>SUM(D9:D11)</f>
        <v>42124</v>
      </c>
      <c r="E50" s="43">
        <f>SUM(E9:E11)</f>
        <v>66552</v>
      </c>
      <c r="F50" s="43">
        <f>SUM(F9:F11)</f>
        <v>20969</v>
      </c>
      <c r="G50" s="43">
        <f>SUM(G9:G11)</f>
        <v>28646</v>
      </c>
      <c r="H50" s="43">
        <f>SUM(H9:H11)</f>
        <v>60378</v>
      </c>
      <c r="I50" s="43">
        <f>SUM(I9:I11)</f>
        <v>24379</v>
      </c>
      <c r="J50" s="43">
        <f>SUM(J9:J11)</f>
        <v>16087</v>
      </c>
      <c r="K50" s="43">
        <f>SUM(K9:K11)</f>
        <v>46206</v>
      </c>
      <c r="L50" s="43">
        <f>SUM(L9:L11)</f>
        <v>23625</v>
      </c>
      <c r="M50" s="43">
        <f>SUM(M9:M11)</f>
        <v>249695</v>
      </c>
      <c r="N50" s="43">
        <f>SUM(N9:N11)</f>
        <v>531093.45</v>
      </c>
      <c r="O50" s="43">
        <f>SUM(O9:O11)</f>
        <v>667075.75</v>
      </c>
      <c r="P50" s="43">
        <f>SUM(P9:P11)</f>
        <v>808501.75</v>
      </c>
      <c r="Q50" s="43">
        <f>SUM(Q9:Q11)</f>
        <v>717127.75</v>
      </c>
      <c r="R50" s="43">
        <f>SUM(R9:R11)</f>
        <v>713053.75</v>
      </c>
      <c r="S50" s="43">
        <f>SUM(S9:S11)</f>
        <v>728379.75</v>
      </c>
      <c r="T50" s="43">
        <f>SUM(T9:T11)</f>
        <v>885131.75</v>
      </c>
      <c r="U50" s="43">
        <f>SUM(U9:U11)</f>
        <v>783757.75</v>
      </c>
      <c r="V50" s="43">
        <f>SUM(V9:V11)</f>
        <v>764357.75</v>
      </c>
      <c r="W50" s="43">
        <f>SUM(W9:W11)</f>
        <v>789683.75</v>
      </c>
      <c r="X50" s="43">
        <f>SUM(X9:X11)</f>
        <v>940033.75</v>
      </c>
      <c r="Y50" s="43">
        <f>SUM(Y9:Y11)</f>
        <v>865659.75</v>
      </c>
      <c r="Z50" s="43">
        <f>SUM(Z9:Z11)</f>
        <v>868885.75</v>
      </c>
      <c r="AA50" s="44">
        <f>SUM(AA9:AA11)</f>
        <v>1164051.45</v>
      </c>
      <c r="AB50" s="44">
        <f>SUM(AB9:AB11)</f>
        <v>9531649</v>
      </c>
      <c r="AC50" s="45">
        <f>SUM(AC9:AC11)</f>
        <v>30215104.88</v>
      </c>
      <c r="AD50" s="45">
        <f>SUM(AD9:AD11)</f>
        <v>60671204.422</v>
      </c>
      <c r="AE50" s="45">
        <f>SUM(AE9:AE11)</f>
        <v>127522976.69264</v>
      </c>
      <c r="AF50" s="43">
        <f>SUM(AF9:AF11)</f>
        <v>229104986.44464</v>
      </c>
    </row>
    <row r="51">
      <c r="A51" s="15" t="inlineStr">
        <is>
          <t>추정 유료 이용자(명, 평균) = 구독형 매출 ÷ ARPU</t>
        </is>
      </c>
      <c r="C51" s="18">
        <f>C50*12/'8_가정'!$C$11</f>
        <v>542.97</v>
      </c>
      <c r="D51" s="18">
        <f>D50*12/'8_가정'!$C$11</f>
        <v>421.24</v>
      </c>
      <c r="E51" s="18">
        <f>E50*12/'8_가정'!$C$11</f>
        <v>665.52</v>
      </c>
      <c r="F51" s="18">
        <f>F50*12/'8_가정'!$C$11</f>
        <v>209.69</v>
      </c>
      <c r="G51" s="18">
        <f>G50*12/'8_가정'!$C$11</f>
        <v>286.46</v>
      </c>
      <c r="H51" s="18">
        <f>H50*12/'8_가정'!$C$11</f>
        <v>603.78</v>
      </c>
      <c r="I51" s="18">
        <f>I50*12/'8_가정'!$C$11</f>
        <v>243.79</v>
      </c>
      <c r="J51" s="18">
        <f>J50*12/'8_가정'!$C$11</f>
        <v>160.87</v>
      </c>
      <c r="K51" s="18">
        <f>K50*12/'8_가정'!$C$11</f>
        <v>462.06</v>
      </c>
      <c r="L51" s="18">
        <f>L50*12/'8_가정'!$C$11</f>
        <v>236.25</v>
      </c>
      <c r="M51" s="18">
        <f>M50*12/'8_가정'!$C$11</f>
        <v>2496.95</v>
      </c>
      <c r="N51" s="18">
        <f>N50*12/'8_가정'!$C$11</f>
        <v>5310.9345</v>
      </c>
      <c r="O51" s="18">
        <f>O50*12/'8_가정'!$C$11</f>
        <v>6670.7575</v>
      </c>
      <c r="P51" s="18">
        <f>P50*12/'8_가정'!$C$11</f>
        <v>8085.0175</v>
      </c>
      <c r="Q51" s="18">
        <f>Q50*12/'8_가정'!$C$11</f>
        <v>7171.2775</v>
      </c>
      <c r="R51" s="18">
        <f>R50*12/'8_가정'!$C$11</f>
        <v>7130.5375</v>
      </c>
      <c r="S51" s="18">
        <f>S50*12/'8_가정'!$C$11</f>
        <v>7283.7975</v>
      </c>
      <c r="T51" s="18">
        <f>T50*12/'8_가정'!$C$11</f>
        <v>8851.3175</v>
      </c>
      <c r="U51" s="18">
        <f>U50*12/'8_가정'!$C$11</f>
        <v>7837.5775</v>
      </c>
      <c r="V51" s="18">
        <f>V50*12/'8_가정'!$C$11</f>
        <v>7643.5775</v>
      </c>
      <c r="W51" s="18">
        <f>W50*12/'8_가정'!$C$11</f>
        <v>7896.8375</v>
      </c>
      <c r="X51" s="18">
        <f>X50*12/'8_가정'!$C$11</f>
        <v>9400.3375</v>
      </c>
      <c r="Y51" s="18">
        <f>Y50*12/'8_가정'!$C$11</f>
        <v>8656.5975</v>
      </c>
      <c r="Z51" s="18">
        <f>Z50*12/'8_가정'!$C$11</f>
        <v>8688.8575</v>
      </c>
      <c r="AA51" s="48">
        <f>AA50/'8_가정'!$C$11</f>
        <v>970.042875</v>
      </c>
      <c r="AB51" s="48">
        <f>AB50/'8_가정'!$C$11</f>
        <v>7943.04083333333</v>
      </c>
      <c r="AC51" s="24">
        <f>AC50/'8_가정'!$C$11</f>
        <v>25179.2540666667</v>
      </c>
      <c r="AD51" s="24">
        <f>AD50/'8_가정'!$C$11</f>
        <v>50559.3370183333</v>
      </c>
      <c r="AE51" s="24">
        <f>AE50/'8_가정'!$C$11</f>
        <v>106269.147243867</v>
      </c>
    </row>
    <row r="55">
      <c r="A55" s="3" t="inlineStr">
        <is>
          <t>F. 믹스 매트릭스(계산용) — 거래처 행 × (제품 × 연도) 비중 = 8_가정 프로파일 조회</t>
        </is>
      </c>
    </row>
    <row r="56">
      <c r="C56" s="22" t="inlineStr">
        <is>
          <t>P1</t>
        </is>
      </c>
      <c r="D56" s="22" t="inlineStr">
        <is>
          <t>P1</t>
        </is>
      </c>
      <c r="E56" s="22" t="inlineStr">
        <is>
          <t>P1</t>
        </is>
      </c>
      <c r="F56" s="22" t="inlineStr">
        <is>
          <t>P1</t>
        </is>
      </c>
      <c r="G56" s="22" t="inlineStr">
        <is>
          <t>P1</t>
        </is>
      </c>
      <c r="H56" s="22" t="inlineStr">
        <is>
          <t>P2</t>
        </is>
      </c>
      <c r="I56" s="22" t="inlineStr">
        <is>
          <t>P2</t>
        </is>
      </c>
      <c r="J56" s="22" t="inlineStr">
        <is>
          <t>P2</t>
        </is>
      </c>
      <c r="K56" s="22" t="inlineStr">
        <is>
          <t>P2</t>
        </is>
      </c>
      <c r="L56" s="22" t="inlineStr">
        <is>
          <t>P2</t>
        </is>
      </c>
      <c r="M56" s="22" t="inlineStr">
        <is>
          <t>P3</t>
        </is>
      </c>
      <c r="N56" s="22" t="inlineStr">
        <is>
          <t>P3</t>
        </is>
      </c>
      <c r="O56" s="22" t="inlineStr">
        <is>
          <t>P3</t>
        </is>
      </c>
      <c r="P56" s="22" t="inlineStr">
        <is>
          <t>P3</t>
        </is>
      </c>
      <c r="Q56" s="22" t="inlineStr">
        <is>
          <t>P3</t>
        </is>
      </c>
      <c r="R56" s="22" t="inlineStr">
        <is>
          <t>P4</t>
        </is>
      </c>
      <c r="S56" s="22" t="inlineStr">
        <is>
          <t>P4</t>
        </is>
      </c>
      <c r="T56" s="22" t="inlineStr">
        <is>
          <t>P4</t>
        </is>
      </c>
      <c r="U56" s="22" t="inlineStr">
        <is>
          <t>P4</t>
        </is>
      </c>
      <c r="V56" s="22" t="inlineStr">
        <is>
          <t>P4</t>
        </is>
      </c>
      <c r="W56" s="22" t="inlineStr">
        <is>
          <t>P5</t>
        </is>
      </c>
      <c r="X56" s="22" t="inlineStr">
        <is>
          <t>P5</t>
        </is>
      </c>
      <c r="Y56" s="22" t="inlineStr">
        <is>
          <t>P5</t>
        </is>
      </c>
      <c r="Z56" s="22" t="inlineStr">
        <is>
          <t>P5</t>
        </is>
      </c>
      <c r="AA56" s="22" t="inlineStr">
        <is>
          <t>P5</t>
        </is>
      </c>
      <c r="AB56" s="22" t="inlineStr">
        <is>
          <t>P6</t>
        </is>
      </c>
      <c r="AC56" s="22" t="inlineStr">
        <is>
          <t>P6</t>
        </is>
      </c>
      <c r="AD56" s="22" t="inlineStr">
        <is>
          <t>P6</t>
        </is>
      </c>
      <c r="AE56" s="22" t="inlineStr">
        <is>
          <t>P6</t>
        </is>
      </c>
      <c r="AF56" s="22" t="inlineStr">
        <is>
          <t>P6</t>
        </is>
      </c>
    </row>
    <row r="57">
      <c r="C57" s="22" t="n">
        <v>2026</v>
      </c>
      <c r="D57" s="22" t="n">
        <v>2027</v>
      </c>
      <c r="E57" s="22" t="n">
        <v>2028</v>
      </c>
      <c r="F57" s="22" t="n">
        <v>2029</v>
      </c>
      <c r="G57" s="22" t="n">
        <v>2030</v>
      </c>
      <c r="H57" s="22" t="n">
        <v>2026</v>
      </c>
      <c r="I57" s="22" t="n">
        <v>2027</v>
      </c>
      <c r="J57" s="22" t="n">
        <v>2028</v>
      </c>
      <c r="K57" s="22" t="n">
        <v>2029</v>
      </c>
      <c r="L57" s="22" t="n">
        <v>2030</v>
      </c>
      <c r="M57" s="22" t="n">
        <v>2026</v>
      </c>
      <c r="N57" s="22" t="n">
        <v>2027</v>
      </c>
      <c r="O57" s="22" t="n">
        <v>2028</v>
      </c>
      <c r="P57" s="22" t="n">
        <v>2029</v>
      </c>
      <c r="Q57" s="22" t="n">
        <v>2030</v>
      </c>
      <c r="R57" s="22" t="n">
        <v>2026</v>
      </c>
      <c r="S57" s="22" t="n">
        <v>2027</v>
      </c>
      <c r="T57" s="22" t="n">
        <v>2028</v>
      </c>
      <c r="U57" s="22" t="n">
        <v>2029</v>
      </c>
      <c r="V57" s="22" t="n">
        <v>2030</v>
      </c>
      <c r="W57" s="22" t="n">
        <v>2026</v>
      </c>
      <c r="X57" s="22" t="n">
        <v>2027</v>
      </c>
      <c r="Y57" s="22" t="n">
        <v>2028</v>
      </c>
      <c r="Z57" s="22" t="n">
        <v>2029</v>
      </c>
      <c r="AA57" s="22" t="n">
        <v>2030</v>
      </c>
      <c r="AB57" s="22" t="n">
        <v>2026</v>
      </c>
      <c r="AC57" s="22" t="n">
        <v>2027</v>
      </c>
      <c r="AD57" s="22" t="n">
        <v>2028</v>
      </c>
      <c r="AE57" s="22" t="n">
        <v>2029</v>
      </c>
      <c r="AF57" s="22" t="n">
        <v>2030</v>
      </c>
    </row>
    <row r="58">
      <c r="A58" s="71" t="str">
        <f>'4_매출_거래처'!D10</f>
        <v>네이버(Bebefit/Monit) — 베이비</v>
      </c>
      <c r="B58" s="71" t="str">
        <f>'4_매출_거래처'!I10</f>
        <v>BABY</v>
      </c>
      <c r="C58" s="72">
        <f>INDEX('8_가정'!$C$46:$C$87,MATCH($B58&amp;"|P1",'8_가정'!$A$46:$A$87,0))</f>
        <v>0.85</v>
      </c>
      <c r="D58" s="72">
        <f>INDEX('8_가정'!$D$46:$D$87,MATCH($B58&amp;"|P1",'8_가정'!$A$46:$A$87,0))</f>
        <v>0.85</v>
      </c>
      <c r="E58" s="72">
        <f>INDEX('8_가정'!$E$46:$E$87,MATCH($B58&amp;"|P1",'8_가정'!$A$46:$A$87,0))</f>
        <v>0.85</v>
      </c>
      <c r="F58" s="72">
        <f>INDEX('8_가정'!$F$46:$F$87,MATCH($B58&amp;"|P1",'8_가정'!$A$46:$A$87,0))</f>
        <v>0.85</v>
      </c>
      <c r="G58" s="72">
        <f>INDEX('8_가정'!$G$46:$G$87,MATCH($B58&amp;"|P1",'8_가정'!$A$46:$A$87,0))</f>
        <v>0.85</v>
      </c>
      <c r="H58" s="72">
        <f>INDEX('8_가정'!$C$46:$C$87,MATCH($B58&amp;"|P2",'8_가정'!$A$46:$A$87,0))</f>
        <v>0.05</v>
      </c>
      <c r="I58" s="72">
        <f>INDEX('8_가정'!$D$46:$D$87,MATCH($B58&amp;"|P2",'8_가정'!$A$46:$A$87,0))</f>
        <v>0.05</v>
      </c>
      <c r="J58" s="72">
        <f>INDEX('8_가정'!$E$46:$E$87,MATCH($B58&amp;"|P2",'8_가정'!$A$46:$A$87,0))</f>
        <v>0.05</v>
      </c>
      <c r="K58" s="72">
        <f>INDEX('8_가정'!$F$46:$F$87,MATCH($B58&amp;"|P2",'8_가정'!$A$46:$A$87,0))</f>
        <v>0.05</v>
      </c>
      <c r="L58" s="72">
        <f>INDEX('8_가정'!$G$46:$G$87,MATCH($B58&amp;"|P2",'8_가정'!$A$46:$A$87,0))</f>
        <v>0.05</v>
      </c>
      <c r="M58" s="72">
        <f>INDEX('8_가정'!$C$46:$C$87,MATCH($B58&amp;"|P3",'8_가정'!$A$46:$A$87,0))</f>
        <v>0.1</v>
      </c>
      <c r="N58" s="72">
        <f>INDEX('8_가정'!$D$46:$D$87,MATCH($B58&amp;"|P3",'8_가정'!$A$46:$A$87,0))</f>
        <v>0.1</v>
      </c>
      <c r="O58" s="72">
        <f>INDEX('8_가정'!$E$46:$E$87,MATCH($B58&amp;"|P3",'8_가정'!$A$46:$A$87,0))</f>
        <v>0.1</v>
      </c>
      <c r="P58" s="72">
        <f>INDEX('8_가정'!$F$46:$F$87,MATCH($B58&amp;"|P3",'8_가정'!$A$46:$A$87,0))</f>
        <v>0.1</v>
      </c>
      <c r="Q58" s="72">
        <f>INDEX('8_가정'!$G$46:$G$87,MATCH($B58&amp;"|P3",'8_가정'!$A$46:$A$87,0))</f>
        <v>0.1</v>
      </c>
      <c r="R58" s="72">
        <f>INDEX('8_가정'!$C$46:$C$87,MATCH($B58&amp;"|P4",'8_가정'!$A$46:$A$87,0))</f>
        <v>0</v>
      </c>
      <c r="S58" s="72">
        <f>INDEX('8_가정'!$D$46:$D$87,MATCH($B58&amp;"|P4",'8_가정'!$A$46:$A$87,0))</f>
        <v>0</v>
      </c>
      <c r="T58" s="72">
        <f>INDEX('8_가정'!$E$46:$E$87,MATCH($B58&amp;"|P4",'8_가정'!$A$46:$A$87,0))</f>
        <v>0</v>
      </c>
      <c r="U58" s="72">
        <f>INDEX('8_가정'!$F$46:$F$87,MATCH($B58&amp;"|P4",'8_가정'!$A$46:$A$87,0))</f>
        <v>0</v>
      </c>
      <c r="V58" s="72">
        <f>INDEX('8_가정'!$G$46:$G$87,MATCH($B58&amp;"|P4",'8_가정'!$A$46:$A$87,0))</f>
        <v>0</v>
      </c>
      <c r="W58" s="72">
        <f>INDEX('8_가정'!$C$46:$C$87,MATCH($B58&amp;"|P5",'8_가정'!$A$46:$A$87,0))</f>
        <v>0</v>
      </c>
      <c r="X58" s="72">
        <f>INDEX('8_가정'!$D$46:$D$87,MATCH($B58&amp;"|P5",'8_가정'!$A$46:$A$87,0))</f>
        <v>0</v>
      </c>
      <c r="Y58" s="72">
        <f>INDEX('8_가정'!$E$46:$E$87,MATCH($B58&amp;"|P5",'8_가정'!$A$46:$A$87,0))</f>
        <v>0</v>
      </c>
      <c r="Z58" s="72">
        <f>INDEX('8_가정'!$F$46:$F$87,MATCH($B58&amp;"|P5",'8_가정'!$A$46:$A$87,0))</f>
        <v>0</v>
      </c>
      <c r="AA58" s="72">
        <f>INDEX('8_가정'!$G$46:$G$87,MATCH($B58&amp;"|P5",'8_가정'!$A$46:$A$87,0))</f>
        <v>0</v>
      </c>
      <c r="AB58" s="72">
        <f>INDEX('8_가정'!$C$46:$C$87,MATCH($B58&amp;"|P6",'8_가정'!$A$46:$A$87,0))</f>
        <v>0</v>
      </c>
      <c r="AC58" s="72">
        <f>INDEX('8_가정'!$D$46:$D$87,MATCH($B58&amp;"|P6",'8_가정'!$A$46:$A$87,0))</f>
        <v>0</v>
      </c>
      <c r="AD58" s="72">
        <f>INDEX('8_가정'!$E$46:$E$87,MATCH($B58&amp;"|P6",'8_가정'!$A$46:$A$87,0))</f>
        <v>0</v>
      </c>
      <c r="AE58" s="72">
        <f>INDEX('8_가정'!$F$46:$F$87,MATCH($B58&amp;"|P6",'8_가정'!$A$46:$A$87,0))</f>
        <v>0</v>
      </c>
      <c r="AF58" s="72">
        <f>INDEX('8_가정'!$G$46:$G$87,MATCH($B58&amp;"|P6",'8_가정'!$A$46:$A$87,0))</f>
        <v>0</v>
      </c>
    </row>
    <row r="59">
      <c r="A59" s="71" t="str">
        <f>'4_매출_거래처'!D11</f>
        <v>네이버(위탁상품) — 베이비</v>
      </c>
      <c r="B59" s="71" t="str">
        <f>'4_매출_거래처'!I11</f>
        <v>BABY</v>
      </c>
      <c r="C59" s="72">
        <f>INDEX('8_가정'!$C$46:$C$87,MATCH($B59&amp;"|P1",'8_가정'!$A$46:$A$87,0))</f>
        <v>0.85</v>
      </c>
      <c r="D59" s="72">
        <f>INDEX('8_가정'!$D$46:$D$87,MATCH($B59&amp;"|P1",'8_가정'!$A$46:$A$87,0))</f>
        <v>0.85</v>
      </c>
      <c r="E59" s="72">
        <f>INDEX('8_가정'!$E$46:$E$87,MATCH($B59&amp;"|P1",'8_가정'!$A$46:$A$87,0))</f>
        <v>0.85</v>
      </c>
      <c r="F59" s="72">
        <f>INDEX('8_가정'!$F$46:$F$87,MATCH($B59&amp;"|P1",'8_가정'!$A$46:$A$87,0))</f>
        <v>0.85</v>
      </c>
      <c r="G59" s="72">
        <f>INDEX('8_가정'!$G$46:$G$87,MATCH($B59&amp;"|P1",'8_가정'!$A$46:$A$87,0))</f>
        <v>0.85</v>
      </c>
      <c r="H59" s="72">
        <f>INDEX('8_가정'!$C$46:$C$87,MATCH($B59&amp;"|P2",'8_가정'!$A$46:$A$87,0))</f>
        <v>0.05</v>
      </c>
      <c r="I59" s="72">
        <f>INDEX('8_가정'!$D$46:$D$87,MATCH($B59&amp;"|P2",'8_가정'!$A$46:$A$87,0))</f>
        <v>0.05</v>
      </c>
      <c r="J59" s="72">
        <f>INDEX('8_가정'!$E$46:$E$87,MATCH($B59&amp;"|P2",'8_가정'!$A$46:$A$87,0))</f>
        <v>0.05</v>
      </c>
      <c r="K59" s="72">
        <f>INDEX('8_가정'!$F$46:$F$87,MATCH($B59&amp;"|P2",'8_가정'!$A$46:$A$87,0))</f>
        <v>0.05</v>
      </c>
      <c r="L59" s="72">
        <f>INDEX('8_가정'!$G$46:$G$87,MATCH($B59&amp;"|P2",'8_가정'!$A$46:$A$87,0))</f>
        <v>0.05</v>
      </c>
      <c r="M59" s="72">
        <f>INDEX('8_가정'!$C$46:$C$87,MATCH($B59&amp;"|P3",'8_가정'!$A$46:$A$87,0))</f>
        <v>0.1</v>
      </c>
      <c r="N59" s="72">
        <f>INDEX('8_가정'!$D$46:$D$87,MATCH($B59&amp;"|P3",'8_가정'!$A$46:$A$87,0))</f>
        <v>0.1</v>
      </c>
      <c r="O59" s="72">
        <f>INDEX('8_가정'!$E$46:$E$87,MATCH($B59&amp;"|P3",'8_가정'!$A$46:$A$87,0))</f>
        <v>0.1</v>
      </c>
      <c r="P59" s="72">
        <f>INDEX('8_가정'!$F$46:$F$87,MATCH($B59&amp;"|P3",'8_가정'!$A$46:$A$87,0))</f>
        <v>0.1</v>
      </c>
      <c r="Q59" s="72">
        <f>INDEX('8_가정'!$G$46:$G$87,MATCH($B59&amp;"|P3",'8_가정'!$A$46:$A$87,0))</f>
        <v>0.1</v>
      </c>
      <c r="R59" s="72">
        <f>INDEX('8_가정'!$C$46:$C$87,MATCH($B59&amp;"|P4",'8_가정'!$A$46:$A$87,0))</f>
        <v>0</v>
      </c>
      <c r="S59" s="72">
        <f>INDEX('8_가정'!$D$46:$D$87,MATCH($B59&amp;"|P4",'8_가정'!$A$46:$A$87,0))</f>
        <v>0</v>
      </c>
      <c r="T59" s="72">
        <f>INDEX('8_가정'!$E$46:$E$87,MATCH($B59&amp;"|P4",'8_가정'!$A$46:$A$87,0))</f>
        <v>0</v>
      </c>
      <c r="U59" s="72">
        <f>INDEX('8_가정'!$F$46:$F$87,MATCH($B59&amp;"|P4",'8_가정'!$A$46:$A$87,0))</f>
        <v>0</v>
      </c>
      <c r="V59" s="72">
        <f>INDEX('8_가정'!$G$46:$G$87,MATCH($B59&amp;"|P4",'8_가정'!$A$46:$A$87,0))</f>
        <v>0</v>
      </c>
      <c r="W59" s="72">
        <f>INDEX('8_가정'!$C$46:$C$87,MATCH($B59&amp;"|P5",'8_가정'!$A$46:$A$87,0))</f>
        <v>0</v>
      </c>
      <c r="X59" s="72">
        <f>INDEX('8_가정'!$D$46:$D$87,MATCH($B59&amp;"|P5",'8_가정'!$A$46:$A$87,0))</f>
        <v>0</v>
      </c>
      <c r="Y59" s="72">
        <f>INDEX('8_가정'!$E$46:$E$87,MATCH($B59&amp;"|P5",'8_가정'!$A$46:$A$87,0))</f>
        <v>0</v>
      </c>
      <c r="Z59" s="72">
        <f>INDEX('8_가정'!$F$46:$F$87,MATCH($B59&amp;"|P5",'8_가정'!$A$46:$A$87,0))</f>
        <v>0</v>
      </c>
      <c r="AA59" s="72">
        <f>INDEX('8_가정'!$G$46:$G$87,MATCH($B59&amp;"|P5",'8_가정'!$A$46:$A$87,0))</f>
        <v>0</v>
      </c>
      <c r="AB59" s="72">
        <f>INDEX('8_가정'!$C$46:$C$87,MATCH($B59&amp;"|P6",'8_가정'!$A$46:$A$87,0))</f>
        <v>0</v>
      </c>
      <c r="AC59" s="72">
        <f>INDEX('8_가정'!$D$46:$D$87,MATCH($B59&amp;"|P6",'8_가정'!$A$46:$A$87,0))</f>
        <v>0</v>
      </c>
      <c r="AD59" s="72">
        <f>INDEX('8_가정'!$E$46:$E$87,MATCH($B59&amp;"|P6",'8_가정'!$A$46:$A$87,0))</f>
        <v>0</v>
      </c>
      <c r="AE59" s="72">
        <f>INDEX('8_가정'!$F$46:$F$87,MATCH($B59&amp;"|P6",'8_가정'!$A$46:$A$87,0))</f>
        <v>0</v>
      </c>
      <c r="AF59" s="72">
        <f>INDEX('8_가정'!$G$46:$G$87,MATCH($B59&amp;"|P6",'8_가정'!$A$46:$A$87,0))</f>
        <v>0</v>
      </c>
    </row>
    <row r="60">
      <c r="A60" s="71" t="str">
        <f>'4_매출_거래처'!D12</f>
        <v>쿠팡 — 베이비</v>
      </c>
      <c r="B60" s="71" t="str">
        <f>'4_매출_거래처'!I12</f>
        <v>BABY</v>
      </c>
      <c r="C60" s="72">
        <f>INDEX('8_가정'!$C$46:$C$87,MATCH($B60&amp;"|P1",'8_가정'!$A$46:$A$87,0))</f>
        <v>0.85</v>
      </c>
      <c r="D60" s="72">
        <f>INDEX('8_가정'!$D$46:$D$87,MATCH($B60&amp;"|P1",'8_가정'!$A$46:$A$87,0))</f>
        <v>0.85</v>
      </c>
      <c r="E60" s="72">
        <f>INDEX('8_가정'!$E$46:$E$87,MATCH($B60&amp;"|P1",'8_가정'!$A$46:$A$87,0))</f>
        <v>0.85</v>
      </c>
      <c r="F60" s="72">
        <f>INDEX('8_가정'!$F$46:$F$87,MATCH($B60&amp;"|P1",'8_가정'!$A$46:$A$87,0))</f>
        <v>0.85</v>
      </c>
      <c r="G60" s="72">
        <f>INDEX('8_가정'!$G$46:$G$87,MATCH($B60&amp;"|P1",'8_가정'!$A$46:$A$87,0))</f>
        <v>0.85</v>
      </c>
      <c r="H60" s="72">
        <f>INDEX('8_가정'!$C$46:$C$87,MATCH($B60&amp;"|P2",'8_가정'!$A$46:$A$87,0))</f>
        <v>0.05</v>
      </c>
      <c r="I60" s="72">
        <f>INDEX('8_가정'!$D$46:$D$87,MATCH($B60&amp;"|P2",'8_가정'!$A$46:$A$87,0))</f>
        <v>0.05</v>
      </c>
      <c r="J60" s="72">
        <f>INDEX('8_가정'!$E$46:$E$87,MATCH($B60&amp;"|P2",'8_가정'!$A$46:$A$87,0))</f>
        <v>0.05</v>
      </c>
      <c r="K60" s="72">
        <f>INDEX('8_가정'!$F$46:$F$87,MATCH($B60&amp;"|P2",'8_가정'!$A$46:$A$87,0))</f>
        <v>0.05</v>
      </c>
      <c r="L60" s="72">
        <f>INDEX('8_가정'!$G$46:$G$87,MATCH($B60&amp;"|P2",'8_가정'!$A$46:$A$87,0))</f>
        <v>0.05</v>
      </c>
      <c r="M60" s="72">
        <f>INDEX('8_가정'!$C$46:$C$87,MATCH($B60&amp;"|P3",'8_가정'!$A$46:$A$87,0))</f>
        <v>0.1</v>
      </c>
      <c r="N60" s="72">
        <f>INDEX('8_가정'!$D$46:$D$87,MATCH($B60&amp;"|P3",'8_가정'!$A$46:$A$87,0))</f>
        <v>0.1</v>
      </c>
      <c r="O60" s="72">
        <f>INDEX('8_가정'!$E$46:$E$87,MATCH($B60&amp;"|P3",'8_가정'!$A$46:$A$87,0))</f>
        <v>0.1</v>
      </c>
      <c r="P60" s="72">
        <f>INDEX('8_가정'!$F$46:$F$87,MATCH($B60&amp;"|P3",'8_가정'!$A$46:$A$87,0))</f>
        <v>0.1</v>
      </c>
      <c r="Q60" s="72">
        <f>INDEX('8_가정'!$G$46:$G$87,MATCH($B60&amp;"|P3",'8_가정'!$A$46:$A$87,0))</f>
        <v>0.1</v>
      </c>
      <c r="R60" s="72">
        <f>INDEX('8_가정'!$C$46:$C$87,MATCH($B60&amp;"|P4",'8_가정'!$A$46:$A$87,0))</f>
        <v>0</v>
      </c>
      <c r="S60" s="72">
        <f>INDEX('8_가정'!$D$46:$D$87,MATCH($B60&amp;"|P4",'8_가정'!$A$46:$A$87,0))</f>
        <v>0</v>
      </c>
      <c r="T60" s="72">
        <f>INDEX('8_가정'!$E$46:$E$87,MATCH($B60&amp;"|P4",'8_가정'!$A$46:$A$87,0))</f>
        <v>0</v>
      </c>
      <c r="U60" s="72">
        <f>INDEX('8_가정'!$F$46:$F$87,MATCH($B60&amp;"|P4",'8_가정'!$A$46:$A$87,0))</f>
        <v>0</v>
      </c>
      <c r="V60" s="72">
        <f>INDEX('8_가정'!$G$46:$G$87,MATCH($B60&amp;"|P4",'8_가정'!$A$46:$A$87,0))</f>
        <v>0</v>
      </c>
      <c r="W60" s="72">
        <f>INDEX('8_가정'!$C$46:$C$87,MATCH($B60&amp;"|P5",'8_가정'!$A$46:$A$87,0))</f>
        <v>0</v>
      </c>
      <c r="X60" s="72">
        <f>INDEX('8_가정'!$D$46:$D$87,MATCH($B60&amp;"|P5",'8_가정'!$A$46:$A$87,0))</f>
        <v>0</v>
      </c>
      <c r="Y60" s="72">
        <f>INDEX('8_가정'!$E$46:$E$87,MATCH($B60&amp;"|P5",'8_가정'!$A$46:$A$87,0))</f>
        <v>0</v>
      </c>
      <c r="Z60" s="72">
        <f>INDEX('8_가정'!$F$46:$F$87,MATCH($B60&amp;"|P5",'8_가정'!$A$46:$A$87,0))</f>
        <v>0</v>
      </c>
      <c r="AA60" s="72">
        <f>INDEX('8_가정'!$G$46:$G$87,MATCH($B60&amp;"|P5",'8_가정'!$A$46:$A$87,0))</f>
        <v>0</v>
      </c>
      <c r="AB60" s="72">
        <f>INDEX('8_가정'!$C$46:$C$87,MATCH($B60&amp;"|P6",'8_가정'!$A$46:$A$87,0))</f>
        <v>0</v>
      </c>
      <c r="AC60" s="72">
        <f>INDEX('8_가정'!$D$46:$D$87,MATCH($B60&amp;"|P6",'8_가정'!$A$46:$A$87,0))</f>
        <v>0</v>
      </c>
      <c r="AD60" s="72">
        <f>INDEX('8_가정'!$E$46:$E$87,MATCH($B60&amp;"|P6",'8_가정'!$A$46:$A$87,0))</f>
        <v>0</v>
      </c>
      <c r="AE60" s="72">
        <f>INDEX('8_가정'!$F$46:$F$87,MATCH($B60&amp;"|P6",'8_가정'!$A$46:$A$87,0))</f>
        <v>0</v>
      </c>
      <c r="AF60" s="72">
        <f>INDEX('8_가정'!$G$46:$G$87,MATCH($B60&amp;"|P6",'8_가정'!$A$46:$A$87,0))</f>
        <v>0</v>
      </c>
    </row>
    <row r="61">
      <c r="A61" s="71" t="str">
        <f>'4_매출_거래처'!D13</f>
        <v>기타 B2C — 베이비</v>
      </c>
      <c r="B61" s="71" t="str">
        <f>'4_매출_거래처'!I13</f>
        <v>BABY</v>
      </c>
      <c r="C61" s="72">
        <f>INDEX('8_가정'!$C$46:$C$87,MATCH($B61&amp;"|P1",'8_가정'!$A$46:$A$87,0))</f>
        <v>0.85</v>
      </c>
      <c r="D61" s="72">
        <f>INDEX('8_가정'!$D$46:$D$87,MATCH($B61&amp;"|P1",'8_가정'!$A$46:$A$87,0))</f>
        <v>0.85</v>
      </c>
      <c r="E61" s="72">
        <f>INDEX('8_가정'!$E$46:$E$87,MATCH($B61&amp;"|P1",'8_가정'!$A$46:$A$87,0))</f>
        <v>0.85</v>
      </c>
      <c r="F61" s="72">
        <f>INDEX('8_가정'!$F$46:$F$87,MATCH($B61&amp;"|P1",'8_가정'!$A$46:$A$87,0))</f>
        <v>0.85</v>
      </c>
      <c r="G61" s="72">
        <f>INDEX('8_가정'!$G$46:$G$87,MATCH($B61&amp;"|P1",'8_가정'!$A$46:$A$87,0))</f>
        <v>0.85</v>
      </c>
      <c r="H61" s="72">
        <f>INDEX('8_가정'!$C$46:$C$87,MATCH($B61&amp;"|P2",'8_가정'!$A$46:$A$87,0))</f>
        <v>0.05</v>
      </c>
      <c r="I61" s="72">
        <f>INDEX('8_가정'!$D$46:$D$87,MATCH($B61&amp;"|P2",'8_가정'!$A$46:$A$87,0))</f>
        <v>0.05</v>
      </c>
      <c r="J61" s="72">
        <f>INDEX('8_가정'!$E$46:$E$87,MATCH($B61&amp;"|P2",'8_가정'!$A$46:$A$87,0))</f>
        <v>0.05</v>
      </c>
      <c r="K61" s="72">
        <f>INDEX('8_가정'!$F$46:$F$87,MATCH($B61&amp;"|P2",'8_가정'!$A$46:$A$87,0))</f>
        <v>0.05</v>
      </c>
      <c r="L61" s="72">
        <f>INDEX('8_가정'!$G$46:$G$87,MATCH($B61&amp;"|P2",'8_가정'!$A$46:$A$87,0))</f>
        <v>0.05</v>
      </c>
      <c r="M61" s="72">
        <f>INDEX('8_가정'!$C$46:$C$87,MATCH($B61&amp;"|P3",'8_가정'!$A$46:$A$87,0))</f>
        <v>0.1</v>
      </c>
      <c r="N61" s="72">
        <f>INDEX('8_가정'!$D$46:$D$87,MATCH($B61&amp;"|P3",'8_가정'!$A$46:$A$87,0))</f>
        <v>0.1</v>
      </c>
      <c r="O61" s="72">
        <f>INDEX('8_가정'!$E$46:$E$87,MATCH($B61&amp;"|P3",'8_가정'!$A$46:$A$87,0))</f>
        <v>0.1</v>
      </c>
      <c r="P61" s="72">
        <f>INDEX('8_가정'!$F$46:$F$87,MATCH($B61&amp;"|P3",'8_가정'!$A$46:$A$87,0))</f>
        <v>0.1</v>
      </c>
      <c r="Q61" s="72">
        <f>INDEX('8_가정'!$G$46:$G$87,MATCH($B61&amp;"|P3",'8_가정'!$A$46:$A$87,0))</f>
        <v>0.1</v>
      </c>
      <c r="R61" s="72">
        <f>INDEX('8_가정'!$C$46:$C$87,MATCH($B61&amp;"|P4",'8_가정'!$A$46:$A$87,0))</f>
        <v>0</v>
      </c>
      <c r="S61" s="72">
        <f>INDEX('8_가정'!$D$46:$D$87,MATCH($B61&amp;"|P4",'8_가정'!$A$46:$A$87,0))</f>
        <v>0</v>
      </c>
      <c r="T61" s="72">
        <f>INDEX('8_가정'!$E$46:$E$87,MATCH($B61&amp;"|P4",'8_가정'!$A$46:$A$87,0))</f>
        <v>0</v>
      </c>
      <c r="U61" s="72">
        <f>INDEX('8_가정'!$F$46:$F$87,MATCH($B61&amp;"|P4",'8_가정'!$A$46:$A$87,0))</f>
        <v>0</v>
      </c>
      <c r="V61" s="72">
        <f>INDEX('8_가정'!$G$46:$G$87,MATCH($B61&amp;"|P4",'8_가정'!$A$46:$A$87,0))</f>
        <v>0</v>
      </c>
      <c r="W61" s="72">
        <f>INDEX('8_가정'!$C$46:$C$87,MATCH($B61&amp;"|P5",'8_가정'!$A$46:$A$87,0))</f>
        <v>0</v>
      </c>
      <c r="X61" s="72">
        <f>INDEX('8_가정'!$D$46:$D$87,MATCH($B61&amp;"|P5",'8_가정'!$A$46:$A$87,0))</f>
        <v>0</v>
      </c>
      <c r="Y61" s="72">
        <f>INDEX('8_가정'!$E$46:$E$87,MATCH($B61&amp;"|P5",'8_가정'!$A$46:$A$87,0))</f>
        <v>0</v>
      </c>
      <c r="Z61" s="72">
        <f>INDEX('8_가정'!$F$46:$F$87,MATCH($B61&amp;"|P5",'8_가정'!$A$46:$A$87,0))</f>
        <v>0</v>
      </c>
      <c r="AA61" s="72">
        <f>INDEX('8_가정'!$G$46:$G$87,MATCH($B61&amp;"|P5",'8_가정'!$A$46:$A$87,0))</f>
        <v>0</v>
      </c>
      <c r="AB61" s="72">
        <f>INDEX('8_가정'!$C$46:$C$87,MATCH($B61&amp;"|P6",'8_가정'!$A$46:$A$87,0))</f>
        <v>0</v>
      </c>
      <c r="AC61" s="72">
        <f>INDEX('8_가정'!$D$46:$D$87,MATCH($B61&amp;"|P6",'8_가정'!$A$46:$A$87,0))</f>
        <v>0</v>
      </c>
      <c r="AD61" s="72">
        <f>INDEX('8_가정'!$E$46:$E$87,MATCH($B61&amp;"|P6",'8_가정'!$A$46:$A$87,0))</f>
        <v>0</v>
      </c>
      <c r="AE61" s="72">
        <f>INDEX('8_가정'!$F$46:$F$87,MATCH($B61&amp;"|P6",'8_가정'!$A$46:$A$87,0))</f>
        <v>0</v>
      </c>
      <c r="AF61" s="72">
        <f>INDEX('8_가정'!$G$46:$G$87,MATCH($B61&amp;"|P6",'8_가정'!$A$46:$A$87,0))</f>
        <v>0</v>
      </c>
    </row>
    <row r="62">
      <c r="A62" s="71" t="str">
        <f>'4_매출_거래처'!D14</f>
        <v>B2B(국내) — 베이비</v>
      </c>
      <c r="B62" s="71" t="str">
        <f>'4_매출_거래처'!I14</f>
        <v>BABY</v>
      </c>
      <c r="C62" s="72">
        <f>INDEX('8_가정'!$C$46:$C$87,MATCH($B62&amp;"|P1",'8_가정'!$A$46:$A$87,0))</f>
        <v>0.85</v>
      </c>
      <c r="D62" s="72">
        <f>INDEX('8_가정'!$D$46:$D$87,MATCH($B62&amp;"|P1",'8_가정'!$A$46:$A$87,0))</f>
        <v>0.85</v>
      </c>
      <c r="E62" s="72">
        <f>INDEX('8_가정'!$E$46:$E$87,MATCH($B62&amp;"|P1",'8_가정'!$A$46:$A$87,0))</f>
        <v>0.85</v>
      </c>
      <c r="F62" s="72">
        <f>INDEX('8_가정'!$F$46:$F$87,MATCH($B62&amp;"|P1",'8_가정'!$A$46:$A$87,0))</f>
        <v>0.85</v>
      </c>
      <c r="G62" s="72">
        <f>INDEX('8_가정'!$G$46:$G$87,MATCH($B62&amp;"|P1",'8_가정'!$A$46:$A$87,0))</f>
        <v>0.85</v>
      </c>
      <c r="H62" s="72">
        <f>INDEX('8_가정'!$C$46:$C$87,MATCH($B62&amp;"|P2",'8_가정'!$A$46:$A$87,0))</f>
        <v>0.05</v>
      </c>
      <c r="I62" s="72">
        <f>INDEX('8_가정'!$D$46:$D$87,MATCH($B62&amp;"|P2",'8_가정'!$A$46:$A$87,0))</f>
        <v>0.05</v>
      </c>
      <c r="J62" s="72">
        <f>INDEX('8_가정'!$E$46:$E$87,MATCH($B62&amp;"|P2",'8_가정'!$A$46:$A$87,0))</f>
        <v>0.05</v>
      </c>
      <c r="K62" s="72">
        <f>INDEX('8_가정'!$F$46:$F$87,MATCH($B62&amp;"|P2",'8_가정'!$A$46:$A$87,0))</f>
        <v>0.05</v>
      </c>
      <c r="L62" s="72">
        <f>INDEX('8_가정'!$G$46:$G$87,MATCH($B62&amp;"|P2",'8_가정'!$A$46:$A$87,0))</f>
        <v>0.05</v>
      </c>
      <c r="M62" s="72">
        <f>INDEX('8_가정'!$C$46:$C$87,MATCH($B62&amp;"|P3",'8_가정'!$A$46:$A$87,0))</f>
        <v>0.1</v>
      </c>
      <c r="N62" s="72">
        <f>INDEX('8_가정'!$D$46:$D$87,MATCH($B62&amp;"|P3",'8_가정'!$A$46:$A$87,0))</f>
        <v>0.1</v>
      </c>
      <c r="O62" s="72">
        <f>INDEX('8_가정'!$E$46:$E$87,MATCH($B62&amp;"|P3",'8_가정'!$A$46:$A$87,0))</f>
        <v>0.1</v>
      </c>
      <c r="P62" s="72">
        <f>INDEX('8_가정'!$F$46:$F$87,MATCH($B62&amp;"|P3",'8_가정'!$A$46:$A$87,0))</f>
        <v>0.1</v>
      </c>
      <c r="Q62" s="72">
        <f>INDEX('8_가정'!$G$46:$G$87,MATCH($B62&amp;"|P3",'8_가정'!$A$46:$A$87,0))</f>
        <v>0.1</v>
      </c>
      <c r="R62" s="72">
        <f>INDEX('8_가정'!$C$46:$C$87,MATCH($B62&amp;"|P4",'8_가정'!$A$46:$A$87,0))</f>
        <v>0</v>
      </c>
      <c r="S62" s="72">
        <f>INDEX('8_가정'!$D$46:$D$87,MATCH($B62&amp;"|P4",'8_가정'!$A$46:$A$87,0))</f>
        <v>0</v>
      </c>
      <c r="T62" s="72">
        <f>INDEX('8_가정'!$E$46:$E$87,MATCH($B62&amp;"|P4",'8_가정'!$A$46:$A$87,0))</f>
        <v>0</v>
      </c>
      <c r="U62" s="72">
        <f>INDEX('8_가정'!$F$46:$F$87,MATCH($B62&amp;"|P4",'8_가정'!$A$46:$A$87,0))</f>
        <v>0</v>
      </c>
      <c r="V62" s="72">
        <f>INDEX('8_가정'!$G$46:$G$87,MATCH($B62&amp;"|P4",'8_가정'!$A$46:$A$87,0))</f>
        <v>0</v>
      </c>
      <c r="W62" s="72">
        <f>INDEX('8_가정'!$C$46:$C$87,MATCH($B62&amp;"|P5",'8_가정'!$A$46:$A$87,0))</f>
        <v>0</v>
      </c>
      <c r="X62" s="72">
        <f>INDEX('8_가정'!$D$46:$D$87,MATCH($B62&amp;"|P5",'8_가정'!$A$46:$A$87,0))</f>
        <v>0</v>
      </c>
      <c r="Y62" s="72">
        <f>INDEX('8_가정'!$E$46:$E$87,MATCH($B62&amp;"|P5",'8_가정'!$A$46:$A$87,0))</f>
        <v>0</v>
      </c>
      <c r="Z62" s="72">
        <f>INDEX('8_가정'!$F$46:$F$87,MATCH($B62&amp;"|P5",'8_가정'!$A$46:$A$87,0))</f>
        <v>0</v>
      </c>
      <c r="AA62" s="72">
        <f>INDEX('8_가정'!$G$46:$G$87,MATCH($B62&amp;"|P5",'8_가정'!$A$46:$A$87,0))</f>
        <v>0</v>
      </c>
      <c r="AB62" s="72">
        <f>INDEX('8_가정'!$C$46:$C$87,MATCH($B62&amp;"|P6",'8_가정'!$A$46:$A$87,0))</f>
        <v>0</v>
      </c>
      <c r="AC62" s="72">
        <f>INDEX('8_가정'!$D$46:$D$87,MATCH($B62&amp;"|P6",'8_가정'!$A$46:$A$87,0))</f>
        <v>0</v>
      </c>
      <c r="AD62" s="72">
        <f>INDEX('8_가정'!$E$46:$E$87,MATCH($B62&amp;"|P6",'8_가정'!$A$46:$A$87,0))</f>
        <v>0</v>
      </c>
      <c r="AE62" s="72">
        <f>INDEX('8_가정'!$F$46:$F$87,MATCH($B62&amp;"|P6",'8_가정'!$A$46:$A$87,0))</f>
        <v>0</v>
      </c>
      <c r="AF62" s="72">
        <f>INDEX('8_가정'!$G$46:$G$87,MATCH($B62&amp;"|P6",'8_가정'!$A$46:$A$87,0))</f>
        <v>0</v>
      </c>
    </row>
    <row r="63">
      <c r="A63" s="71" t="str">
        <f>'4_매출_거래처'!D15</f>
        <v>APP KOREA — 유아(스마트 베이비 기저귀)</v>
      </c>
      <c r="B63" s="71" t="str">
        <f>'4_매출_거래처'!I15</f>
        <v>BABY</v>
      </c>
      <c r="C63" s="72">
        <f>INDEX('8_가정'!$C$46:$C$87,MATCH($B63&amp;"|P1",'8_가정'!$A$46:$A$87,0))</f>
        <v>0.85</v>
      </c>
      <c r="D63" s="72">
        <f>INDEX('8_가정'!$D$46:$D$87,MATCH($B63&amp;"|P1",'8_가정'!$A$46:$A$87,0))</f>
        <v>0.85</v>
      </c>
      <c r="E63" s="72">
        <f>INDEX('8_가정'!$E$46:$E$87,MATCH($B63&amp;"|P1",'8_가정'!$A$46:$A$87,0))</f>
        <v>0.85</v>
      </c>
      <c r="F63" s="72">
        <f>INDEX('8_가정'!$F$46:$F$87,MATCH($B63&amp;"|P1",'8_가정'!$A$46:$A$87,0))</f>
        <v>0.85</v>
      </c>
      <c r="G63" s="72">
        <f>INDEX('8_가정'!$G$46:$G$87,MATCH($B63&amp;"|P1",'8_가정'!$A$46:$A$87,0))</f>
        <v>0.85</v>
      </c>
      <c r="H63" s="72">
        <f>INDEX('8_가정'!$C$46:$C$87,MATCH($B63&amp;"|P2",'8_가정'!$A$46:$A$87,0))</f>
        <v>0.05</v>
      </c>
      <c r="I63" s="72">
        <f>INDEX('8_가정'!$D$46:$D$87,MATCH($B63&amp;"|P2",'8_가정'!$A$46:$A$87,0))</f>
        <v>0.05</v>
      </c>
      <c r="J63" s="72">
        <f>INDEX('8_가정'!$E$46:$E$87,MATCH($B63&amp;"|P2",'8_가정'!$A$46:$A$87,0))</f>
        <v>0.05</v>
      </c>
      <c r="K63" s="72">
        <f>INDEX('8_가정'!$F$46:$F$87,MATCH($B63&amp;"|P2",'8_가정'!$A$46:$A$87,0))</f>
        <v>0.05</v>
      </c>
      <c r="L63" s="72">
        <f>INDEX('8_가정'!$G$46:$G$87,MATCH($B63&amp;"|P2",'8_가정'!$A$46:$A$87,0))</f>
        <v>0.05</v>
      </c>
      <c r="M63" s="72">
        <f>INDEX('8_가정'!$C$46:$C$87,MATCH($B63&amp;"|P3",'8_가정'!$A$46:$A$87,0))</f>
        <v>0.1</v>
      </c>
      <c r="N63" s="72">
        <f>INDEX('8_가정'!$D$46:$D$87,MATCH($B63&amp;"|P3",'8_가정'!$A$46:$A$87,0))</f>
        <v>0.1</v>
      </c>
      <c r="O63" s="72">
        <f>INDEX('8_가정'!$E$46:$E$87,MATCH($B63&amp;"|P3",'8_가정'!$A$46:$A$87,0))</f>
        <v>0.1</v>
      </c>
      <c r="P63" s="72">
        <f>INDEX('8_가정'!$F$46:$F$87,MATCH($B63&amp;"|P3",'8_가정'!$A$46:$A$87,0))</f>
        <v>0.1</v>
      </c>
      <c r="Q63" s="72">
        <f>INDEX('8_가정'!$G$46:$G$87,MATCH($B63&amp;"|P3",'8_가정'!$A$46:$A$87,0))</f>
        <v>0.1</v>
      </c>
      <c r="R63" s="72">
        <f>INDEX('8_가정'!$C$46:$C$87,MATCH($B63&amp;"|P4",'8_가정'!$A$46:$A$87,0))</f>
        <v>0</v>
      </c>
      <c r="S63" s="72">
        <f>INDEX('8_가정'!$D$46:$D$87,MATCH($B63&amp;"|P4",'8_가정'!$A$46:$A$87,0))</f>
        <v>0</v>
      </c>
      <c r="T63" s="72">
        <f>INDEX('8_가정'!$E$46:$E$87,MATCH($B63&amp;"|P4",'8_가정'!$A$46:$A$87,0))</f>
        <v>0</v>
      </c>
      <c r="U63" s="72">
        <f>INDEX('8_가정'!$F$46:$F$87,MATCH($B63&amp;"|P4",'8_가정'!$A$46:$A$87,0))</f>
        <v>0</v>
      </c>
      <c r="V63" s="72">
        <f>INDEX('8_가정'!$G$46:$G$87,MATCH($B63&amp;"|P4",'8_가정'!$A$46:$A$87,0))</f>
        <v>0</v>
      </c>
      <c r="W63" s="72">
        <f>INDEX('8_가정'!$C$46:$C$87,MATCH($B63&amp;"|P5",'8_가정'!$A$46:$A$87,0))</f>
        <v>0</v>
      </c>
      <c r="X63" s="72">
        <f>INDEX('8_가정'!$D$46:$D$87,MATCH($B63&amp;"|P5",'8_가정'!$A$46:$A$87,0))</f>
        <v>0</v>
      </c>
      <c r="Y63" s="72">
        <f>INDEX('8_가정'!$E$46:$E$87,MATCH($B63&amp;"|P5",'8_가정'!$A$46:$A$87,0))</f>
        <v>0</v>
      </c>
      <c r="Z63" s="72">
        <f>INDEX('8_가정'!$F$46:$F$87,MATCH($B63&amp;"|P5",'8_가정'!$A$46:$A$87,0))</f>
        <v>0</v>
      </c>
      <c r="AA63" s="72">
        <f>INDEX('8_가정'!$G$46:$G$87,MATCH($B63&amp;"|P5",'8_가정'!$A$46:$A$87,0))</f>
        <v>0</v>
      </c>
      <c r="AB63" s="72">
        <f>INDEX('8_가정'!$C$46:$C$87,MATCH($B63&amp;"|P6",'8_가정'!$A$46:$A$87,0))</f>
        <v>0</v>
      </c>
      <c r="AC63" s="72">
        <f>INDEX('8_가정'!$D$46:$D$87,MATCH($B63&amp;"|P6",'8_가정'!$A$46:$A$87,0))</f>
        <v>0</v>
      </c>
      <c r="AD63" s="72">
        <f>INDEX('8_가정'!$E$46:$E$87,MATCH($B63&amp;"|P6",'8_가정'!$A$46:$A$87,0))</f>
        <v>0</v>
      </c>
      <c r="AE63" s="72">
        <f>INDEX('8_가정'!$F$46:$F$87,MATCH($B63&amp;"|P6",'8_가정'!$A$46:$A$87,0))</f>
        <v>0</v>
      </c>
      <c r="AF63" s="72">
        <f>INDEX('8_가정'!$G$46:$G$87,MATCH($B63&amp;"|P6",'8_가정'!$A$46:$A$87,0))</f>
        <v>0</v>
      </c>
    </row>
    <row r="64">
      <c r="A64" s="71" t="str">
        <f>'4_매출_거래처'!D16</f>
        <v>Little Loft(대만, 베이비)</v>
      </c>
      <c r="B64" s="71" t="str">
        <f>'4_매출_거래처'!I16</f>
        <v>BABY</v>
      </c>
      <c r="C64" s="72">
        <f>INDEX('8_가정'!$C$46:$C$87,MATCH($B64&amp;"|P1",'8_가정'!$A$46:$A$87,0))</f>
        <v>0.85</v>
      </c>
      <c r="D64" s="72">
        <f>INDEX('8_가정'!$D$46:$D$87,MATCH($B64&amp;"|P1",'8_가정'!$A$46:$A$87,0))</f>
        <v>0.85</v>
      </c>
      <c r="E64" s="72">
        <f>INDEX('8_가정'!$E$46:$E$87,MATCH($B64&amp;"|P1",'8_가정'!$A$46:$A$87,0))</f>
        <v>0.85</v>
      </c>
      <c r="F64" s="72">
        <f>INDEX('8_가정'!$F$46:$F$87,MATCH($B64&amp;"|P1",'8_가정'!$A$46:$A$87,0))</f>
        <v>0.85</v>
      </c>
      <c r="G64" s="72">
        <f>INDEX('8_가정'!$G$46:$G$87,MATCH($B64&amp;"|P1",'8_가정'!$A$46:$A$87,0))</f>
        <v>0.85</v>
      </c>
      <c r="H64" s="72">
        <f>INDEX('8_가정'!$C$46:$C$87,MATCH($B64&amp;"|P2",'8_가정'!$A$46:$A$87,0))</f>
        <v>0.05</v>
      </c>
      <c r="I64" s="72">
        <f>INDEX('8_가정'!$D$46:$D$87,MATCH($B64&amp;"|P2",'8_가정'!$A$46:$A$87,0))</f>
        <v>0.05</v>
      </c>
      <c r="J64" s="72">
        <f>INDEX('8_가정'!$E$46:$E$87,MATCH($B64&amp;"|P2",'8_가정'!$A$46:$A$87,0))</f>
        <v>0.05</v>
      </c>
      <c r="K64" s="72">
        <f>INDEX('8_가정'!$F$46:$F$87,MATCH($B64&amp;"|P2",'8_가정'!$A$46:$A$87,0))</f>
        <v>0.05</v>
      </c>
      <c r="L64" s="72">
        <f>INDEX('8_가정'!$G$46:$G$87,MATCH($B64&amp;"|P2",'8_가정'!$A$46:$A$87,0))</f>
        <v>0.05</v>
      </c>
      <c r="M64" s="72">
        <f>INDEX('8_가정'!$C$46:$C$87,MATCH($B64&amp;"|P3",'8_가정'!$A$46:$A$87,0))</f>
        <v>0.1</v>
      </c>
      <c r="N64" s="72">
        <f>INDEX('8_가정'!$D$46:$D$87,MATCH($B64&amp;"|P3",'8_가정'!$A$46:$A$87,0))</f>
        <v>0.1</v>
      </c>
      <c r="O64" s="72">
        <f>INDEX('8_가정'!$E$46:$E$87,MATCH($B64&amp;"|P3",'8_가정'!$A$46:$A$87,0))</f>
        <v>0.1</v>
      </c>
      <c r="P64" s="72">
        <f>INDEX('8_가정'!$F$46:$F$87,MATCH($B64&amp;"|P3",'8_가정'!$A$46:$A$87,0))</f>
        <v>0.1</v>
      </c>
      <c r="Q64" s="72">
        <f>INDEX('8_가정'!$G$46:$G$87,MATCH($B64&amp;"|P3",'8_가정'!$A$46:$A$87,0))</f>
        <v>0.1</v>
      </c>
      <c r="R64" s="72">
        <f>INDEX('8_가정'!$C$46:$C$87,MATCH($B64&amp;"|P4",'8_가정'!$A$46:$A$87,0))</f>
        <v>0</v>
      </c>
      <c r="S64" s="72">
        <f>INDEX('8_가정'!$D$46:$D$87,MATCH($B64&amp;"|P4",'8_가정'!$A$46:$A$87,0))</f>
        <v>0</v>
      </c>
      <c r="T64" s="72">
        <f>INDEX('8_가정'!$E$46:$E$87,MATCH($B64&amp;"|P4",'8_가정'!$A$46:$A$87,0))</f>
        <v>0</v>
      </c>
      <c r="U64" s="72">
        <f>INDEX('8_가정'!$F$46:$F$87,MATCH($B64&amp;"|P4",'8_가정'!$A$46:$A$87,0))</f>
        <v>0</v>
      </c>
      <c r="V64" s="72">
        <f>INDEX('8_가정'!$G$46:$G$87,MATCH($B64&amp;"|P4",'8_가정'!$A$46:$A$87,0))</f>
        <v>0</v>
      </c>
      <c r="W64" s="72">
        <f>INDEX('8_가정'!$C$46:$C$87,MATCH($B64&amp;"|P5",'8_가정'!$A$46:$A$87,0))</f>
        <v>0</v>
      </c>
      <c r="X64" s="72">
        <f>INDEX('8_가정'!$D$46:$D$87,MATCH($B64&amp;"|P5",'8_가정'!$A$46:$A$87,0))</f>
        <v>0</v>
      </c>
      <c r="Y64" s="72">
        <f>INDEX('8_가정'!$E$46:$E$87,MATCH($B64&amp;"|P5",'8_가정'!$A$46:$A$87,0))</f>
        <v>0</v>
      </c>
      <c r="Z64" s="72">
        <f>INDEX('8_가정'!$F$46:$F$87,MATCH($B64&amp;"|P5",'8_가정'!$A$46:$A$87,0))</f>
        <v>0</v>
      </c>
      <c r="AA64" s="72">
        <f>INDEX('8_가정'!$G$46:$G$87,MATCH($B64&amp;"|P5",'8_가정'!$A$46:$A$87,0))</f>
        <v>0</v>
      </c>
      <c r="AB64" s="72">
        <f>INDEX('8_가정'!$C$46:$C$87,MATCH($B64&amp;"|P6",'8_가정'!$A$46:$A$87,0))</f>
        <v>0</v>
      </c>
      <c r="AC64" s="72">
        <f>INDEX('8_가정'!$D$46:$D$87,MATCH($B64&amp;"|P6",'8_가정'!$A$46:$A$87,0))</f>
        <v>0</v>
      </c>
      <c r="AD64" s="72">
        <f>INDEX('8_가정'!$E$46:$E$87,MATCH($B64&amp;"|P6",'8_가정'!$A$46:$A$87,0))</f>
        <v>0</v>
      </c>
      <c r="AE64" s="72">
        <f>INDEX('8_가정'!$F$46:$F$87,MATCH($B64&amp;"|P6",'8_가정'!$A$46:$A$87,0))</f>
        <v>0</v>
      </c>
      <c r="AF64" s="72">
        <f>INDEX('8_가정'!$G$46:$G$87,MATCH($B64&amp;"|P6",'8_가정'!$A$46:$A$87,0))</f>
        <v>0</v>
      </c>
    </row>
    <row r="65">
      <c r="A65" s="71" t="str">
        <f>'4_매출_거래처'!D17</f>
        <v>Punnita House(태국, 베이비)</v>
      </c>
      <c r="B65" s="71" t="str">
        <f>'4_매출_거래처'!I17</f>
        <v>BABY</v>
      </c>
      <c r="C65" s="72">
        <f>INDEX('8_가정'!$C$46:$C$87,MATCH($B65&amp;"|P1",'8_가정'!$A$46:$A$87,0))</f>
        <v>0.85</v>
      </c>
      <c r="D65" s="72">
        <f>INDEX('8_가정'!$D$46:$D$87,MATCH($B65&amp;"|P1",'8_가정'!$A$46:$A$87,0))</f>
        <v>0.85</v>
      </c>
      <c r="E65" s="72">
        <f>INDEX('8_가정'!$E$46:$E$87,MATCH($B65&amp;"|P1",'8_가정'!$A$46:$A$87,0))</f>
        <v>0.85</v>
      </c>
      <c r="F65" s="72">
        <f>INDEX('8_가정'!$F$46:$F$87,MATCH($B65&amp;"|P1",'8_가정'!$A$46:$A$87,0))</f>
        <v>0.85</v>
      </c>
      <c r="G65" s="72">
        <f>INDEX('8_가정'!$G$46:$G$87,MATCH($B65&amp;"|P1",'8_가정'!$A$46:$A$87,0))</f>
        <v>0.85</v>
      </c>
      <c r="H65" s="72">
        <f>INDEX('8_가정'!$C$46:$C$87,MATCH($B65&amp;"|P2",'8_가정'!$A$46:$A$87,0))</f>
        <v>0.05</v>
      </c>
      <c r="I65" s="72">
        <f>INDEX('8_가정'!$D$46:$D$87,MATCH($B65&amp;"|P2",'8_가정'!$A$46:$A$87,0))</f>
        <v>0.05</v>
      </c>
      <c r="J65" s="72">
        <f>INDEX('8_가정'!$E$46:$E$87,MATCH($B65&amp;"|P2",'8_가정'!$A$46:$A$87,0))</f>
        <v>0.05</v>
      </c>
      <c r="K65" s="72">
        <f>INDEX('8_가정'!$F$46:$F$87,MATCH($B65&amp;"|P2",'8_가정'!$A$46:$A$87,0))</f>
        <v>0.05</v>
      </c>
      <c r="L65" s="72">
        <f>INDEX('8_가정'!$G$46:$G$87,MATCH($B65&amp;"|P2",'8_가정'!$A$46:$A$87,0))</f>
        <v>0.05</v>
      </c>
      <c r="M65" s="72">
        <f>INDEX('8_가정'!$C$46:$C$87,MATCH($B65&amp;"|P3",'8_가정'!$A$46:$A$87,0))</f>
        <v>0.1</v>
      </c>
      <c r="N65" s="72">
        <f>INDEX('8_가정'!$D$46:$D$87,MATCH($B65&amp;"|P3",'8_가정'!$A$46:$A$87,0))</f>
        <v>0.1</v>
      </c>
      <c r="O65" s="72">
        <f>INDEX('8_가정'!$E$46:$E$87,MATCH($B65&amp;"|P3",'8_가정'!$A$46:$A$87,0))</f>
        <v>0.1</v>
      </c>
      <c r="P65" s="72">
        <f>INDEX('8_가정'!$F$46:$F$87,MATCH($B65&amp;"|P3",'8_가정'!$A$46:$A$87,0))</f>
        <v>0.1</v>
      </c>
      <c r="Q65" s="72">
        <f>INDEX('8_가정'!$G$46:$G$87,MATCH($B65&amp;"|P3",'8_가정'!$A$46:$A$87,0))</f>
        <v>0.1</v>
      </c>
      <c r="R65" s="72">
        <f>INDEX('8_가정'!$C$46:$C$87,MATCH($B65&amp;"|P4",'8_가정'!$A$46:$A$87,0))</f>
        <v>0</v>
      </c>
      <c r="S65" s="72">
        <f>INDEX('8_가정'!$D$46:$D$87,MATCH($B65&amp;"|P4",'8_가정'!$A$46:$A$87,0))</f>
        <v>0</v>
      </c>
      <c r="T65" s="72">
        <f>INDEX('8_가정'!$E$46:$E$87,MATCH($B65&amp;"|P4",'8_가정'!$A$46:$A$87,0))</f>
        <v>0</v>
      </c>
      <c r="U65" s="72">
        <f>INDEX('8_가정'!$F$46:$F$87,MATCH($B65&amp;"|P4",'8_가정'!$A$46:$A$87,0))</f>
        <v>0</v>
      </c>
      <c r="V65" s="72">
        <f>INDEX('8_가정'!$G$46:$G$87,MATCH($B65&amp;"|P4",'8_가정'!$A$46:$A$87,0))</f>
        <v>0</v>
      </c>
      <c r="W65" s="72">
        <f>INDEX('8_가정'!$C$46:$C$87,MATCH($B65&amp;"|P5",'8_가정'!$A$46:$A$87,0))</f>
        <v>0</v>
      </c>
      <c r="X65" s="72">
        <f>INDEX('8_가정'!$D$46:$D$87,MATCH($B65&amp;"|P5",'8_가정'!$A$46:$A$87,0))</f>
        <v>0</v>
      </c>
      <c r="Y65" s="72">
        <f>INDEX('8_가정'!$E$46:$E$87,MATCH($B65&amp;"|P5",'8_가정'!$A$46:$A$87,0))</f>
        <v>0</v>
      </c>
      <c r="Z65" s="72">
        <f>INDEX('8_가정'!$F$46:$F$87,MATCH($B65&amp;"|P5",'8_가정'!$A$46:$A$87,0))</f>
        <v>0</v>
      </c>
      <c r="AA65" s="72">
        <f>INDEX('8_가정'!$G$46:$G$87,MATCH($B65&amp;"|P5",'8_가정'!$A$46:$A$87,0))</f>
        <v>0</v>
      </c>
      <c r="AB65" s="72">
        <f>INDEX('8_가정'!$C$46:$C$87,MATCH($B65&amp;"|P6",'8_가정'!$A$46:$A$87,0))</f>
        <v>0</v>
      </c>
      <c r="AC65" s="72">
        <f>INDEX('8_가정'!$D$46:$D$87,MATCH($B65&amp;"|P6",'8_가정'!$A$46:$A$87,0))</f>
        <v>0</v>
      </c>
      <c r="AD65" s="72">
        <f>INDEX('8_가정'!$E$46:$E$87,MATCH($B65&amp;"|P6",'8_가정'!$A$46:$A$87,0))</f>
        <v>0</v>
      </c>
      <c r="AE65" s="72">
        <f>INDEX('8_가정'!$F$46:$F$87,MATCH($B65&amp;"|P6",'8_가정'!$A$46:$A$87,0))</f>
        <v>0</v>
      </c>
      <c r="AF65" s="72">
        <f>INDEX('8_가정'!$G$46:$G$87,MATCH($B65&amp;"|P6",'8_가정'!$A$46:$A$87,0))</f>
        <v>0</v>
      </c>
    </row>
    <row r="66">
      <c r="A66" s="71" t="str">
        <f>'4_매출_거래처'!D18</f>
        <v>신규 거래선-1 Swara Baby(베이비)</v>
      </c>
      <c r="B66" s="71" t="str">
        <f>'4_매출_거래처'!I18</f>
        <v>BABY</v>
      </c>
      <c r="C66" s="72">
        <f>INDEX('8_가정'!$C$46:$C$87,MATCH($B66&amp;"|P1",'8_가정'!$A$46:$A$87,0))</f>
        <v>0.85</v>
      </c>
      <c r="D66" s="72">
        <f>INDEX('8_가정'!$D$46:$D$87,MATCH($B66&amp;"|P1",'8_가정'!$A$46:$A$87,0))</f>
        <v>0.85</v>
      </c>
      <c r="E66" s="72">
        <f>INDEX('8_가정'!$E$46:$E$87,MATCH($B66&amp;"|P1",'8_가정'!$A$46:$A$87,0))</f>
        <v>0.85</v>
      </c>
      <c r="F66" s="72">
        <f>INDEX('8_가정'!$F$46:$F$87,MATCH($B66&amp;"|P1",'8_가정'!$A$46:$A$87,0))</f>
        <v>0.85</v>
      </c>
      <c r="G66" s="72">
        <f>INDEX('8_가정'!$G$46:$G$87,MATCH($B66&amp;"|P1",'8_가정'!$A$46:$A$87,0))</f>
        <v>0.85</v>
      </c>
      <c r="H66" s="72">
        <f>INDEX('8_가정'!$C$46:$C$87,MATCH($B66&amp;"|P2",'8_가정'!$A$46:$A$87,0))</f>
        <v>0.05</v>
      </c>
      <c r="I66" s="72">
        <f>INDEX('8_가정'!$D$46:$D$87,MATCH($B66&amp;"|P2",'8_가정'!$A$46:$A$87,0))</f>
        <v>0.05</v>
      </c>
      <c r="J66" s="72">
        <f>INDEX('8_가정'!$E$46:$E$87,MATCH($B66&amp;"|P2",'8_가정'!$A$46:$A$87,0))</f>
        <v>0.05</v>
      </c>
      <c r="K66" s="72">
        <f>INDEX('8_가정'!$F$46:$F$87,MATCH($B66&amp;"|P2",'8_가정'!$A$46:$A$87,0))</f>
        <v>0.05</v>
      </c>
      <c r="L66" s="72">
        <f>INDEX('8_가정'!$G$46:$G$87,MATCH($B66&amp;"|P2",'8_가정'!$A$46:$A$87,0))</f>
        <v>0.05</v>
      </c>
      <c r="M66" s="72">
        <f>INDEX('8_가정'!$C$46:$C$87,MATCH($B66&amp;"|P3",'8_가정'!$A$46:$A$87,0))</f>
        <v>0.1</v>
      </c>
      <c r="N66" s="72">
        <f>INDEX('8_가정'!$D$46:$D$87,MATCH($B66&amp;"|P3",'8_가정'!$A$46:$A$87,0))</f>
        <v>0.1</v>
      </c>
      <c r="O66" s="72">
        <f>INDEX('8_가정'!$E$46:$E$87,MATCH($B66&amp;"|P3",'8_가정'!$A$46:$A$87,0))</f>
        <v>0.1</v>
      </c>
      <c r="P66" s="72">
        <f>INDEX('8_가정'!$F$46:$F$87,MATCH($B66&amp;"|P3",'8_가정'!$A$46:$A$87,0))</f>
        <v>0.1</v>
      </c>
      <c r="Q66" s="72">
        <f>INDEX('8_가정'!$G$46:$G$87,MATCH($B66&amp;"|P3",'8_가정'!$A$46:$A$87,0))</f>
        <v>0.1</v>
      </c>
      <c r="R66" s="72">
        <f>INDEX('8_가정'!$C$46:$C$87,MATCH($B66&amp;"|P4",'8_가정'!$A$46:$A$87,0))</f>
        <v>0</v>
      </c>
      <c r="S66" s="72">
        <f>INDEX('8_가정'!$D$46:$D$87,MATCH($B66&amp;"|P4",'8_가정'!$A$46:$A$87,0))</f>
        <v>0</v>
      </c>
      <c r="T66" s="72">
        <f>INDEX('8_가정'!$E$46:$E$87,MATCH($B66&amp;"|P4",'8_가정'!$A$46:$A$87,0))</f>
        <v>0</v>
      </c>
      <c r="U66" s="72">
        <f>INDEX('8_가정'!$F$46:$F$87,MATCH($B66&amp;"|P4",'8_가정'!$A$46:$A$87,0))</f>
        <v>0</v>
      </c>
      <c r="V66" s="72">
        <f>INDEX('8_가정'!$G$46:$G$87,MATCH($B66&amp;"|P4",'8_가정'!$A$46:$A$87,0))</f>
        <v>0</v>
      </c>
      <c r="W66" s="72">
        <f>INDEX('8_가정'!$C$46:$C$87,MATCH($B66&amp;"|P5",'8_가정'!$A$46:$A$87,0))</f>
        <v>0</v>
      </c>
      <c r="X66" s="72">
        <f>INDEX('8_가정'!$D$46:$D$87,MATCH($B66&amp;"|P5",'8_가정'!$A$46:$A$87,0))</f>
        <v>0</v>
      </c>
      <c r="Y66" s="72">
        <f>INDEX('8_가정'!$E$46:$E$87,MATCH($B66&amp;"|P5",'8_가정'!$A$46:$A$87,0))</f>
        <v>0</v>
      </c>
      <c r="Z66" s="72">
        <f>INDEX('8_가정'!$F$46:$F$87,MATCH($B66&amp;"|P5",'8_가정'!$A$46:$A$87,0))</f>
        <v>0</v>
      </c>
      <c r="AA66" s="72">
        <f>INDEX('8_가정'!$G$46:$G$87,MATCH($B66&amp;"|P5",'8_가정'!$A$46:$A$87,0))</f>
        <v>0</v>
      </c>
      <c r="AB66" s="72">
        <f>INDEX('8_가정'!$C$46:$C$87,MATCH($B66&amp;"|P6",'8_가정'!$A$46:$A$87,0))</f>
        <v>0</v>
      </c>
      <c r="AC66" s="72">
        <f>INDEX('8_가정'!$D$46:$D$87,MATCH($B66&amp;"|P6",'8_가정'!$A$46:$A$87,0))</f>
        <v>0</v>
      </c>
      <c r="AD66" s="72">
        <f>INDEX('8_가정'!$E$46:$E$87,MATCH($B66&amp;"|P6",'8_가정'!$A$46:$A$87,0))</f>
        <v>0</v>
      </c>
      <c r="AE66" s="72">
        <f>INDEX('8_가정'!$F$46:$F$87,MATCH($B66&amp;"|P6",'8_가정'!$A$46:$A$87,0))</f>
        <v>0</v>
      </c>
      <c r="AF66" s="72">
        <f>INDEX('8_가정'!$G$46:$G$87,MATCH($B66&amp;"|P6",'8_가정'!$A$46:$A$87,0))</f>
        <v>0</v>
      </c>
    </row>
    <row r="67">
      <c r="A67" s="71" t="str">
        <f>'4_매출_거래처'!D19</f>
        <v>신규 거래선-2(베이비)</v>
      </c>
      <c r="B67" s="71" t="str">
        <f>'4_매출_거래처'!I19</f>
        <v>BABY</v>
      </c>
      <c r="C67" s="72">
        <f>INDEX('8_가정'!$C$46:$C$87,MATCH($B67&amp;"|P1",'8_가정'!$A$46:$A$87,0))</f>
        <v>0.85</v>
      </c>
      <c r="D67" s="72">
        <f>INDEX('8_가정'!$D$46:$D$87,MATCH($B67&amp;"|P1",'8_가정'!$A$46:$A$87,0))</f>
        <v>0.85</v>
      </c>
      <c r="E67" s="72">
        <f>INDEX('8_가정'!$E$46:$E$87,MATCH($B67&amp;"|P1",'8_가정'!$A$46:$A$87,0))</f>
        <v>0.85</v>
      </c>
      <c r="F67" s="72">
        <f>INDEX('8_가정'!$F$46:$F$87,MATCH($B67&amp;"|P1",'8_가정'!$A$46:$A$87,0))</f>
        <v>0.85</v>
      </c>
      <c r="G67" s="72">
        <f>INDEX('8_가정'!$G$46:$G$87,MATCH($B67&amp;"|P1",'8_가정'!$A$46:$A$87,0))</f>
        <v>0.85</v>
      </c>
      <c r="H67" s="72">
        <f>INDEX('8_가정'!$C$46:$C$87,MATCH($B67&amp;"|P2",'8_가정'!$A$46:$A$87,0))</f>
        <v>0.05</v>
      </c>
      <c r="I67" s="72">
        <f>INDEX('8_가정'!$D$46:$D$87,MATCH($B67&amp;"|P2",'8_가정'!$A$46:$A$87,0))</f>
        <v>0.05</v>
      </c>
      <c r="J67" s="72">
        <f>INDEX('8_가정'!$E$46:$E$87,MATCH($B67&amp;"|P2",'8_가정'!$A$46:$A$87,0))</f>
        <v>0.05</v>
      </c>
      <c r="K67" s="72">
        <f>INDEX('8_가정'!$F$46:$F$87,MATCH($B67&amp;"|P2",'8_가정'!$A$46:$A$87,0))</f>
        <v>0.05</v>
      </c>
      <c r="L67" s="72">
        <f>INDEX('8_가정'!$G$46:$G$87,MATCH($B67&amp;"|P2",'8_가정'!$A$46:$A$87,0))</f>
        <v>0.05</v>
      </c>
      <c r="M67" s="72">
        <f>INDEX('8_가정'!$C$46:$C$87,MATCH($B67&amp;"|P3",'8_가정'!$A$46:$A$87,0))</f>
        <v>0.1</v>
      </c>
      <c r="N67" s="72">
        <f>INDEX('8_가정'!$D$46:$D$87,MATCH($B67&amp;"|P3",'8_가정'!$A$46:$A$87,0))</f>
        <v>0.1</v>
      </c>
      <c r="O67" s="72">
        <f>INDEX('8_가정'!$E$46:$E$87,MATCH($B67&amp;"|P3",'8_가정'!$A$46:$A$87,0))</f>
        <v>0.1</v>
      </c>
      <c r="P67" s="72">
        <f>INDEX('8_가정'!$F$46:$F$87,MATCH($B67&amp;"|P3",'8_가정'!$A$46:$A$87,0))</f>
        <v>0.1</v>
      </c>
      <c r="Q67" s="72">
        <f>INDEX('8_가정'!$G$46:$G$87,MATCH($B67&amp;"|P3",'8_가정'!$A$46:$A$87,0))</f>
        <v>0.1</v>
      </c>
      <c r="R67" s="72">
        <f>INDEX('8_가정'!$C$46:$C$87,MATCH($B67&amp;"|P4",'8_가정'!$A$46:$A$87,0))</f>
        <v>0</v>
      </c>
      <c r="S67" s="72">
        <f>INDEX('8_가정'!$D$46:$D$87,MATCH($B67&amp;"|P4",'8_가정'!$A$46:$A$87,0))</f>
        <v>0</v>
      </c>
      <c r="T67" s="72">
        <f>INDEX('8_가정'!$E$46:$E$87,MATCH($B67&amp;"|P4",'8_가정'!$A$46:$A$87,0))</f>
        <v>0</v>
      </c>
      <c r="U67" s="72">
        <f>INDEX('8_가정'!$F$46:$F$87,MATCH($B67&amp;"|P4",'8_가정'!$A$46:$A$87,0))</f>
        <v>0</v>
      </c>
      <c r="V67" s="72">
        <f>INDEX('8_가정'!$G$46:$G$87,MATCH($B67&amp;"|P4",'8_가정'!$A$46:$A$87,0))</f>
        <v>0</v>
      </c>
      <c r="W67" s="72">
        <f>INDEX('8_가정'!$C$46:$C$87,MATCH($B67&amp;"|P5",'8_가정'!$A$46:$A$87,0))</f>
        <v>0</v>
      </c>
      <c r="X67" s="72">
        <f>INDEX('8_가정'!$D$46:$D$87,MATCH($B67&amp;"|P5",'8_가정'!$A$46:$A$87,0))</f>
        <v>0</v>
      </c>
      <c r="Y67" s="72">
        <f>INDEX('8_가정'!$E$46:$E$87,MATCH($B67&amp;"|P5",'8_가정'!$A$46:$A$87,0))</f>
        <v>0</v>
      </c>
      <c r="Z67" s="72">
        <f>INDEX('8_가정'!$F$46:$F$87,MATCH($B67&amp;"|P5",'8_가정'!$A$46:$A$87,0))</f>
        <v>0</v>
      </c>
      <c r="AA67" s="72">
        <f>INDEX('8_가정'!$G$46:$G$87,MATCH($B67&amp;"|P5",'8_가정'!$A$46:$A$87,0))</f>
        <v>0</v>
      </c>
      <c r="AB67" s="72">
        <f>INDEX('8_가정'!$C$46:$C$87,MATCH($B67&amp;"|P6",'8_가정'!$A$46:$A$87,0))</f>
        <v>0</v>
      </c>
      <c r="AC67" s="72">
        <f>INDEX('8_가정'!$D$46:$D$87,MATCH($B67&amp;"|P6",'8_가정'!$A$46:$A$87,0))</f>
        <v>0</v>
      </c>
      <c r="AD67" s="72">
        <f>INDEX('8_가정'!$E$46:$E$87,MATCH($B67&amp;"|P6",'8_가정'!$A$46:$A$87,0))</f>
        <v>0</v>
      </c>
      <c r="AE67" s="72">
        <f>INDEX('8_가정'!$F$46:$F$87,MATCH($B67&amp;"|P6",'8_가정'!$A$46:$A$87,0))</f>
        <v>0</v>
      </c>
      <c r="AF67" s="72">
        <f>INDEX('8_가정'!$G$46:$G$87,MATCH($B67&amp;"|P6",'8_가정'!$A$46:$A$87,0))</f>
        <v>0</v>
      </c>
    </row>
    <row r="68">
      <c r="A68" s="71" t="str">
        <f>'4_매출_거래처'!D20</f>
        <v>삼성노블카운티</v>
      </c>
      <c r="B68" s="71" t="str">
        <f>'4_매출_거래처'!I20</f>
        <v>SUB</v>
      </c>
      <c r="C68" s="72">
        <f>INDEX('8_가정'!$C$46:$C$87,MATCH($B68&amp;"|P1",'8_가정'!$A$46:$A$87,0))</f>
        <v>0.8</v>
      </c>
      <c r="D68" s="72">
        <f>INDEX('8_가정'!$D$46:$D$87,MATCH($B68&amp;"|P1",'8_가정'!$A$46:$A$87,0))</f>
        <v>0.78</v>
      </c>
      <c r="E68" s="72">
        <f>INDEX('8_가정'!$E$46:$E$87,MATCH($B68&amp;"|P1",'8_가정'!$A$46:$A$87,0))</f>
        <v>0.74</v>
      </c>
      <c r="F68" s="72">
        <f>INDEX('8_가정'!$F$46:$F$87,MATCH($B68&amp;"|P1",'8_가정'!$A$46:$A$87,0))</f>
        <v>0.7</v>
      </c>
      <c r="G68" s="72">
        <f>INDEX('8_가정'!$G$46:$G$87,MATCH($B68&amp;"|P1",'8_가정'!$A$46:$A$87,0))</f>
        <v>0.67</v>
      </c>
      <c r="H68" s="72">
        <f>INDEX('8_가정'!$C$46:$C$87,MATCH($B68&amp;"|P2",'8_가정'!$A$46:$A$87,0))</f>
        <v>0.08</v>
      </c>
      <c r="I68" s="72">
        <f>INDEX('8_가정'!$D$46:$D$87,MATCH($B68&amp;"|P2",'8_가정'!$A$46:$A$87,0))</f>
        <v>0.08</v>
      </c>
      <c r="J68" s="72">
        <f>INDEX('8_가정'!$E$46:$E$87,MATCH($B68&amp;"|P2",'8_가정'!$A$46:$A$87,0))</f>
        <v>0.08</v>
      </c>
      <c r="K68" s="72">
        <f>INDEX('8_가정'!$F$46:$F$87,MATCH($B68&amp;"|P2",'8_가정'!$A$46:$A$87,0))</f>
        <v>0.08</v>
      </c>
      <c r="L68" s="72">
        <f>INDEX('8_가정'!$G$46:$G$87,MATCH($B68&amp;"|P2",'8_가정'!$A$46:$A$87,0))</f>
        <v>0.08</v>
      </c>
      <c r="M68" s="72">
        <f>INDEX('8_가정'!$C$46:$C$87,MATCH($B68&amp;"|P3",'8_가정'!$A$46:$A$87,0))</f>
        <v>0.12</v>
      </c>
      <c r="N68" s="72">
        <f>INDEX('8_가정'!$D$46:$D$87,MATCH($B68&amp;"|P3",'8_가정'!$A$46:$A$87,0))</f>
        <v>0.11</v>
      </c>
      <c r="O68" s="72">
        <f>INDEX('8_가정'!$E$46:$E$87,MATCH($B68&amp;"|P3",'8_가정'!$A$46:$A$87,0))</f>
        <v>0.12</v>
      </c>
      <c r="P68" s="72">
        <f>INDEX('8_가정'!$F$46:$F$87,MATCH($B68&amp;"|P3",'8_가정'!$A$46:$A$87,0))</f>
        <v>0.12</v>
      </c>
      <c r="Q68" s="72">
        <f>INDEX('8_가정'!$G$46:$G$87,MATCH($B68&amp;"|P3",'8_가정'!$A$46:$A$87,0))</f>
        <v>0.12</v>
      </c>
      <c r="R68" s="72">
        <f>INDEX('8_가정'!$C$46:$C$87,MATCH($B68&amp;"|P4",'8_가정'!$A$46:$A$87,0))</f>
        <v>0</v>
      </c>
      <c r="S68" s="72">
        <f>INDEX('8_가정'!$D$46:$D$87,MATCH($B68&amp;"|P4",'8_가정'!$A$46:$A$87,0))</f>
        <v>0.03</v>
      </c>
      <c r="T68" s="72">
        <f>INDEX('8_가정'!$E$46:$E$87,MATCH($B68&amp;"|P4",'8_가정'!$A$46:$A$87,0))</f>
        <v>0.05</v>
      </c>
      <c r="U68" s="72">
        <f>INDEX('8_가정'!$F$46:$F$87,MATCH($B68&amp;"|P4",'8_가정'!$A$46:$A$87,0))</f>
        <v>0.07</v>
      </c>
      <c r="V68" s="72">
        <f>INDEX('8_가정'!$G$46:$G$87,MATCH($B68&amp;"|P4",'8_가정'!$A$46:$A$87,0))</f>
        <v>0.09</v>
      </c>
      <c r="W68" s="72">
        <f>INDEX('8_가정'!$C$46:$C$87,MATCH($B68&amp;"|P5",'8_가정'!$A$46:$A$87,0))</f>
        <v>0</v>
      </c>
      <c r="X68" s="72">
        <f>INDEX('8_가정'!$D$46:$D$87,MATCH($B68&amp;"|P5",'8_가정'!$A$46:$A$87,0))</f>
        <v>0</v>
      </c>
      <c r="Y68" s="72">
        <f>INDEX('8_가정'!$E$46:$E$87,MATCH($B68&amp;"|P5",'8_가정'!$A$46:$A$87,0))</f>
        <v>0.01</v>
      </c>
      <c r="Z68" s="72">
        <f>INDEX('8_가정'!$F$46:$F$87,MATCH($B68&amp;"|P5",'8_가정'!$A$46:$A$87,0))</f>
        <v>0.03</v>
      </c>
      <c r="AA68" s="72">
        <f>INDEX('8_가정'!$G$46:$G$87,MATCH($B68&amp;"|P5",'8_가정'!$A$46:$A$87,0))</f>
        <v>0.04</v>
      </c>
      <c r="AB68" s="72">
        <f>INDEX('8_가정'!$C$46:$C$87,MATCH($B68&amp;"|P6",'8_가정'!$A$46:$A$87,0))</f>
        <v>0</v>
      </c>
      <c r="AC68" s="72">
        <f>INDEX('8_가정'!$D$46:$D$87,MATCH($B68&amp;"|P6",'8_가정'!$A$46:$A$87,0))</f>
        <v>0</v>
      </c>
      <c r="AD68" s="72">
        <f>INDEX('8_가정'!$E$46:$E$87,MATCH($B68&amp;"|P6",'8_가정'!$A$46:$A$87,0))</f>
        <v>0</v>
      </c>
      <c r="AE68" s="72">
        <f>INDEX('8_가정'!$F$46:$F$87,MATCH($B68&amp;"|P6",'8_가정'!$A$46:$A$87,0))</f>
        <v>0</v>
      </c>
      <c r="AF68" s="72">
        <f>INDEX('8_가정'!$G$46:$G$87,MATCH($B68&amp;"|P6",'8_가정'!$A$46:$A$87,0))</f>
        <v>0</v>
      </c>
    </row>
    <row r="69">
      <c r="A69" s="71" t="str">
        <f>'4_매출_거래처'!D21</f>
        <v>국내 요양병원·시설 구독 매출</v>
      </c>
      <c r="B69" s="71" t="str">
        <f>'4_매출_거래처'!I21</f>
        <v>SUB</v>
      </c>
      <c r="C69" s="72">
        <f>INDEX('8_가정'!$C$46:$C$87,MATCH($B69&amp;"|P1",'8_가정'!$A$46:$A$87,0))</f>
        <v>0.8</v>
      </c>
      <c r="D69" s="72">
        <f>INDEX('8_가정'!$D$46:$D$87,MATCH($B69&amp;"|P1",'8_가정'!$A$46:$A$87,0))</f>
        <v>0.78</v>
      </c>
      <c r="E69" s="72">
        <f>INDEX('8_가정'!$E$46:$E$87,MATCH($B69&amp;"|P1",'8_가정'!$A$46:$A$87,0))</f>
        <v>0.74</v>
      </c>
      <c r="F69" s="72">
        <f>INDEX('8_가정'!$F$46:$F$87,MATCH($B69&amp;"|P1",'8_가정'!$A$46:$A$87,0))</f>
        <v>0.7</v>
      </c>
      <c r="G69" s="72">
        <f>INDEX('8_가정'!$G$46:$G$87,MATCH($B69&amp;"|P1",'8_가정'!$A$46:$A$87,0))</f>
        <v>0.67</v>
      </c>
      <c r="H69" s="72">
        <f>INDEX('8_가정'!$C$46:$C$87,MATCH($B69&amp;"|P2",'8_가정'!$A$46:$A$87,0))</f>
        <v>0.08</v>
      </c>
      <c r="I69" s="72">
        <f>INDEX('8_가정'!$D$46:$D$87,MATCH($B69&amp;"|P2",'8_가정'!$A$46:$A$87,0))</f>
        <v>0.08</v>
      </c>
      <c r="J69" s="72">
        <f>INDEX('8_가정'!$E$46:$E$87,MATCH($B69&amp;"|P2",'8_가정'!$A$46:$A$87,0))</f>
        <v>0.08</v>
      </c>
      <c r="K69" s="72">
        <f>INDEX('8_가정'!$F$46:$F$87,MATCH($B69&amp;"|P2",'8_가정'!$A$46:$A$87,0))</f>
        <v>0.08</v>
      </c>
      <c r="L69" s="72">
        <f>INDEX('8_가정'!$G$46:$G$87,MATCH($B69&amp;"|P2",'8_가정'!$A$46:$A$87,0))</f>
        <v>0.08</v>
      </c>
      <c r="M69" s="72">
        <f>INDEX('8_가정'!$C$46:$C$87,MATCH($B69&amp;"|P3",'8_가정'!$A$46:$A$87,0))</f>
        <v>0.12</v>
      </c>
      <c r="N69" s="72">
        <f>INDEX('8_가정'!$D$46:$D$87,MATCH($B69&amp;"|P3",'8_가정'!$A$46:$A$87,0))</f>
        <v>0.11</v>
      </c>
      <c r="O69" s="72">
        <f>INDEX('8_가정'!$E$46:$E$87,MATCH($B69&amp;"|P3",'8_가정'!$A$46:$A$87,0))</f>
        <v>0.12</v>
      </c>
      <c r="P69" s="72">
        <f>INDEX('8_가정'!$F$46:$F$87,MATCH($B69&amp;"|P3",'8_가정'!$A$46:$A$87,0))</f>
        <v>0.12</v>
      </c>
      <c r="Q69" s="72">
        <f>INDEX('8_가정'!$G$46:$G$87,MATCH($B69&amp;"|P3",'8_가정'!$A$46:$A$87,0))</f>
        <v>0.12</v>
      </c>
      <c r="R69" s="72">
        <f>INDEX('8_가정'!$C$46:$C$87,MATCH($B69&amp;"|P4",'8_가정'!$A$46:$A$87,0))</f>
        <v>0</v>
      </c>
      <c r="S69" s="72">
        <f>INDEX('8_가정'!$D$46:$D$87,MATCH($B69&amp;"|P4",'8_가정'!$A$46:$A$87,0))</f>
        <v>0.03</v>
      </c>
      <c r="T69" s="72">
        <f>INDEX('8_가정'!$E$46:$E$87,MATCH($B69&amp;"|P4",'8_가정'!$A$46:$A$87,0))</f>
        <v>0.05</v>
      </c>
      <c r="U69" s="72">
        <f>INDEX('8_가정'!$F$46:$F$87,MATCH($B69&amp;"|P4",'8_가정'!$A$46:$A$87,0))</f>
        <v>0.07</v>
      </c>
      <c r="V69" s="72">
        <f>INDEX('8_가정'!$G$46:$G$87,MATCH($B69&amp;"|P4",'8_가정'!$A$46:$A$87,0))</f>
        <v>0.09</v>
      </c>
      <c r="W69" s="72">
        <f>INDEX('8_가정'!$C$46:$C$87,MATCH($B69&amp;"|P5",'8_가정'!$A$46:$A$87,0))</f>
        <v>0</v>
      </c>
      <c r="X69" s="72">
        <f>INDEX('8_가정'!$D$46:$D$87,MATCH($B69&amp;"|P5",'8_가정'!$A$46:$A$87,0))</f>
        <v>0</v>
      </c>
      <c r="Y69" s="72">
        <f>INDEX('8_가정'!$E$46:$E$87,MATCH($B69&amp;"|P5",'8_가정'!$A$46:$A$87,0))</f>
        <v>0.01</v>
      </c>
      <c r="Z69" s="72">
        <f>INDEX('8_가정'!$F$46:$F$87,MATCH($B69&amp;"|P5",'8_가정'!$A$46:$A$87,0))</f>
        <v>0.03</v>
      </c>
      <c r="AA69" s="72">
        <f>INDEX('8_가정'!$G$46:$G$87,MATCH($B69&amp;"|P5",'8_가정'!$A$46:$A$87,0))</f>
        <v>0.04</v>
      </c>
      <c r="AB69" s="72">
        <f>INDEX('8_가정'!$C$46:$C$87,MATCH($B69&amp;"|P6",'8_가정'!$A$46:$A$87,0))</f>
        <v>0</v>
      </c>
      <c r="AC69" s="72">
        <f>INDEX('8_가정'!$D$46:$D$87,MATCH($B69&amp;"|P6",'8_가정'!$A$46:$A$87,0))</f>
        <v>0</v>
      </c>
      <c r="AD69" s="72">
        <f>INDEX('8_가정'!$E$46:$E$87,MATCH($B69&amp;"|P6",'8_가정'!$A$46:$A$87,0))</f>
        <v>0</v>
      </c>
      <c r="AE69" s="72">
        <f>INDEX('8_가정'!$F$46:$F$87,MATCH($B69&amp;"|P6",'8_가정'!$A$46:$A$87,0))</f>
        <v>0</v>
      </c>
      <c r="AF69" s="72">
        <f>INDEX('8_가정'!$G$46:$G$87,MATCH($B69&amp;"|P6",'8_가정'!$A$46:$A$87,0))</f>
        <v>0</v>
      </c>
    </row>
    <row r="70">
      <c r="A70" s="71" t="str">
        <f>'4_매출_거래처'!D22</f>
        <v>피플앤피플 실증사업</v>
      </c>
      <c r="B70" s="71" t="str">
        <f>'4_매출_거래처'!I22</f>
        <v>RND</v>
      </c>
      <c r="C70" s="72">
        <f>INDEX('8_가정'!$C$46:$C$87,MATCH($B70&amp;"|P1",'8_가정'!$A$46:$A$87,0))</f>
        <v>0</v>
      </c>
      <c r="D70" s="72">
        <f>INDEX('8_가정'!$D$46:$D$87,MATCH($B70&amp;"|P1",'8_가정'!$A$46:$A$87,0))</f>
        <v>0</v>
      </c>
      <c r="E70" s="72">
        <f>INDEX('8_가정'!$E$46:$E$87,MATCH($B70&amp;"|P1",'8_가정'!$A$46:$A$87,0))</f>
        <v>0</v>
      </c>
      <c r="F70" s="72">
        <f>INDEX('8_가정'!$F$46:$F$87,MATCH($B70&amp;"|P1",'8_가정'!$A$46:$A$87,0))</f>
        <v>0</v>
      </c>
      <c r="G70" s="72">
        <f>INDEX('8_가정'!$G$46:$G$87,MATCH($B70&amp;"|P1",'8_가정'!$A$46:$A$87,0))</f>
        <v>0</v>
      </c>
      <c r="H70" s="72">
        <f>INDEX('8_가정'!$C$46:$C$87,MATCH($B70&amp;"|P2",'8_가정'!$A$46:$A$87,0))</f>
        <v>0</v>
      </c>
      <c r="I70" s="72">
        <f>INDEX('8_가정'!$D$46:$D$87,MATCH($B70&amp;"|P2",'8_가정'!$A$46:$A$87,0))</f>
        <v>0</v>
      </c>
      <c r="J70" s="72">
        <f>INDEX('8_가정'!$E$46:$E$87,MATCH($B70&amp;"|P2",'8_가정'!$A$46:$A$87,0))</f>
        <v>0</v>
      </c>
      <c r="K70" s="72">
        <f>INDEX('8_가정'!$F$46:$F$87,MATCH($B70&amp;"|P2",'8_가정'!$A$46:$A$87,0))</f>
        <v>0</v>
      </c>
      <c r="L70" s="72">
        <f>INDEX('8_가정'!$G$46:$G$87,MATCH($B70&amp;"|P2",'8_가정'!$A$46:$A$87,0))</f>
        <v>0</v>
      </c>
      <c r="M70" s="72">
        <f>INDEX('8_가정'!$C$46:$C$87,MATCH($B70&amp;"|P3",'8_가정'!$A$46:$A$87,0))</f>
        <v>0</v>
      </c>
      <c r="N70" s="72">
        <f>INDEX('8_가정'!$D$46:$D$87,MATCH($B70&amp;"|P3",'8_가정'!$A$46:$A$87,0))</f>
        <v>0</v>
      </c>
      <c r="O70" s="72">
        <f>INDEX('8_가정'!$E$46:$E$87,MATCH($B70&amp;"|P3",'8_가정'!$A$46:$A$87,0))</f>
        <v>0</v>
      </c>
      <c r="P70" s="72">
        <f>INDEX('8_가정'!$F$46:$F$87,MATCH($B70&amp;"|P3",'8_가정'!$A$46:$A$87,0))</f>
        <v>0</v>
      </c>
      <c r="Q70" s="72">
        <f>INDEX('8_가정'!$G$46:$G$87,MATCH($B70&amp;"|P3",'8_가정'!$A$46:$A$87,0))</f>
        <v>0</v>
      </c>
      <c r="R70" s="72">
        <f>INDEX('8_가정'!$C$46:$C$87,MATCH($B70&amp;"|P4",'8_가정'!$A$46:$A$87,0))</f>
        <v>0</v>
      </c>
      <c r="S70" s="72">
        <f>INDEX('8_가정'!$D$46:$D$87,MATCH($B70&amp;"|P4",'8_가정'!$A$46:$A$87,0))</f>
        <v>0</v>
      </c>
      <c r="T70" s="72">
        <f>INDEX('8_가정'!$E$46:$E$87,MATCH($B70&amp;"|P4",'8_가정'!$A$46:$A$87,0))</f>
        <v>0</v>
      </c>
      <c r="U70" s="72">
        <f>INDEX('8_가정'!$F$46:$F$87,MATCH($B70&amp;"|P4",'8_가정'!$A$46:$A$87,0))</f>
        <v>0</v>
      </c>
      <c r="V70" s="72">
        <f>INDEX('8_가정'!$G$46:$G$87,MATCH($B70&amp;"|P4",'8_가정'!$A$46:$A$87,0))</f>
        <v>0</v>
      </c>
      <c r="W70" s="72">
        <f>INDEX('8_가정'!$C$46:$C$87,MATCH($B70&amp;"|P5",'8_가정'!$A$46:$A$87,0))</f>
        <v>0</v>
      </c>
      <c r="X70" s="72">
        <f>INDEX('8_가정'!$D$46:$D$87,MATCH($B70&amp;"|P5",'8_가정'!$A$46:$A$87,0))</f>
        <v>0</v>
      </c>
      <c r="Y70" s="72">
        <f>INDEX('8_가정'!$E$46:$E$87,MATCH($B70&amp;"|P5",'8_가정'!$A$46:$A$87,0))</f>
        <v>0</v>
      </c>
      <c r="Z70" s="72">
        <f>INDEX('8_가정'!$F$46:$F$87,MATCH($B70&amp;"|P5",'8_가정'!$A$46:$A$87,0))</f>
        <v>0</v>
      </c>
      <c r="AA70" s="72">
        <f>INDEX('8_가정'!$G$46:$G$87,MATCH($B70&amp;"|P5",'8_가정'!$A$46:$A$87,0))</f>
        <v>0</v>
      </c>
      <c r="AB70" s="72">
        <f>INDEX('8_가정'!$C$46:$C$87,MATCH($B70&amp;"|P6",'8_가정'!$A$46:$A$87,0))</f>
        <v>1</v>
      </c>
      <c r="AC70" s="72">
        <f>INDEX('8_가정'!$D$46:$D$87,MATCH($B70&amp;"|P6",'8_가정'!$A$46:$A$87,0))</f>
        <v>1</v>
      </c>
      <c r="AD70" s="72">
        <f>INDEX('8_가정'!$E$46:$E$87,MATCH($B70&amp;"|P6",'8_가정'!$A$46:$A$87,0))</f>
        <v>1</v>
      </c>
      <c r="AE70" s="72">
        <f>INDEX('8_가정'!$F$46:$F$87,MATCH($B70&amp;"|P6",'8_가정'!$A$46:$A$87,0))</f>
        <v>1</v>
      </c>
      <c r="AF70" s="72">
        <f>INDEX('8_가정'!$G$46:$G$87,MATCH($B70&amp;"|P6",'8_가정'!$A$46:$A$87,0))</f>
        <v>1</v>
      </c>
    </row>
    <row r="71">
      <c r="A71" s="71" t="str">
        <f>'4_매출_거래처'!D23</f>
        <v>네이버 — 엘더리</v>
      </c>
      <c r="B71" s="71" t="str">
        <f>'4_매출_거래처'!I23</f>
        <v>SUB</v>
      </c>
      <c r="C71" s="72">
        <f>INDEX('8_가정'!$C$46:$C$87,MATCH($B71&amp;"|P1",'8_가정'!$A$46:$A$87,0))</f>
        <v>0.8</v>
      </c>
      <c r="D71" s="72">
        <f>INDEX('8_가정'!$D$46:$D$87,MATCH($B71&amp;"|P1",'8_가정'!$A$46:$A$87,0))</f>
        <v>0.78</v>
      </c>
      <c r="E71" s="72">
        <f>INDEX('8_가정'!$E$46:$E$87,MATCH($B71&amp;"|P1",'8_가정'!$A$46:$A$87,0))</f>
        <v>0.74</v>
      </c>
      <c r="F71" s="72">
        <f>INDEX('8_가정'!$F$46:$F$87,MATCH($B71&amp;"|P1",'8_가정'!$A$46:$A$87,0))</f>
        <v>0.7</v>
      </c>
      <c r="G71" s="72">
        <f>INDEX('8_가정'!$G$46:$G$87,MATCH($B71&amp;"|P1",'8_가정'!$A$46:$A$87,0))</f>
        <v>0.67</v>
      </c>
      <c r="H71" s="72">
        <f>INDEX('8_가정'!$C$46:$C$87,MATCH($B71&amp;"|P2",'8_가정'!$A$46:$A$87,0))</f>
        <v>0.08</v>
      </c>
      <c r="I71" s="72">
        <f>INDEX('8_가정'!$D$46:$D$87,MATCH($B71&amp;"|P2",'8_가정'!$A$46:$A$87,0))</f>
        <v>0.08</v>
      </c>
      <c r="J71" s="72">
        <f>INDEX('8_가정'!$E$46:$E$87,MATCH($B71&amp;"|P2",'8_가정'!$A$46:$A$87,0))</f>
        <v>0.08</v>
      </c>
      <c r="K71" s="72">
        <f>INDEX('8_가정'!$F$46:$F$87,MATCH($B71&amp;"|P2",'8_가정'!$A$46:$A$87,0))</f>
        <v>0.08</v>
      </c>
      <c r="L71" s="72">
        <f>INDEX('8_가정'!$G$46:$G$87,MATCH($B71&amp;"|P2",'8_가정'!$A$46:$A$87,0))</f>
        <v>0.08</v>
      </c>
      <c r="M71" s="72">
        <f>INDEX('8_가정'!$C$46:$C$87,MATCH($B71&amp;"|P3",'8_가정'!$A$46:$A$87,0))</f>
        <v>0.12</v>
      </c>
      <c r="N71" s="72">
        <f>INDEX('8_가정'!$D$46:$D$87,MATCH($B71&amp;"|P3",'8_가정'!$A$46:$A$87,0))</f>
        <v>0.11</v>
      </c>
      <c r="O71" s="72">
        <f>INDEX('8_가정'!$E$46:$E$87,MATCH($B71&amp;"|P3",'8_가정'!$A$46:$A$87,0))</f>
        <v>0.12</v>
      </c>
      <c r="P71" s="72">
        <f>INDEX('8_가정'!$F$46:$F$87,MATCH($B71&amp;"|P3",'8_가정'!$A$46:$A$87,0))</f>
        <v>0.12</v>
      </c>
      <c r="Q71" s="72">
        <f>INDEX('8_가정'!$G$46:$G$87,MATCH($B71&amp;"|P3",'8_가정'!$A$46:$A$87,0))</f>
        <v>0.12</v>
      </c>
      <c r="R71" s="72">
        <f>INDEX('8_가정'!$C$46:$C$87,MATCH($B71&amp;"|P4",'8_가정'!$A$46:$A$87,0))</f>
        <v>0</v>
      </c>
      <c r="S71" s="72">
        <f>INDEX('8_가정'!$D$46:$D$87,MATCH($B71&amp;"|P4",'8_가정'!$A$46:$A$87,0))</f>
        <v>0.03</v>
      </c>
      <c r="T71" s="72">
        <f>INDEX('8_가정'!$E$46:$E$87,MATCH($B71&amp;"|P4",'8_가정'!$A$46:$A$87,0))</f>
        <v>0.05</v>
      </c>
      <c r="U71" s="72">
        <f>INDEX('8_가정'!$F$46:$F$87,MATCH($B71&amp;"|P4",'8_가정'!$A$46:$A$87,0))</f>
        <v>0.07</v>
      </c>
      <c r="V71" s="72">
        <f>INDEX('8_가정'!$G$46:$G$87,MATCH($B71&amp;"|P4",'8_가정'!$A$46:$A$87,0))</f>
        <v>0.09</v>
      </c>
      <c r="W71" s="72">
        <f>INDEX('8_가정'!$C$46:$C$87,MATCH($B71&amp;"|P5",'8_가정'!$A$46:$A$87,0))</f>
        <v>0</v>
      </c>
      <c r="X71" s="72">
        <f>INDEX('8_가정'!$D$46:$D$87,MATCH($B71&amp;"|P5",'8_가정'!$A$46:$A$87,0))</f>
        <v>0</v>
      </c>
      <c r="Y71" s="72">
        <f>INDEX('8_가정'!$E$46:$E$87,MATCH($B71&amp;"|P5",'8_가정'!$A$46:$A$87,0))</f>
        <v>0.01</v>
      </c>
      <c r="Z71" s="72">
        <f>INDEX('8_가정'!$F$46:$F$87,MATCH($B71&amp;"|P5",'8_가정'!$A$46:$A$87,0))</f>
        <v>0.03</v>
      </c>
      <c r="AA71" s="72">
        <f>INDEX('8_가정'!$G$46:$G$87,MATCH($B71&amp;"|P5",'8_가정'!$A$46:$A$87,0))</f>
        <v>0.04</v>
      </c>
      <c r="AB71" s="72">
        <f>INDEX('8_가정'!$C$46:$C$87,MATCH($B71&amp;"|P6",'8_가정'!$A$46:$A$87,0))</f>
        <v>0</v>
      </c>
      <c r="AC71" s="72">
        <f>INDEX('8_가정'!$D$46:$D$87,MATCH($B71&amp;"|P6",'8_가정'!$A$46:$A$87,0))</f>
        <v>0</v>
      </c>
      <c r="AD71" s="72">
        <f>INDEX('8_가정'!$E$46:$E$87,MATCH($B71&amp;"|P6",'8_가정'!$A$46:$A$87,0))</f>
        <v>0</v>
      </c>
      <c r="AE71" s="72">
        <f>INDEX('8_가정'!$F$46:$F$87,MATCH($B71&amp;"|P6",'8_가정'!$A$46:$A$87,0))</f>
        <v>0</v>
      </c>
      <c r="AF71" s="72">
        <f>INDEX('8_가정'!$G$46:$G$87,MATCH($B71&amp;"|P6",'8_가정'!$A$46:$A$87,0))</f>
        <v>0</v>
      </c>
    </row>
    <row r="72">
      <c r="A72" s="71" t="str">
        <f>'4_매출_거래처'!D24</f>
        <v>쿠팡 — 엘더리</v>
      </c>
      <c r="B72" s="71" t="str">
        <f>'4_매출_거래처'!I24</f>
        <v>SUB</v>
      </c>
      <c r="C72" s="72">
        <f>INDEX('8_가정'!$C$46:$C$87,MATCH($B72&amp;"|P1",'8_가정'!$A$46:$A$87,0))</f>
        <v>0.8</v>
      </c>
      <c r="D72" s="72">
        <f>INDEX('8_가정'!$D$46:$D$87,MATCH($B72&amp;"|P1",'8_가정'!$A$46:$A$87,0))</f>
        <v>0.78</v>
      </c>
      <c r="E72" s="72">
        <f>INDEX('8_가정'!$E$46:$E$87,MATCH($B72&amp;"|P1",'8_가정'!$A$46:$A$87,0))</f>
        <v>0.74</v>
      </c>
      <c r="F72" s="72">
        <f>INDEX('8_가정'!$F$46:$F$87,MATCH($B72&amp;"|P1",'8_가정'!$A$46:$A$87,0))</f>
        <v>0.7</v>
      </c>
      <c r="G72" s="72">
        <f>INDEX('8_가정'!$G$46:$G$87,MATCH($B72&amp;"|P1",'8_가정'!$A$46:$A$87,0))</f>
        <v>0.67</v>
      </c>
      <c r="H72" s="72">
        <f>INDEX('8_가정'!$C$46:$C$87,MATCH($B72&amp;"|P2",'8_가정'!$A$46:$A$87,0))</f>
        <v>0.08</v>
      </c>
      <c r="I72" s="72">
        <f>INDEX('8_가정'!$D$46:$D$87,MATCH($B72&amp;"|P2",'8_가정'!$A$46:$A$87,0))</f>
        <v>0.08</v>
      </c>
      <c r="J72" s="72">
        <f>INDEX('8_가정'!$E$46:$E$87,MATCH($B72&amp;"|P2",'8_가정'!$A$46:$A$87,0))</f>
        <v>0.08</v>
      </c>
      <c r="K72" s="72">
        <f>INDEX('8_가정'!$F$46:$F$87,MATCH($B72&amp;"|P2",'8_가정'!$A$46:$A$87,0))</f>
        <v>0.08</v>
      </c>
      <c r="L72" s="72">
        <f>INDEX('8_가정'!$G$46:$G$87,MATCH($B72&amp;"|P2",'8_가정'!$A$46:$A$87,0))</f>
        <v>0.08</v>
      </c>
      <c r="M72" s="72">
        <f>INDEX('8_가정'!$C$46:$C$87,MATCH($B72&amp;"|P3",'8_가정'!$A$46:$A$87,0))</f>
        <v>0.12</v>
      </c>
      <c r="N72" s="72">
        <f>INDEX('8_가정'!$D$46:$D$87,MATCH($B72&amp;"|P3",'8_가정'!$A$46:$A$87,0))</f>
        <v>0.11</v>
      </c>
      <c r="O72" s="72">
        <f>INDEX('8_가정'!$E$46:$E$87,MATCH($B72&amp;"|P3",'8_가정'!$A$46:$A$87,0))</f>
        <v>0.12</v>
      </c>
      <c r="P72" s="72">
        <f>INDEX('8_가정'!$F$46:$F$87,MATCH($B72&amp;"|P3",'8_가정'!$A$46:$A$87,0))</f>
        <v>0.12</v>
      </c>
      <c r="Q72" s="72">
        <f>INDEX('8_가정'!$G$46:$G$87,MATCH($B72&amp;"|P3",'8_가정'!$A$46:$A$87,0))</f>
        <v>0.12</v>
      </c>
      <c r="R72" s="72">
        <f>INDEX('8_가정'!$C$46:$C$87,MATCH($B72&amp;"|P4",'8_가정'!$A$46:$A$87,0))</f>
        <v>0</v>
      </c>
      <c r="S72" s="72">
        <f>INDEX('8_가정'!$D$46:$D$87,MATCH($B72&amp;"|P4",'8_가정'!$A$46:$A$87,0))</f>
        <v>0.03</v>
      </c>
      <c r="T72" s="72">
        <f>INDEX('8_가정'!$E$46:$E$87,MATCH($B72&amp;"|P4",'8_가정'!$A$46:$A$87,0))</f>
        <v>0.05</v>
      </c>
      <c r="U72" s="72">
        <f>INDEX('8_가정'!$F$46:$F$87,MATCH($B72&amp;"|P4",'8_가정'!$A$46:$A$87,0))</f>
        <v>0.07</v>
      </c>
      <c r="V72" s="72">
        <f>INDEX('8_가정'!$G$46:$G$87,MATCH($B72&amp;"|P4",'8_가정'!$A$46:$A$87,0))</f>
        <v>0.09</v>
      </c>
      <c r="W72" s="72">
        <f>INDEX('8_가정'!$C$46:$C$87,MATCH($B72&amp;"|P5",'8_가정'!$A$46:$A$87,0))</f>
        <v>0</v>
      </c>
      <c r="X72" s="72">
        <f>INDEX('8_가정'!$D$46:$D$87,MATCH($B72&amp;"|P5",'8_가정'!$A$46:$A$87,0))</f>
        <v>0</v>
      </c>
      <c r="Y72" s="72">
        <f>INDEX('8_가정'!$E$46:$E$87,MATCH($B72&amp;"|P5",'8_가정'!$A$46:$A$87,0))</f>
        <v>0.01</v>
      </c>
      <c r="Z72" s="72">
        <f>INDEX('8_가정'!$F$46:$F$87,MATCH($B72&amp;"|P5",'8_가정'!$A$46:$A$87,0))</f>
        <v>0.03</v>
      </c>
      <c r="AA72" s="72">
        <f>INDEX('8_가정'!$G$46:$G$87,MATCH($B72&amp;"|P5",'8_가정'!$A$46:$A$87,0))</f>
        <v>0.04</v>
      </c>
      <c r="AB72" s="72">
        <f>INDEX('8_가정'!$C$46:$C$87,MATCH($B72&amp;"|P6",'8_가정'!$A$46:$A$87,0))</f>
        <v>0</v>
      </c>
      <c r="AC72" s="72">
        <f>INDEX('8_가정'!$D$46:$D$87,MATCH($B72&amp;"|P6",'8_가정'!$A$46:$A$87,0))</f>
        <v>0</v>
      </c>
      <c r="AD72" s="72">
        <f>INDEX('8_가정'!$E$46:$E$87,MATCH($B72&amp;"|P6",'8_가정'!$A$46:$A$87,0))</f>
        <v>0</v>
      </c>
      <c r="AE72" s="72">
        <f>INDEX('8_가정'!$F$46:$F$87,MATCH($B72&amp;"|P6",'8_가정'!$A$46:$A$87,0))</f>
        <v>0</v>
      </c>
      <c r="AF72" s="72">
        <f>INDEX('8_가정'!$G$46:$G$87,MATCH($B72&amp;"|P6",'8_가정'!$A$46:$A$87,0))</f>
        <v>0</v>
      </c>
    </row>
    <row r="73">
      <c r="A73" s="71" t="str">
        <f>'4_매출_거래처'!D25</f>
        <v>복지용구(NHIS 급여, 기저귀센서)</v>
      </c>
      <c r="B73" s="71" t="str">
        <f>'4_매출_거래처'!I25</f>
        <v>NHIS</v>
      </c>
      <c r="C73" s="72">
        <f>INDEX('8_가정'!$C$46:$C$87,MATCH($B73&amp;"|P1",'8_가정'!$A$46:$A$87,0))</f>
        <v>0.35</v>
      </c>
      <c r="D73" s="72">
        <f>INDEX('8_가정'!$D$46:$D$87,MATCH($B73&amp;"|P1",'8_가정'!$A$46:$A$87,0))</f>
        <v>0.35</v>
      </c>
      <c r="E73" s="72">
        <f>INDEX('8_가정'!$E$46:$E$87,MATCH($B73&amp;"|P1",'8_가정'!$A$46:$A$87,0))</f>
        <v>0.33</v>
      </c>
      <c r="F73" s="72">
        <f>INDEX('8_가정'!$F$46:$F$87,MATCH($B73&amp;"|P1",'8_가정'!$A$46:$A$87,0))</f>
        <v>0.31</v>
      </c>
      <c r="G73" s="72">
        <f>INDEX('8_가정'!$G$46:$G$87,MATCH($B73&amp;"|P1",'8_가정'!$A$46:$A$87,0))</f>
        <v>0.3</v>
      </c>
      <c r="H73" s="72">
        <f>INDEX('8_가정'!$C$46:$C$87,MATCH($B73&amp;"|P2",'8_가정'!$A$46:$A$87,0))</f>
        <v>0.5</v>
      </c>
      <c r="I73" s="72">
        <f>INDEX('8_가정'!$D$46:$D$87,MATCH($B73&amp;"|P2",'8_가정'!$A$46:$A$87,0))</f>
        <v>0.5</v>
      </c>
      <c r="J73" s="72">
        <f>INDEX('8_가정'!$E$46:$E$87,MATCH($B73&amp;"|P2",'8_가정'!$A$46:$A$87,0))</f>
        <v>0.48</v>
      </c>
      <c r="K73" s="72">
        <f>INDEX('8_가정'!$F$46:$F$87,MATCH($B73&amp;"|P2",'8_가정'!$A$46:$A$87,0))</f>
        <v>0.46</v>
      </c>
      <c r="L73" s="72">
        <f>INDEX('8_가정'!$G$46:$G$87,MATCH($B73&amp;"|P2",'8_가정'!$A$46:$A$87,0))</f>
        <v>0.45</v>
      </c>
      <c r="M73" s="72">
        <f>INDEX('8_가정'!$C$46:$C$87,MATCH($B73&amp;"|P3",'8_가정'!$A$46:$A$87,0))</f>
        <v>0.15</v>
      </c>
      <c r="N73" s="72">
        <f>INDEX('8_가정'!$D$46:$D$87,MATCH($B73&amp;"|P3",'8_가정'!$A$46:$A$87,0))</f>
        <v>0.15</v>
      </c>
      <c r="O73" s="72">
        <f>INDEX('8_가정'!$E$46:$E$87,MATCH($B73&amp;"|P3",'8_가정'!$A$46:$A$87,0))</f>
        <v>0.15</v>
      </c>
      <c r="P73" s="72">
        <f>INDEX('8_가정'!$F$46:$F$87,MATCH($B73&amp;"|P3",'8_가정'!$A$46:$A$87,0))</f>
        <v>0.15</v>
      </c>
      <c r="Q73" s="72">
        <f>INDEX('8_가정'!$G$46:$G$87,MATCH($B73&amp;"|P3",'8_가정'!$A$46:$A$87,0))</f>
        <v>0.15</v>
      </c>
      <c r="R73" s="72">
        <f>INDEX('8_가정'!$C$46:$C$87,MATCH($B73&amp;"|P4",'8_가정'!$A$46:$A$87,0))</f>
        <v>0</v>
      </c>
      <c r="S73" s="72">
        <f>INDEX('8_가정'!$D$46:$D$87,MATCH($B73&amp;"|P4",'8_가정'!$A$46:$A$87,0))</f>
        <v>0</v>
      </c>
      <c r="T73" s="72">
        <f>INDEX('8_가정'!$E$46:$E$87,MATCH($B73&amp;"|P4",'8_가정'!$A$46:$A$87,0))</f>
        <v>0.02</v>
      </c>
      <c r="U73" s="72">
        <f>INDEX('8_가정'!$F$46:$F$87,MATCH($B73&amp;"|P4",'8_가정'!$A$46:$A$87,0))</f>
        <v>0.04</v>
      </c>
      <c r="V73" s="72">
        <f>INDEX('8_가정'!$G$46:$G$87,MATCH($B73&amp;"|P4",'8_가정'!$A$46:$A$87,0))</f>
        <v>0.05</v>
      </c>
      <c r="W73" s="72">
        <f>INDEX('8_가정'!$C$46:$C$87,MATCH($B73&amp;"|P5",'8_가정'!$A$46:$A$87,0))</f>
        <v>0</v>
      </c>
      <c r="X73" s="72">
        <f>INDEX('8_가정'!$D$46:$D$87,MATCH($B73&amp;"|P5",'8_가정'!$A$46:$A$87,0))</f>
        <v>0</v>
      </c>
      <c r="Y73" s="72">
        <f>INDEX('8_가정'!$E$46:$E$87,MATCH($B73&amp;"|P5",'8_가정'!$A$46:$A$87,0))</f>
        <v>0.02</v>
      </c>
      <c r="Z73" s="72">
        <f>INDEX('8_가정'!$F$46:$F$87,MATCH($B73&amp;"|P5",'8_가정'!$A$46:$A$87,0))</f>
        <v>0.04</v>
      </c>
      <c r="AA73" s="72">
        <f>INDEX('8_가정'!$G$46:$G$87,MATCH($B73&amp;"|P5",'8_가정'!$A$46:$A$87,0))</f>
        <v>0.05</v>
      </c>
      <c r="AB73" s="72">
        <f>INDEX('8_가정'!$C$46:$C$87,MATCH($B73&amp;"|P6",'8_가정'!$A$46:$A$87,0))</f>
        <v>0</v>
      </c>
      <c r="AC73" s="72">
        <f>INDEX('8_가정'!$D$46:$D$87,MATCH($B73&amp;"|P6",'8_가정'!$A$46:$A$87,0))</f>
        <v>0</v>
      </c>
      <c r="AD73" s="72">
        <f>INDEX('8_가정'!$E$46:$E$87,MATCH($B73&amp;"|P6",'8_가정'!$A$46:$A$87,0))</f>
        <v>0</v>
      </c>
      <c r="AE73" s="72">
        <f>INDEX('8_가정'!$F$46:$F$87,MATCH($B73&amp;"|P6",'8_가정'!$A$46:$A$87,0))</f>
        <v>0</v>
      </c>
      <c r="AF73" s="72">
        <f>INDEX('8_가정'!$G$46:$G$87,MATCH($B73&amp;"|P6",'8_가정'!$A$46:$A$87,0))</f>
        <v>0</v>
      </c>
    </row>
    <row r="74">
      <c r="A74" s="71" t="str">
        <f>'4_매출_거래처'!D26</f>
        <v>국내 B2B 기타</v>
      </c>
      <c r="B74" s="71" t="str">
        <f>'4_매출_거래처'!I26</f>
        <v>SUB</v>
      </c>
      <c r="C74" s="72">
        <f>INDEX('8_가정'!$C$46:$C$87,MATCH($B74&amp;"|P1",'8_가정'!$A$46:$A$87,0))</f>
        <v>0.8</v>
      </c>
      <c r="D74" s="72">
        <f>INDEX('8_가정'!$D$46:$D$87,MATCH($B74&amp;"|P1",'8_가정'!$A$46:$A$87,0))</f>
        <v>0.78</v>
      </c>
      <c r="E74" s="72">
        <f>INDEX('8_가정'!$E$46:$E$87,MATCH($B74&amp;"|P1",'8_가정'!$A$46:$A$87,0))</f>
        <v>0.74</v>
      </c>
      <c r="F74" s="72">
        <f>INDEX('8_가정'!$F$46:$F$87,MATCH($B74&amp;"|P1",'8_가정'!$A$46:$A$87,0))</f>
        <v>0.7</v>
      </c>
      <c r="G74" s="72">
        <f>INDEX('8_가정'!$G$46:$G$87,MATCH($B74&amp;"|P1",'8_가정'!$A$46:$A$87,0))</f>
        <v>0.67</v>
      </c>
      <c r="H74" s="72">
        <f>INDEX('8_가정'!$C$46:$C$87,MATCH($B74&amp;"|P2",'8_가정'!$A$46:$A$87,0))</f>
        <v>0.08</v>
      </c>
      <c r="I74" s="72">
        <f>INDEX('8_가정'!$D$46:$D$87,MATCH($B74&amp;"|P2",'8_가정'!$A$46:$A$87,0))</f>
        <v>0.08</v>
      </c>
      <c r="J74" s="72">
        <f>INDEX('8_가정'!$E$46:$E$87,MATCH($B74&amp;"|P2",'8_가정'!$A$46:$A$87,0))</f>
        <v>0.08</v>
      </c>
      <c r="K74" s="72">
        <f>INDEX('8_가정'!$F$46:$F$87,MATCH($B74&amp;"|P2",'8_가정'!$A$46:$A$87,0))</f>
        <v>0.08</v>
      </c>
      <c r="L74" s="72">
        <f>INDEX('8_가정'!$G$46:$G$87,MATCH($B74&amp;"|P2",'8_가정'!$A$46:$A$87,0))</f>
        <v>0.08</v>
      </c>
      <c r="M74" s="72">
        <f>INDEX('8_가정'!$C$46:$C$87,MATCH($B74&amp;"|P3",'8_가정'!$A$46:$A$87,0))</f>
        <v>0.12</v>
      </c>
      <c r="N74" s="72">
        <f>INDEX('8_가정'!$D$46:$D$87,MATCH($B74&amp;"|P3",'8_가정'!$A$46:$A$87,0))</f>
        <v>0.11</v>
      </c>
      <c r="O74" s="72">
        <f>INDEX('8_가정'!$E$46:$E$87,MATCH($B74&amp;"|P3",'8_가정'!$A$46:$A$87,0))</f>
        <v>0.12</v>
      </c>
      <c r="P74" s="72">
        <f>INDEX('8_가정'!$F$46:$F$87,MATCH($B74&amp;"|P3",'8_가정'!$A$46:$A$87,0))</f>
        <v>0.12</v>
      </c>
      <c r="Q74" s="72">
        <f>INDEX('8_가정'!$G$46:$G$87,MATCH($B74&amp;"|P3",'8_가정'!$A$46:$A$87,0))</f>
        <v>0.12</v>
      </c>
      <c r="R74" s="72">
        <f>INDEX('8_가정'!$C$46:$C$87,MATCH($B74&amp;"|P4",'8_가정'!$A$46:$A$87,0))</f>
        <v>0</v>
      </c>
      <c r="S74" s="72">
        <f>INDEX('8_가정'!$D$46:$D$87,MATCH($B74&amp;"|P4",'8_가정'!$A$46:$A$87,0))</f>
        <v>0.03</v>
      </c>
      <c r="T74" s="72">
        <f>INDEX('8_가정'!$E$46:$E$87,MATCH($B74&amp;"|P4",'8_가정'!$A$46:$A$87,0))</f>
        <v>0.05</v>
      </c>
      <c r="U74" s="72">
        <f>INDEX('8_가정'!$F$46:$F$87,MATCH($B74&amp;"|P4",'8_가정'!$A$46:$A$87,0))</f>
        <v>0.07</v>
      </c>
      <c r="V74" s="72">
        <f>INDEX('8_가정'!$G$46:$G$87,MATCH($B74&amp;"|P4",'8_가정'!$A$46:$A$87,0))</f>
        <v>0.09</v>
      </c>
      <c r="W74" s="72">
        <f>INDEX('8_가정'!$C$46:$C$87,MATCH($B74&amp;"|P5",'8_가정'!$A$46:$A$87,0))</f>
        <v>0</v>
      </c>
      <c r="X74" s="72">
        <f>INDEX('8_가정'!$D$46:$D$87,MATCH($B74&amp;"|P5",'8_가정'!$A$46:$A$87,0))</f>
        <v>0</v>
      </c>
      <c r="Y74" s="72">
        <f>INDEX('8_가정'!$E$46:$E$87,MATCH($B74&amp;"|P5",'8_가정'!$A$46:$A$87,0))</f>
        <v>0.01</v>
      </c>
      <c r="Z74" s="72">
        <f>INDEX('8_가정'!$F$46:$F$87,MATCH($B74&amp;"|P5",'8_가정'!$A$46:$A$87,0))</f>
        <v>0.03</v>
      </c>
      <c r="AA74" s="72">
        <f>INDEX('8_가정'!$G$46:$G$87,MATCH($B74&amp;"|P5",'8_가정'!$A$46:$A$87,0))</f>
        <v>0.04</v>
      </c>
      <c r="AB74" s="72">
        <f>INDEX('8_가정'!$C$46:$C$87,MATCH($B74&amp;"|P6",'8_가정'!$A$46:$A$87,0))</f>
        <v>0</v>
      </c>
      <c r="AC74" s="72">
        <f>INDEX('8_가정'!$D$46:$D$87,MATCH($B74&amp;"|P6",'8_가정'!$A$46:$A$87,0))</f>
        <v>0</v>
      </c>
      <c r="AD74" s="72">
        <f>INDEX('8_가정'!$E$46:$E$87,MATCH($B74&amp;"|P6",'8_가정'!$A$46:$A$87,0))</f>
        <v>0</v>
      </c>
      <c r="AE74" s="72">
        <f>INDEX('8_가정'!$F$46:$F$87,MATCH($B74&amp;"|P6",'8_가정'!$A$46:$A$87,0))</f>
        <v>0</v>
      </c>
      <c r="AF74" s="72">
        <f>INDEX('8_가정'!$G$46:$G$87,MATCH($B74&amp;"|P6",'8_가정'!$A$46:$A$87,0))</f>
        <v>0</v>
      </c>
    </row>
    <row r="75">
      <c r="A75" s="71" t="str">
        <f>'4_매출_거래처'!D27</f>
        <v>APP KOREA — 성인(키퍼스 시니어 팬티형)</v>
      </c>
      <c r="B75" s="71" t="str">
        <f>'4_매출_거래처'!I27</f>
        <v>SUB</v>
      </c>
      <c r="C75" s="72">
        <f>INDEX('8_가정'!$C$46:$C$87,MATCH($B75&amp;"|P1",'8_가정'!$A$46:$A$87,0))</f>
        <v>0.8</v>
      </c>
      <c r="D75" s="72">
        <f>INDEX('8_가정'!$D$46:$D$87,MATCH($B75&amp;"|P1",'8_가정'!$A$46:$A$87,0))</f>
        <v>0.78</v>
      </c>
      <c r="E75" s="72">
        <f>INDEX('8_가정'!$E$46:$E$87,MATCH($B75&amp;"|P1",'8_가정'!$A$46:$A$87,0))</f>
        <v>0.74</v>
      </c>
      <c r="F75" s="72">
        <f>INDEX('8_가정'!$F$46:$F$87,MATCH($B75&amp;"|P1",'8_가정'!$A$46:$A$87,0))</f>
        <v>0.7</v>
      </c>
      <c r="G75" s="72">
        <f>INDEX('8_가정'!$G$46:$G$87,MATCH($B75&amp;"|P1",'8_가정'!$A$46:$A$87,0))</f>
        <v>0.67</v>
      </c>
      <c r="H75" s="72">
        <f>INDEX('8_가정'!$C$46:$C$87,MATCH($B75&amp;"|P2",'8_가정'!$A$46:$A$87,0))</f>
        <v>0.08</v>
      </c>
      <c r="I75" s="72">
        <f>INDEX('8_가정'!$D$46:$D$87,MATCH($B75&amp;"|P2",'8_가정'!$A$46:$A$87,0))</f>
        <v>0.08</v>
      </c>
      <c r="J75" s="72">
        <f>INDEX('8_가정'!$E$46:$E$87,MATCH($B75&amp;"|P2",'8_가정'!$A$46:$A$87,0))</f>
        <v>0.08</v>
      </c>
      <c r="K75" s="72">
        <f>INDEX('8_가정'!$F$46:$F$87,MATCH($B75&amp;"|P2",'8_가정'!$A$46:$A$87,0))</f>
        <v>0.08</v>
      </c>
      <c r="L75" s="72">
        <f>INDEX('8_가정'!$G$46:$G$87,MATCH($B75&amp;"|P2",'8_가정'!$A$46:$A$87,0))</f>
        <v>0.08</v>
      </c>
      <c r="M75" s="72">
        <f>INDEX('8_가정'!$C$46:$C$87,MATCH($B75&amp;"|P3",'8_가정'!$A$46:$A$87,0))</f>
        <v>0.12</v>
      </c>
      <c r="N75" s="72">
        <f>INDEX('8_가정'!$D$46:$D$87,MATCH($B75&amp;"|P3",'8_가정'!$A$46:$A$87,0))</f>
        <v>0.11</v>
      </c>
      <c r="O75" s="72">
        <f>INDEX('8_가정'!$E$46:$E$87,MATCH($B75&amp;"|P3",'8_가정'!$A$46:$A$87,0))</f>
        <v>0.12</v>
      </c>
      <c r="P75" s="72">
        <f>INDEX('8_가정'!$F$46:$F$87,MATCH($B75&amp;"|P3",'8_가정'!$A$46:$A$87,0))</f>
        <v>0.12</v>
      </c>
      <c r="Q75" s="72">
        <f>INDEX('8_가정'!$G$46:$G$87,MATCH($B75&amp;"|P3",'8_가정'!$A$46:$A$87,0))</f>
        <v>0.12</v>
      </c>
      <c r="R75" s="72">
        <f>INDEX('8_가정'!$C$46:$C$87,MATCH($B75&amp;"|P4",'8_가정'!$A$46:$A$87,0))</f>
        <v>0</v>
      </c>
      <c r="S75" s="72">
        <f>INDEX('8_가정'!$D$46:$D$87,MATCH($B75&amp;"|P4",'8_가정'!$A$46:$A$87,0))</f>
        <v>0.03</v>
      </c>
      <c r="T75" s="72">
        <f>INDEX('8_가정'!$E$46:$E$87,MATCH($B75&amp;"|P4",'8_가정'!$A$46:$A$87,0))</f>
        <v>0.05</v>
      </c>
      <c r="U75" s="72">
        <f>INDEX('8_가정'!$F$46:$F$87,MATCH($B75&amp;"|P4",'8_가정'!$A$46:$A$87,0))</f>
        <v>0.07</v>
      </c>
      <c r="V75" s="72">
        <f>INDEX('8_가정'!$G$46:$G$87,MATCH($B75&amp;"|P4",'8_가정'!$A$46:$A$87,0))</f>
        <v>0.09</v>
      </c>
      <c r="W75" s="72">
        <f>INDEX('8_가정'!$C$46:$C$87,MATCH($B75&amp;"|P5",'8_가정'!$A$46:$A$87,0))</f>
        <v>0</v>
      </c>
      <c r="X75" s="72">
        <f>INDEX('8_가정'!$D$46:$D$87,MATCH($B75&amp;"|P5",'8_가정'!$A$46:$A$87,0))</f>
        <v>0</v>
      </c>
      <c r="Y75" s="72">
        <f>INDEX('8_가정'!$E$46:$E$87,MATCH($B75&amp;"|P5",'8_가정'!$A$46:$A$87,0))</f>
        <v>0.01</v>
      </c>
      <c r="Z75" s="72">
        <f>INDEX('8_가정'!$F$46:$F$87,MATCH($B75&amp;"|P5",'8_가정'!$A$46:$A$87,0))</f>
        <v>0.03</v>
      </c>
      <c r="AA75" s="72">
        <f>INDEX('8_가정'!$G$46:$G$87,MATCH($B75&amp;"|P5",'8_가정'!$A$46:$A$87,0))</f>
        <v>0.04</v>
      </c>
      <c r="AB75" s="72">
        <f>INDEX('8_가정'!$C$46:$C$87,MATCH($B75&amp;"|P6",'8_가정'!$A$46:$A$87,0))</f>
        <v>0</v>
      </c>
      <c r="AC75" s="72">
        <f>INDEX('8_가정'!$D$46:$D$87,MATCH($B75&amp;"|P6",'8_가정'!$A$46:$A$87,0))</f>
        <v>0</v>
      </c>
      <c r="AD75" s="72">
        <f>INDEX('8_가정'!$E$46:$E$87,MATCH($B75&amp;"|P6",'8_가정'!$A$46:$A$87,0))</f>
        <v>0</v>
      </c>
      <c r="AE75" s="72">
        <f>INDEX('8_가정'!$F$46:$F$87,MATCH($B75&amp;"|P6",'8_가정'!$A$46:$A$87,0))</f>
        <v>0</v>
      </c>
      <c r="AF75" s="72">
        <f>INDEX('8_가정'!$G$46:$G$87,MATCH($B75&amp;"|P6",'8_가정'!$A$46:$A$87,0))</f>
        <v>0</v>
      </c>
    </row>
    <row r="76">
      <c r="A76" s="71" t="str">
        <f>'4_매출_거래처'!D28</f>
        <v>일본 하트키움(HEARTCARE 오사카 요양시설)</v>
      </c>
      <c r="B76" s="71" t="str">
        <f>'4_매출_거래처'!I28</f>
        <v>DIST</v>
      </c>
      <c r="C76" s="72">
        <f>INDEX('8_가정'!$C$46:$C$87,MATCH($B76&amp;"|P1",'8_가정'!$A$46:$A$87,0))</f>
        <v>0.62</v>
      </c>
      <c r="D76" s="72">
        <f>INDEX('8_가정'!$D$46:$D$87,MATCH($B76&amp;"|P1",'8_가정'!$A$46:$A$87,0))</f>
        <v>0.62</v>
      </c>
      <c r="E76" s="72">
        <f>INDEX('8_가정'!$E$46:$E$87,MATCH($B76&amp;"|P1",'8_가정'!$A$46:$A$87,0))</f>
        <v>0.6</v>
      </c>
      <c r="F76" s="72">
        <f>INDEX('8_가정'!$F$46:$F$87,MATCH($B76&amp;"|P1",'8_가정'!$A$46:$A$87,0))</f>
        <v>0.58</v>
      </c>
      <c r="G76" s="72">
        <f>INDEX('8_가정'!$G$46:$G$87,MATCH($B76&amp;"|P1",'8_가정'!$A$46:$A$87,0))</f>
        <v>0.56</v>
      </c>
      <c r="H76" s="72">
        <f>INDEX('8_가정'!$C$46:$C$87,MATCH($B76&amp;"|P2",'8_가정'!$A$46:$A$87,0))</f>
        <v>0.28</v>
      </c>
      <c r="I76" s="72">
        <f>INDEX('8_가정'!$D$46:$D$87,MATCH($B76&amp;"|P2",'8_가정'!$A$46:$A$87,0))</f>
        <v>0.26</v>
      </c>
      <c r="J76" s="72">
        <f>INDEX('8_가정'!$E$46:$E$87,MATCH($B76&amp;"|P2",'8_가정'!$A$46:$A$87,0))</f>
        <v>0.24</v>
      </c>
      <c r="K76" s="72">
        <f>INDEX('8_가정'!$F$46:$F$87,MATCH($B76&amp;"|P2",'8_가정'!$A$46:$A$87,0))</f>
        <v>0.22</v>
      </c>
      <c r="L76" s="72">
        <f>INDEX('8_가정'!$G$46:$G$87,MATCH($B76&amp;"|P2",'8_가정'!$A$46:$A$87,0))</f>
        <v>0.2</v>
      </c>
      <c r="M76" s="72">
        <f>INDEX('8_가정'!$C$46:$C$87,MATCH($B76&amp;"|P3",'8_가정'!$A$46:$A$87,0))</f>
        <v>0.1</v>
      </c>
      <c r="N76" s="72">
        <f>INDEX('8_가정'!$D$46:$D$87,MATCH($B76&amp;"|P3",'8_가정'!$A$46:$A$87,0))</f>
        <v>0.09</v>
      </c>
      <c r="O76" s="72">
        <f>INDEX('8_가정'!$E$46:$E$87,MATCH($B76&amp;"|P3",'8_가정'!$A$46:$A$87,0))</f>
        <v>0.1</v>
      </c>
      <c r="P76" s="72">
        <f>INDEX('8_가정'!$F$46:$F$87,MATCH($B76&amp;"|P3",'8_가정'!$A$46:$A$87,0))</f>
        <v>0.1</v>
      </c>
      <c r="Q76" s="72">
        <f>INDEX('8_가정'!$G$46:$G$87,MATCH($B76&amp;"|P3",'8_가정'!$A$46:$A$87,0))</f>
        <v>0.1</v>
      </c>
      <c r="R76" s="72">
        <f>INDEX('8_가정'!$C$46:$C$87,MATCH($B76&amp;"|P4",'8_가정'!$A$46:$A$87,0))</f>
        <v>0</v>
      </c>
      <c r="S76" s="72">
        <f>INDEX('8_가정'!$D$46:$D$87,MATCH($B76&amp;"|P4",'8_가정'!$A$46:$A$87,0))</f>
        <v>0.03</v>
      </c>
      <c r="T76" s="72">
        <f>INDEX('8_가정'!$E$46:$E$87,MATCH($B76&amp;"|P4",'8_가정'!$A$46:$A$87,0))</f>
        <v>0.05</v>
      </c>
      <c r="U76" s="72">
        <f>INDEX('8_가정'!$F$46:$F$87,MATCH($B76&amp;"|P4",'8_가정'!$A$46:$A$87,0))</f>
        <v>0.07</v>
      </c>
      <c r="V76" s="72">
        <f>INDEX('8_가정'!$G$46:$G$87,MATCH($B76&amp;"|P4",'8_가정'!$A$46:$A$87,0))</f>
        <v>0.09</v>
      </c>
      <c r="W76" s="72">
        <f>INDEX('8_가정'!$C$46:$C$87,MATCH($B76&amp;"|P5",'8_가정'!$A$46:$A$87,0))</f>
        <v>0</v>
      </c>
      <c r="X76" s="72">
        <f>INDEX('8_가정'!$D$46:$D$87,MATCH($B76&amp;"|P5",'8_가정'!$A$46:$A$87,0))</f>
        <v>0</v>
      </c>
      <c r="Y76" s="72">
        <f>INDEX('8_가정'!$E$46:$E$87,MATCH($B76&amp;"|P5",'8_가정'!$A$46:$A$87,0))</f>
        <v>0.01</v>
      </c>
      <c r="Z76" s="72">
        <f>INDEX('8_가정'!$F$46:$F$87,MATCH($B76&amp;"|P5",'8_가정'!$A$46:$A$87,0))</f>
        <v>0.03</v>
      </c>
      <c r="AA76" s="72">
        <f>INDEX('8_가정'!$G$46:$G$87,MATCH($B76&amp;"|P5",'8_가정'!$A$46:$A$87,0))</f>
        <v>0.05</v>
      </c>
      <c r="AB76" s="72">
        <f>INDEX('8_가정'!$C$46:$C$87,MATCH($B76&amp;"|P6",'8_가정'!$A$46:$A$87,0))</f>
        <v>0</v>
      </c>
      <c r="AC76" s="72">
        <f>INDEX('8_가정'!$D$46:$D$87,MATCH($B76&amp;"|P6",'8_가정'!$A$46:$A$87,0))</f>
        <v>0</v>
      </c>
      <c r="AD76" s="72">
        <f>INDEX('8_가정'!$E$46:$E$87,MATCH($B76&amp;"|P6",'8_가정'!$A$46:$A$87,0))</f>
        <v>0</v>
      </c>
      <c r="AE76" s="72">
        <f>INDEX('8_가정'!$F$46:$F$87,MATCH($B76&amp;"|P6",'8_가정'!$A$46:$A$87,0))</f>
        <v>0</v>
      </c>
      <c r="AF76" s="72">
        <f>INDEX('8_가정'!$G$46:$G$87,MATCH($B76&amp;"|P6",'8_가정'!$A$46:$A$87,0))</f>
        <v>0</v>
      </c>
    </row>
    <row r="77">
      <c r="A77" s="71" t="str">
        <f>'4_매출_거래처'!D29</f>
        <v>일본 TAIS by JAIS</v>
      </c>
      <c r="B77" s="71" t="str">
        <f>'4_매출_거래처'!I29</f>
        <v>SUB</v>
      </c>
      <c r="C77" s="72">
        <f>INDEX('8_가정'!$C$46:$C$87,MATCH($B77&amp;"|P1",'8_가정'!$A$46:$A$87,0))</f>
        <v>0.8</v>
      </c>
      <c r="D77" s="72">
        <f>INDEX('8_가정'!$D$46:$D$87,MATCH($B77&amp;"|P1",'8_가정'!$A$46:$A$87,0))</f>
        <v>0.78</v>
      </c>
      <c r="E77" s="72">
        <f>INDEX('8_가정'!$E$46:$E$87,MATCH($B77&amp;"|P1",'8_가정'!$A$46:$A$87,0))</f>
        <v>0.74</v>
      </c>
      <c r="F77" s="72">
        <f>INDEX('8_가정'!$F$46:$F$87,MATCH($B77&amp;"|P1",'8_가정'!$A$46:$A$87,0))</f>
        <v>0.7</v>
      </c>
      <c r="G77" s="72">
        <f>INDEX('8_가정'!$G$46:$G$87,MATCH($B77&amp;"|P1",'8_가정'!$A$46:$A$87,0))</f>
        <v>0.67</v>
      </c>
      <c r="H77" s="72">
        <f>INDEX('8_가정'!$C$46:$C$87,MATCH($B77&amp;"|P2",'8_가정'!$A$46:$A$87,0))</f>
        <v>0.08</v>
      </c>
      <c r="I77" s="72">
        <f>INDEX('8_가정'!$D$46:$D$87,MATCH($B77&amp;"|P2",'8_가정'!$A$46:$A$87,0))</f>
        <v>0.08</v>
      </c>
      <c r="J77" s="72">
        <f>INDEX('8_가정'!$E$46:$E$87,MATCH($B77&amp;"|P2",'8_가정'!$A$46:$A$87,0))</f>
        <v>0.08</v>
      </c>
      <c r="K77" s="72">
        <f>INDEX('8_가정'!$F$46:$F$87,MATCH($B77&amp;"|P2",'8_가정'!$A$46:$A$87,0))</f>
        <v>0.08</v>
      </c>
      <c r="L77" s="72">
        <f>INDEX('8_가정'!$G$46:$G$87,MATCH($B77&amp;"|P2",'8_가정'!$A$46:$A$87,0))</f>
        <v>0.08</v>
      </c>
      <c r="M77" s="72">
        <f>INDEX('8_가정'!$C$46:$C$87,MATCH($B77&amp;"|P3",'8_가정'!$A$46:$A$87,0))</f>
        <v>0.12</v>
      </c>
      <c r="N77" s="72">
        <f>INDEX('8_가정'!$D$46:$D$87,MATCH($B77&amp;"|P3",'8_가정'!$A$46:$A$87,0))</f>
        <v>0.11</v>
      </c>
      <c r="O77" s="72">
        <f>INDEX('8_가정'!$E$46:$E$87,MATCH($B77&amp;"|P3",'8_가정'!$A$46:$A$87,0))</f>
        <v>0.12</v>
      </c>
      <c r="P77" s="72">
        <f>INDEX('8_가정'!$F$46:$F$87,MATCH($B77&amp;"|P3",'8_가정'!$A$46:$A$87,0))</f>
        <v>0.12</v>
      </c>
      <c r="Q77" s="72">
        <f>INDEX('8_가정'!$G$46:$G$87,MATCH($B77&amp;"|P3",'8_가정'!$A$46:$A$87,0))</f>
        <v>0.12</v>
      </c>
      <c r="R77" s="72">
        <f>INDEX('8_가정'!$C$46:$C$87,MATCH($B77&amp;"|P4",'8_가정'!$A$46:$A$87,0))</f>
        <v>0</v>
      </c>
      <c r="S77" s="72">
        <f>INDEX('8_가정'!$D$46:$D$87,MATCH($B77&amp;"|P4",'8_가정'!$A$46:$A$87,0))</f>
        <v>0.03</v>
      </c>
      <c r="T77" s="72">
        <f>INDEX('8_가정'!$E$46:$E$87,MATCH($B77&amp;"|P4",'8_가정'!$A$46:$A$87,0))</f>
        <v>0.05</v>
      </c>
      <c r="U77" s="72">
        <f>INDEX('8_가정'!$F$46:$F$87,MATCH($B77&amp;"|P4",'8_가정'!$A$46:$A$87,0))</f>
        <v>0.07</v>
      </c>
      <c r="V77" s="72">
        <f>INDEX('8_가정'!$G$46:$G$87,MATCH($B77&amp;"|P4",'8_가정'!$A$46:$A$87,0))</f>
        <v>0.09</v>
      </c>
      <c r="W77" s="72">
        <f>INDEX('8_가정'!$C$46:$C$87,MATCH($B77&amp;"|P5",'8_가정'!$A$46:$A$87,0))</f>
        <v>0</v>
      </c>
      <c r="X77" s="72">
        <f>INDEX('8_가정'!$D$46:$D$87,MATCH($B77&amp;"|P5",'8_가정'!$A$46:$A$87,0))</f>
        <v>0</v>
      </c>
      <c r="Y77" s="72">
        <f>INDEX('8_가정'!$E$46:$E$87,MATCH($B77&amp;"|P5",'8_가정'!$A$46:$A$87,0))</f>
        <v>0.01</v>
      </c>
      <c r="Z77" s="72">
        <f>INDEX('8_가정'!$F$46:$F$87,MATCH($B77&amp;"|P5",'8_가정'!$A$46:$A$87,0))</f>
        <v>0.03</v>
      </c>
      <c r="AA77" s="72">
        <f>INDEX('8_가정'!$G$46:$G$87,MATCH($B77&amp;"|P5",'8_가정'!$A$46:$A$87,0))</f>
        <v>0.04</v>
      </c>
      <c r="AB77" s="72">
        <f>INDEX('8_가정'!$C$46:$C$87,MATCH($B77&amp;"|P6",'8_가정'!$A$46:$A$87,0))</f>
        <v>0</v>
      </c>
      <c r="AC77" s="72">
        <f>INDEX('8_가정'!$D$46:$D$87,MATCH($B77&amp;"|P6",'8_가정'!$A$46:$A$87,0))</f>
        <v>0</v>
      </c>
      <c r="AD77" s="72">
        <f>INDEX('8_가정'!$E$46:$E$87,MATCH($B77&amp;"|P6",'8_가정'!$A$46:$A$87,0))</f>
        <v>0</v>
      </c>
      <c r="AE77" s="72">
        <f>INDEX('8_가정'!$F$46:$F$87,MATCH($B77&amp;"|P6",'8_가정'!$A$46:$A$87,0))</f>
        <v>0</v>
      </c>
      <c r="AF77" s="72">
        <f>INDEX('8_가정'!$G$46:$G$87,MATCH($B77&amp;"|P6",'8_가정'!$A$46:$A$87,0))</f>
        <v>0</v>
      </c>
    </row>
    <row r="78">
      <c r="A78" s="71" t="str">
        <f>'4_매출_거래처'!D30</f>
        <v>해외 샘플</v>
      </c>
      <c r="B78" s="71" t="str">
        <f>'4_매출_거래처'!I30</f>
        <v>DIST</v>
      </c>
      <c r="C78" s="72">
        <f>INDEX('8_가정'!$C$46:$C$87,MATCH($B78&amp;"|P1",'8_가정'!$A$46:$A$87,0))</f>
        <v>0.62</v>
      </c>
      <c r="D78" s="72">
        <f>INDEX('8_가정'!$D$46:$D$87,MATCH($B78&amp;"|P1",'8_가정'!$A$46:$A$87,0))</f>
        <v>0.62</v>
      </c>
      <c r="E78" s="72">
        <f>INDEX('8_가정'!$E$46:$E$87,MATCH($B78&amp;"|P1",'8_가정'!$A$46:$A$87,0))</f>
        <v>0.6</v>
      </c>
      <c r="F78" s="72">
        <f>INDEX('8_가정'!$F$46:$F$87,MATCH($B78&amp;"|P1",'8_가정'!$A$46:$A$87,0))</f>
        <v>0.58</v>
      </c>
      <c r="G78" s="72">
        <f>INDEX('8_가정'!$G$46:$G$87,MATCH($B78&amp;"|P1",'8_가정'!$A$46:$A$87,0))</f>
        <v>0.56</v>
      </c>
      <c r="H78" s="72">
        <f>INDEX('8_가정'!$C$46:$C$87,MATCH($B78&amp;"|P2",'8_가정'!$A$46:$A$87,0))</f>
        <v>0.28</v>
      </c>
      <c r="I78" s="72">
        <f>INDEX('8_가정'!$D$46:$D$87,MATCH($B78&amp;"|P2",'8_가정'!$A$46:$A$87,0))</f>
        <v>0.26</v>
      </c>
      <c r="J78" s="72">
        <f>INDEX('8_가정'!$E$46:$E$87,MATCH($B78&amp;"|P2",'8_가정'!$A$46:$A$87,0))</f>
        <v>0.24</v>
      </c>
      <c r="K78" s="72">
        <f>INDEX('8_가정'!$F$46:$F$87,MATCH($B78&amp;"|P2",'8_가정'!$A$46:$A$87,0))</f>
        <v>0.22</v>
      </c>
      <c r="L78" s="72">
        <f>INDEX('8_가정'!$G$46:$G$87,MATCH($B78&amp;"|P2",'8_가정'!$A$46:$A$87,0))</f>
        <v>0.2</v>
      </c>
      <c r="M78" s="72">
        <f>INDEX('8_가정'!$C$46:$C$87,MATCH($B78&amp;"|P3",'8_가정'!$A$46:$A$87,0))</f>
        <v>0.1</v>
      </c>
      <c r="N78" s="72">
        <f>INDEX('8_가정'!$D$46:$D$87,MATCH($B78&amp;"|P3",'8_가정'!$A$46:$A$87,0))</f>
        <v>0.09</v>
      </c>
      <c r="O78" s="72">
        <f>INDEX('8_가정'!$E$46:$E$87,MATCH($B78&amp;"|P3",'8_가정'!$A$46:$A$87,0))</f>
        <v>0.1</v>
      </c>
      <c r="P78" s="72">
        <f>INDEX('8_가정'!$F$46:$F$87,MATCH($B78&amp;"|P3",'8_가정'!$A$46:$A$87,0))</f>
        <v>0.1</v>
      </c>
      <c r="Q78" s="72">
        <f>INDEX('8_가정'!$G$46:$G$87,MATCH($B78&amp;"|P3",'8_가정'!$A$46:$A$87,0))</f>
        <v>0.1</v>
      </c>
      <c r="R78" s="72">
        <f>INDEX('8_가정'!$C$46:$C$87,MATCH($B78&amp;"|P4",'8_가정'!$A$46:$A$87,0))</f>
        <v>0</v>
      </c>
      <c r="S78" s="72">
        <f>INDEX('8_가정'!$D$46:$D$87,MATCH($B78&amp;"|P4",'8_가정'!$A$46:$A$87,0))</f>
        <v>0.03</v>
      </c>
      <c r="T78" s="72">
        <f>INDEX('8_가정'!$E$46:$E$87,MATCH($B78&amp;"|P4",'8_가정'!$A$46:$A$87,0))</f>
        <v>0.05</v>
      </c>
      <c r="U78" s="72">
        <f>INDEX('8_가정'!$F$46:$F$87,MATCH($B78&amp;"|P4",'8_가정'!$A$46:$A$87,0))</f>
        <v>0.07</v>
      </c>
      <c r="V78" s="72">
        <f>INDEX('8_가정'!$G$46:$G$87,MATCH($B78&amp;"|P4",'8_가정'!$A$46:$A$87,0))</f>
        <v>0.09</v>
      </c>
      <c r="W78" s="72">
        <f>INDEX('8_가정'!$C$46:$C$87,MATCH($B78&amp;"|P5",'8_가정'!$A$46:$A$87,0))</f>
        <v>0</v>
      </c>
      <c r="X78" s="72">
        <f>INDEX('8_가정'!$D$46:$D$87,MATCH($B78&amp;"|P5",'8_가정'!$A$46:$A$87,0))</f>
        <v>0</v>
      </c>
      <c r="Y78" s="72">
        <f>INDEX('8_가정'!$E$46:$E$87,MATCH($B78&amp;"|P5",'8_가정'!$A$46:$A$87,0))</f>
        <v>0.01</v>
      </c>
      <c r="Z78" s="72">
        <f>INDEX('8_가정'!$F$46:$F$87,MATCH($B78&amp;"|P5",'8_가정'!$A$46:$A$87,0))</f>
        <v>0.03</v>
      </c>
      <c r="AA78" s="72">
        <f>INDEX('8_가정'!$G$46:$G$87,MATCH($B78&amp;"|P5",'8_가정'!$A$46:$A$87,0))</f>
        <v>0.05</v>
      </c>
      <c r="AB78" s="72">
        <f>INDEX('8_가정'!$C$46:$C$87,MATCH($B78&amp;"|P6",'8_가정'!$A$46:$A$87,0))</f>
        <v>0</v>
      </c>
      <c r="AC78" s="72">
        <f>INDEX('8_가정'!$D$46:$D$87,MATCH($B78&amp;"|P6",'8_가정'!$A$46:$A$87,0))</f>
        <v>0</v>
      </c>
      <c r="AD78" s="72">
        <f>INDEX('8_가정'!$E$46:$E$87,MATCH($B78&amp;"|P6",'8_가정'!$A$46:$A$87,0))</f>
        <v>0</v>
      </c>
      <c r="AE78" s="72">
        <f>INDEX('8_가정'!$F$46:$F$87,MATCH($B78&amp;"|P6",'8_가정'!$A$46:$A$87,0))</f>
        <v>0</v>
      </c>
      <c r="AF78" s="72">
        <f>INDEX('8_가정'!$G$46:$G$87,MATCH($B78&amp;"|P6",'8_가정'!$A$46:$A$87,0))</f>
        <v>0</v>
      </c>
    </row>
    <row r="79">
      <c r="A79" s="71" t="str">
        <f>'4_매출_거래처'!D31</f>
        <v>Green Initiative(GIV, 네덜란드·룩셈부르크·독일·폴란드)</v>
      </c>
      <c r="B79" s="71" t="str">
        <f>'4_매출_거래처'!I31</f>
        <v>DIST</v>
      </c>
      <c r="C79" s="72">
        <f>INDEX('8_가정'!$C$46:$C$87,MATCH($B79&amp;"|P1",'8_가정'!$A$46:$A$87,0))</f>
        <v>0.62</v>
      </c>
      <c r="D79" s="72">
        <f>INDEX('8_가정'!$D$46:$D$87,MATCH($B79&amp;"|P1",'8_가정'!$A$46:$A$87,0))</f>
        <v>0.62</v>
      </c>
      <c r="E79" s="72">
        <f>INDEX('8_가정'!$E$46:$E$87,MATCH($B79&amp;"|P1",'8_가정'!$A$46:$A$87,0))</f>
        <v>0.6</v>
      </c>
      <c r="F79" s="72">
        <f>INDEX('8_가정'!$F$46:$F$87,MATCH($B79&amp;"|P1",'8_가정'!$A$46:$A$87,0))</f>
        <v>0.58</v>
      </c>
      <c r="G79" s="72">
        <f>INDEX('8_가정'!$G$46:$G$87,MATCH($B79&amp;"|P1",'8_가정'!$A$46:$A$87,0))</f>
        <v>0.56</v>
      </c>
      <c r="H79" s="72">
        <f>INDEX('8_가정'!$C$46:$C$87,MATCH($B79&amp;"|P2",'8_가정'!$A$46:$A$87,0))</f>
        <v>0.28</v>
      </c>
      <c r="I79" s="72">
        <f>INDEX('8_가정'!$D$46:$D$87,MATCH($B79&amp;"|P2",'8_가정'!$A$46:$A$87,0))</f>
        <v>0.26</v>
      </c>
      <c r="J79" s="72">
        <f>INDEX('8_가정'!$E$46:$E$87,MATCH($B79&amp;"|P2",'8_가정'!$A$46:$A$87,0))</f>
        <v>0.24</v>
      </c>
      <c r="K79" s="72">
        <f>INDEX('8_가정'!$F$46:$F$87,MATCH($B79&amp;"|P2",'8_가정'!$A$46:$A$87,0))</f>
        <v>0.22</v>
      </c>
      <c r="L79" s="72">
        <f>INDEX('8_가정'!$G$46:$G$87,MATCH($B79&amp;"|P2",'8_가정'!$A$46:$A$87,0))</f>
        <v>0.2</v>
      </c>
      <c r="M79" s="72">
        <f>INDEX('8_가정'!$C$46:$C$87,MATCH($B79&amp;"|P3",'8_가정'!$A$46:$A$87,0))</f>
        <v>0.1</v>
      </c>
      <c r="N79" s="72">
        <f>INDEX('8_가정'!$D$46:$D$87,MATCH($B79&amp;"|P3",'8_가정'!$A$46:$A$87,0))</f>
        <v>0.09</v>
      </c>
      <c r="O79" s="72">
        <f>INDEX('8_가정'!$E$46:$E$87,MATCH($B79&amp;"|P3",'8_가정'!$A$46:$A$87,0))</f>
        <v>0.1</v>
      </c>
      <c r="P79" s="72">
        <f>INDEX('8_가정'!$F$46:$F$87,MATCH($B79&amp;"|P3",'8_가정'!$A$46:$A$87,0))</f>
        <v>0.1</v>
      </c>
      <c r="Q79" s="72">
        <f>INDEX('8_가정'!$G$46:$G$87,MATCH($B79&amp;"|P3",'8_가정'!$A$46:$A$87,0))</f>
        <v>0.1</v>
      </c>
      <c r="R79" s="72">
        <f>INDEX('8_가정'!$C$46:$C$87,MATCH($B79&amp;"|P4",'8_가정'!$A$46:$A$87,0))</f>
        <v>0</v>
      </c>
      <c r="S79" s="72">
        <f>INDEX('8_가정'!$D$46:$D$87,MATCH($B79&amp;"|P4",'8_가정'!$A$46:$A$87,0))</f>
        <v>0.03</v>
      </c>
      <c r="T79" s="72">
        <f>INDEX('8_가정'!$E$46:$E$87,MATCH($B79&amp;"|P4",'8_가정'!$A$46:$A$87,0))</f>
        <v>0.05</v>
      </c>
      <c r="U79" s="72">
        <f>INDEX('8_가정'!$F$46:$F$87,MATCH($B79&amp;"|P4",'8_가정'!$A$46:$A$87,0))</f>
        <v>0.07</v>
      </c>
      <c r="V79" s="72">
        <f>INDEX('8_가정'!$G$46:$G$87,MATCH($B79&amp;"|P4",'8_가정'!$A$46:$A$87,0))</f>
        <v>0.09</v>
      </c>
      <c r="W79" s="72">
        <f>INDEX('8_가정'!$C$46:$C$87,MATCH($B79&amp;"|P5",'8_가정'!$A$46:$A$87,0))</f>
        <v>0</v>
      </c>
      <c r="X79" s="72">
        <f>INDEX('8_가정'!$D$46:$D$87,MATCH($B79&amp;"|P5",'8_가정'!$A$46:$A$87,0))</f>
        <v>0</v>
      </c>
      <c r="Y79" s="72">
        <f>INDEX('8_가정'!$E$46:$E$87,MATCH($B79&amp;"|P5",'8_가정'!$A$46:$A$87,0))</f>
        <v>0.01</v>
      </c>
      <c r="Z79" s="72">
        <f>INDEX('8_가정'!$F$46:$F$87,MATCH($B79&amp;"|P5",'8_가정'!$A$46:$A$87,0))</f>
        <v>0.03</v>
      </c>
      <c r="AA79" s="72">
        <f>INDEX('8_가정'!$G$46:$G$87,MATCH($B79&amp;"|P5",'8_가정'!$A$46:$A$87,0))</f>
        <v>0.05</v>
      </c>
      <c r="AB79" s="72">
        <f>INDEX('8_가정'!$C$46:$C$87,MATCH($B79&amp;"|P6",'8_가정'!$A$46:$A$87,0))</f>
        <v>0</v>
      </c>
      <c r="AC79" s="72">
        <f>INDEX('8_가정'!$D$46:$D$87,MATCH($B79&amp;"|P6",'8_가정'!$A$46:$A$87,0))</f>
        <v>0</v>
      </c>
      <c r="AD79" s="72">
        <f>INDEX('8_가정'!$E$46:$E$87,MATCH($B79&amp;"|P6",'8_가정'!$A$46:$A$87,0))</f>
        <v>0</v>
      </c>
      <c r="AE79" s="72">
        <f>INDEX('8_가정'!$F$46:$F$87,MATCH($B79&amp;"|P6",'8_가정'!$A$46:$A$87,0))</f>
        <v>0</v>
      </c>
      <c r="AF79" s="72">
        <f>INDEX('8_가정'!$G$46:$G$87,MATCH($B79&amp;"|P6",'8_가정'!$A$46:$A$87,0))</f>
        <v>0</v>
      </c>
    </row>
    <row r="80">
      <c r="A80" s="71" t="str">
        <f>'4_매출_거래처'!D32</f>
        <v>NEUCA(폴란드)</v>
      </c>
      <c r="B80" s="71" t="str">
        <f>'4_매출_거래처'!I32</f>
        <v>DIST</v>
      </c>
      <c r="C80" s="72">
        <f>INDEX('8_가정'!$C$46:$C$87,MATCH($B80&amp;"|P1",'8_가정'!$A$46:$A$87,0))</f>
        <v>0.62</v>
      </c>
      <c r="D80" s="72">
        <f>INDEX('8_가정'!$D$46:$D$87,MATCH($B80&amp;"|P1",'8_가정'!$A$46:$A$87,0))</f>
        <v>0.62</v>
      </c>
      <c r="E80" s="72">
        <f>INDEX('8_가정'!$E$46:$E$87,MATCH($B80&amp;"|P1",'8_가정'!$A$46:$A$87,0))</f>
        <v>0.6</v>
      </c>
      <c r="F80" s="72">
        <f>INDEX('8_가정'!$F$46:$F$87,MATCH($B80&amp;"|P1",'8_가정'!$A$46:$A$87,0))</f>
        <v>0.58</v>
      </c>
      <c r="G80" s="72">
        <f>INDEX('8_가정'!$G$46:$G$87,MATCH($B80&amp;"|P1",'8_가정'!$A$46:$A$87,0))</f>
        <v>0.56</v>
      </c>
      <c r="H80" s="72">
        <f>INDEX('8_가정'!$C$46:$C$87,MATCH($B80&amp;"|P2",'8_가정'!$A$46:$A$87,0))</f>
        <v>0.28</v>
      </c>
      <c r="I80" s="72">
        <f>INDEX('8_가정'!$D$46:$D$87,MATCH($B80&amp;"|P2",'8_가정'!$A$46:$A$87,0))</f>
        <v>0.26</v>
      </c>
      <c r="J80" s="72">
        <f>INDEX('8_가정'!$E$46:$E$87,MATCH($B80&amp;"|P2",'8_가정'!$A$46:$A$87,0))</f>
        <v>0.24</v>
      </c>
      <c r="K80" s="72">
        <f>INDEX('8_가정'!$F$46:$F$87,MATCH($B80&amp;"|P2",'8_가정'!$A$46:$A$87,0))</f>
        <v>0.22</v>
      </c>
      <c r="L80" s="72">
        <f>INDEX('8_가정'!$G$46:$G$87,MATCH($B80&amp;"|P2",'8_가정'!$A$46:$A$87,0))</f>
        <v>0.2</v>
      </c>
      <c r="M80" s="72">
        <f>INDEX('8_가정'!$C$46:$C$87,MATCH($B80&amp;"|P3",'8_가정'!$A$46:$A$87,0))</f>
        <v>0.1</v>
      </c>
      <c r="N80" s="72">
        <f>INDEX('8_가정'!$D$46:$D$87,MATCH($B80&amp;"|P3",'8_가정'!$A$46:$A$87,0))</f>
        <v>0.09</v>
      </c>
      <c r="O80" s="72">
        <f>INDEX('8_가정'!$E$46:$E$87,MATCH($B80&amp;"|P3",'8_가정'!$A$46:$A$87,0))</f>
        <v>0.1</v>
      </c>
      <c r="P80" s="72">
        <f>INDEX('8_가정'!$F$46:$F$87,MATCH($B80&amp;"|P3",'8_가정'!$A$46:$A$87,0))</f>
        <v>0.1</v>
      </c>
      <c r="Q80" s="72">
        <f>INDEX('8_가정'!$G$46:$G$87,MATCH($B80&amp;"|P3",'8_가정'!$A$46:$A$87,0))</f>
        <v>0.1</v>
      </c>
      <c r="R80" s="72">
        <f>INDEX('8_가정'!$C$46:$C$87,MATCH($B80&amp;"|P4",'8_가정'!$A$46:$A$87,0))</f>
        <v>0</v>
      </c>
      <c r="S80" s="72">
        <f>INDEX('8_가정'!$D$46:$D$87,MATCH($B80&amp;"|P4",'8_가정'!$A$46:$A$87,0))</f>
        <v>0.03</v>
      </c>
      <c r="T80" s="72">
        <f>INDEX('8_가정'!$E$46:$E$87,MATCH($B80&amp;"|P4",'8_가정'!$A$46:$A$87,0))</f>
        <v>0.05</v>
      </c>
      <c r="U80" s="72">
        <f>INDEX('8_가정'!$F$46:$F$87,MATCH($B80&amp;"|P4",'8_가정'!$A$46:$A$87,0))</f>
        <v>0.07</v>
      </c>
      <c r="V80" s="72">
        <f>INDEX('8_가정'!$G$46:$G$87,MATCH($B80&amp;"|P4",'8_가정'!$A$46:$A$87,0))</f>
        <v>0.09</v>
      </c>
      <c r="W80" s="72">
        <f>INDEX('8_가정'!$C$46:$C$87,MATCH($B80&amp;"|P5",'8_가정'!$A$46:$A$87,0))</f>
        <v>0</v>
      </c>
      <c r="X80" s="72">
        <f>INDEX('8_가정'!$D$46:$D$87,MATCH($B80&amp;"|P5",'8_가정'!$A$46:$A$87,0))</f>
        <v>0</v>
      </c>
      <c r="Y80" s="72">
        <f>INDEX('8_가정'!$E$46:$E$87,MATCH($B80&amp;"|P5",'8_가정'!$A$46:$A$87,0))</f>
        <v>0.01</v>
      </c>
      <c r="Z80" s="72">
        <f>INDEX('8_가정'!$F$46:$F$87,MATCH($B80&amp;"|P5",'8_가정'!$A$46:$A$87,0))</f>
        <v>0.03</v>
      </c>
      <c r="AA80" s="72">
        <f>INDEX('8_가정'!$G$46:$G$87,MATCH($B80&amp;"|P5",'8_가정'!$A$46:$A$87,0))</f>
        <v>0.05</v>
      </c>
      <c r="AB80" s="72">
        <f>INDEX('8_가정'!$C$46:$C$87,MATCH($B80&amp;"|P6",'8_가정'!$A$46:$A$87,0))</f>
        <v>0</v>
      </c>
      <c r="AC80" s="72">
        <f>INDEX('8_가정'!$D$46:$D$87,MATCH($B80&amp;"|P6",'8_가정'!$A$46:$A$87,0))</f>
        <v>0</v>
      </c>
      <c r="AD80" s="72">
        <f>INDEX('8_가정'!$E$46:$E$87,MATCH($B80&amp;"|P6",'8_가정'!$A$46:$A$87,0))</f>
        <v>0</v>
      </c>
      <c r="AE80" s="72">
        <f>INDEX('8_가정'!$F$46:$F$87,MATCH($B80&amp;"|P6",'8_가정'!$A$46:$A$87,0))</f>
        <v>0</v>
      </c>
      <c r="AF80" s="72">
        <f>INDEX('8_가정'!$G$46:$G$87,MATCH($B80&amp;"|P6",'8_가정'!$A$46:$A$87,0))</f>
        <v>0</v>
      </c>
    </row>
    <row r="81">
      <c r="A81" s="71" t="str">
        <f>'4_매출_거래처'!D33</f>
        <v>독일 총판</v>
      </c>
      <c r="B81" s="71" t="str">
        <f>'4_매출_거래처'!I33</f>
        <v>DIST</v>
      </c>
      <c r="C81" s="72">
        <f>INDEX('8_가정'!$C$46:$C$87,MATCH($B81&amp;"|P1",'8_가정'!$A$46:$A$87,0))</f>
        <v>0.62</v>
      </c>
      <c r="D81" s="72">
        <f>INDEX('8_가정'!$D$46:$D$87,MATCH($B81&amp;"|P1",'8_가정'!$A$46:$A$87,0))</f>
        <v>0.62</v>
      </c>
      <c r="E81" s="72">
        <f>INDEX('8_가정'!$E$46:$E$87,MATCH($B81&amp;"|P1",'8_가정'!$A$46:$A$87,0))</f>
        <v>0.6</v>
      </c>
      <c r="F81" s="72">
        <f>INDEX('8_가정'!$F$46:$F$87,MATCH($B81&amp;"|P1",'8_가정'!$A$46:$A$87,0))</f>
        <v>0.58</v>
      </c>
      <c r="G81" s="72">
        <f>INDEX('8_가정'!$G$46:$G$87,MATCH($B81&amp;"|P1",'8_가정'!$A$46:$A$87,0))</f>
        <v>0.56</v>
      </c>
      <c r="H81" s="72">
        <f>INDEX('8_가정'!$C$46:$C$87,MATCH($B81&amp;"|P2",'8_가정'!$A$46:$A$87,0))</f>
        <v>0.28</v>
      </c>
      <c r="I81" s="72">
        <f>INDEX('8_가정'!$D$46:$D$87,MATCH($B81&amp;"|P2",'8_가정'!$A$46:$A$87,0))</f>
        <v>0.26</v>
      </c>
      <c r="J81" s="72">
        <f>INDEX('8_가정'!$E$46:$E$87,MATCH($B81&amp;"|P2",'8_가정'!$A$46:$A$87,0))</f>
        <v>0.24</v>
      </c>
      <c r="K81" s="72">
        <f>INDEX('8_가정'!$F$46:$F$87,MATCH($B81&amp;"|P2",'8_가정'!$A$46:$A$87,0))</f>
        <v>0.22</v>
      </c>
      <c r="L81" s="72">
        <f>INDEX('8_가정'!$G$46:$G$87,MATCH($B81&amp;"|P2",'8_가정'!$A$46:$A$87,0))</f>
        <v>0.2</v>
      </c>
      <c r="M81" s="72">
        <f>INDEX('8_가정'!$C$46:$C$87,MATCH($B81&amp;"|P3",'8_가정'!$A$46:$A$87,0))</f>
        <v>0.1</v>
      </c>
      <c r="N81" s="72">
        <f>INDEX('8_가정'!$D$46:$D$87,MATCH($B81&amp;"|P3",'8_가정'!$A$46:$A$87,0))</f>
        <v>0.09</v>
      </c>
      <c r="O81" s="72">
        <f>INDEX('8_가정'!$E$46:$E$87,MATCH($B81&amp;"|P3",'8_가정'!$A$46:$A$87,0))</f>
        <v>0.1</v>
      </c>
      <c r="P81" s="72">
        <f>INDEX('8_가정'!$F$46:$F$87,MATCH($B81&amp;"|P3",'8_가정'!$A$46:$A$87,0))</f>
        <v>0.1</v>
      </c>
      <c r="Q81" s="72">
        <f>INDEX('8_가정'!$G$46:$G$87,MATCH($B81&amp;"|P3",'8_가정'!$A$46:$A$87,0))</f>
        <v>0.1</v>
      </c>
      <c r="R81" s="72">
        <f>INDEX('8_가정'!$C$46:$C$87,MATCH($B81&amp;"|P4",'8_가정'!$A$46:$A$87,0))</f>
        <v>0</v>
      </c>
      <c r="S81" s="72">
        <f>INDEX('8_가정'!$D$46:$D$87,MATCH($B81&amp;"|P4",'8_가정'!$A$46:$A$87,0))</f>
        <v>0.03</v>
      </c>
      <c r="T81" s="72">
        <f>INDEX('8_가정'!$E$46:$E$87,MATCH($B81&amp;"|P4",'8_가정'!$A$46:$A$87,0))</f>
        <v>0.05</v>
      </c>
      <c r="U81" s="72">
        <f>INDEX('8_가정'!$F$46:$F$87,MATCH($B81&amp;"|P4",'8_가정'!$A$46:$A$87,0))</f>
        <v>0.07</v>
      </c>
      <c r="V81" s="72">
        <f>INDEX('8_가정'!$G$46:$G$87,MATCH($B81&amp;"|P4",'8_가정'!$A$46:$A$87,0))</f>
        <v>0.09</v>
      </c>
      <c r="W81" s="72">
        <f>INDEX('8_가정'!$C$46:$C$87,MATCH($B81&amp;"|P5",'8_가정'!$A$46:$A$87,0))</f>
        <v>0</v>
      </c>
      <c r="X81" s="72">
        <f>INDEX('8_가정'!$D$46:$D$87,MATCH($B81&amp;"|P5",'8_가정'!$A$46:$A$87,0))</f>
        <v>0</v>
      </c>
      <c r="Y81" s="72">
        <f>INDEX('8_가정'!$E$46:$E$87,MATCH($B81&amp;"|P5",'8_가정'!$A$46:$A$87,0))</f>
        <v>0.01</v>
      </c>
      <c r="Z81" s="72">
        <f>INDEX('8_가정'!$F$46:$F$87,MATCH($B81&amp;"|P5",'8_가정'!$A$46:$A$87,0))</f>
        <v>0.03</v>
      </c>
      <c r="AA81" s="72">
        <f>INDEX('8_가정'!$G$46:$G$87,MATCH($B81&amp;"|P5",'8_가정'!$A$46:$A$87,0))</f>
        <v>0.05</v>
      </c>
      <c r="AB81" s="72">
        <f>INDEX('8_가정'!$C$46:$C$87,MATCH($B81&amp;"|P6",'8_가정'!$A$46:$A$87,0))</f>
        <v>0</v>
      </c>
      <c r="AC81" s="72">
        <f>INDEX('8_가정'!$D$46:$D$87,MATCH($B81&amp;"|P6",'8_가정'!$A$46:$A$87,0))</f>
        <v>0</v>
      </c>
      <c r="AD81" s="72">
        <f>INDEX('8_가정'!$E$46:$E$87,MATCH($B81&amp;"|P6",'8_가정'!$A$46:$A$87,0))</f>
        <v>0</v>
      </c>
      <c r="AE81" s="72">
        <f>INDEX('8_가정'!$F$46:$F$87,MATCH($B81&amp;"|P6",'8_가정'!$A$46:$A$87,0))</f>
        <v>0</v>
      </c>
      <c r="AF81" s="72">
        <f>INDEX('8_가정'!$G$46:$G$87,MATCH($B81&amp;"|P6",'8_가정'!$A$46:$A$87,0))</f>
        <v>0</v>
      </c>
    </row>
    <row r="82">
      <c r="A82" s="71" t="str">
        <f>'4_매출_거래처'!D34</f>
        <v>INTEGA(싱가포르·말레이시아·태국 총판)</v>
      </c>
      <c r="B82" s="71" t="str">
        <f>'4_매출_거래처'!I34</f>
        <v>DIST</v>
      </c>
      <c r="C82" s="72">
        <f>INDEX('8_가정'!$C$46:$C$87,MATCH($B82&amp;"|P1",'8_가정'!$A$46:$A$87,0))</f>
        <v>0.62</v>
      </c>
      <c r="D82" s="72">
        <f>INDEX('8_가정'!$D$46:$D$87,MATCH($B82&amp;"|P1",'8_가정'!$A$46:$A$87,0))</f>
        <v>0.62</v>
      </c>
      <c r="E82" s="72">
        <f>INDEX('8_가정'!$E$46:$E$87,MATCH($B82&amp;"|P1",'8_가정'!$A$46:$A$87,0))</f>
        <v>0.6</v>
      </c>
      <c r="F82" s="72">
        <f>INDEX('8_가정'!$F$46:$F$87,MATCH($B82&amp;"|P1",'8_가정'!$A$46:$A$87,0))</f>
        <v>0.58</v>
      </c>
      <c r="G82" s="72">
        <f>INDEX('8_가정'!$G$46:$G$87,MATCH($B82&amp;"|P1",'8_가정'!$A$46:$A$87,0))</f>
        <v>0.56</v>
      </c>
      <c r="H82" s="72">
        <f>INDEX('8_가정'!$C$46:$C$87,MATCH($B82&amp;"|P2",'8_가정'!$A$46:$A$87,0))</f>
        <v>0.28</v>
      </c>
      <c r="I82" s="72">
        <f>INDEX('8_가정'!$D$46:$D$87,MATCH($B82&amp;"|P2",'8_가정'!$A$46:$A$87,0))</f>
        <v>0.26</v>
      </c>
      <c r="J82" s="72">
        <f>INDEX('8_가정'!$E$46:$E$87,MATCH($B82&amp;"|P2",'8_가정'!$A$46:$A$87,0))</f>
        <v>0.24</v>
      </c>
      <c r="K82" s="72">
        <f>INDEX('8_가정'!$F$46:$F$87,MATCH($B82&amp;"|P2",'8_가정'!$A$46:$A$87,0))</f>
        <v>0.22</v>
      </c>
      <c r="L82" s="72">
        <f>INDEX('8_가정'!$G$46:$G$87,MATCH($B82&amp;"|P2",'8_가정'!$A$46:$A$87,0))</f>
        <v>0.2</v>
      </c>
      <c r="M82" s="72">
        <f>INDEX('8_가정'!$C$46:$C$87,MATCH($B82&amp;"|P3",'8_가정'!$A$46:$A$87,0))</f>
        <v>0.1</v>
      </c>
      <c r="N82" s="72">
        <f>INDEX('8_가정'!$D$46:$D$87,MATCH($B82&amp;"|P3",'8_가정'!$A$46:$A$87,0))</f>
        <v>0.09</v>
      </c>
      <c r="O82" s="72">
        <f>INDEX('8_가정'!$E$46:$E$87,MATCH($B82&amp;"|P3",'8_가정'!$A$46:$A$87,0))</f>
        <v>0.1</v>
      </c>
      <c r="P82" s="72">
        <f>INDEX('8_가정'!$F$46:$F$87,MATCH($B82&amp;"|P3",'8_가정'!$A$46:$A$87,0))</f>
        <v>0.1</v>
      </c>
      <c r="Q82" s="72">
        <f>INDEX('8_가정'!$G$46:$G$87,MATCH($B82&amp;"|P3",'8_가정'!$A$46:$A$87,0))</f>
        <v>0.1</v>
      </c>
      <c r="R82" s="72">
        <f>INDEX('8_가정'!$C$46:$C$87,MATCH($B82&amp;"|P4",'8_가정'!$A$46:$A$87,0))</f>
        <v>0</v>
      </c>
      <c r="S82" s="72">
        <f>INDEX('8_가정'!$D$46:$D$87,MATCH($B82&amp;"|P4",'8_가정'!$A$46:$A$87,0))</f>
        <v>0.03</v>
      </c>
      <c r="T82" s="72">
        <f>INDEX('8_가정'!$E$46:$E$87,MATCH($B82&amp;"|P4",'8_가정'!$A$46:$A$87,0))</f>
        <v>0.05</v>
      </c>
      <c r="U82" s="72">
        <f>INDEX('8_가정'!$F$46:$F$87,MATCH($B82&amp;"|P4",'8_가정'!$A$46:$A$87,0))</f>
        <v>0.07</v>
      </c>
      <c r="V82" s="72">
        <f>INDEX('8_가정'!$G$46:$G$87,MATCH($B82&amp;"|P4",'8_가정'!$A$46:$A$87,0))</f>
        <v>0.09</v>
      </c>
      <c r="W82" s="72">
        <f>INDEX('8_가정'!$C$46:$C$87,MATCH($B82&amp;"|P5",'8_가정'!$A$46:$A$87,0))</f>
        <v>0</v>
      </c>
      <c r="X82" s="72">
        <f>INDEX('8_가정'!$D$46:$D$87,MATCH($B82&amp;"|P5",'8_가정'!$A$46:$A$87,0))</f>
        <v>0</v>
      </c>
      <c r="Y82" s="72">
        <f>INDEX('8_가정'!$E$46:$E$87,MATCH($B82&amp;"|P5",'8_가정'!$A$46:$A$87,0))</f>
        <v>0.01</v>
      </c>
      <c r="Z82" s="72">
        <f>INDEX('8_가정'!$F$46:$F$87,MATCH($B82&amp;"|P5",'8_가정'!$A$46:$A$87,0))</f>
        <v>0.03</v>
      </c>
      <c r="AA82" s="72">
        <f>INDEX('8_가정'!$G$46:$G$87,MATCH($B82&amp;"|P5",'8_가정'!$A$46:$A$87,0))</f>
        <v>0.05</v>
      </c>
      <c r="AB82" s="72">
        <f>INDEX('8_가정'!$C$46:$C$87,MATCH($B82&amp;"|P6",'8_가정'!$A$46:$A$87,0))</f>
        <v>0</v>
      </c>
      <c r="AC82" s="72">
        <f>INDEX('8_가정'!$D$46:$D$87,MATCH($B82&amp;"|P6",'8_가정'!$A$46:$A$87,0))</f>
        <v>0</v>
      </c>
      <c r="AD82" s="72">
        <f>INDEX('8_가정'!$E$46:$E$87,MATCH($B82&amp;"|P6",'8_가정'!$A$46:$A$87,0))</f>
        <v>0</v>
      </c>
      <c r="AE82" s="72">
        <f>INDEX('8_가정'!$F$46:$F$87,MATCH($B82&amp;"|P6",'8_가정'!$A$46:$A$87,0))</f>
        <v>0</v>
      </c>
      <c r="AF82" s="72">
        <f>INDEX('8_가정'!$G$46:$G$87,MATCH($B82&amp;"|P6",'8_가정'!$A$46:$A$87,0))</f>
        <v>0</v>
      </c>
    </row>
    <row r="83">
      <c r="A83" s="71" t="str">
        <f>'4_매출_거래처'!D35</f>
        <v>Sunway Sanctuary(말레이시아)</v>
      </c>
      <c r="B83" s="71" t="str">
        <f>'4_매출_거래처'!I35</f>
        <v>RND</v>
      </c>
      <c r="C83" s="72">
        <f>INDEX('8_가정'!$C$46:$C$87,MATCH($B83&amp;"|P1",'8_가정'!$A$46:$A$87,0))</f>
        <v>0</v>
      </c>
      <c r="D83" s="72">
        <f>INDEX('8_가정'!$D$46:$D$87,MATCH($B83&amp;"|P1",'8_가정'!$A$46:$A$87,0))</f>
        <v>0</v>
      </c>
      <c r="E83" s="72">
        <f>INDEX('8_가정'!$E$46:$E$87,MATCH($B83&amp;"|P1",'8_가정'!$A$46:$A$87,0))</f>
        <v>0</v>
      </c>
      <c r="F83" s="72">
        <f>INDEX('8_가정'!$F$46:$F$87,MATCH($B83&amp;"|P1",'8_가정'!$A$46:$A$87,0))</f>
        <v>0</v>
      </c>
      <c r="G83" s="72">
        <f>INDEX('8_가정'!$G$46:$G$87,MATCH($B83&amp;"|P1",'8_가정'!$A$46:$A$87,0))</f>
        <v>0</v>
      </c>
      <c r="H83" s="72">
        <f>INDEX('8_가정'!$C$46:$C$87,MATCH($B83&amp;"|P2",'8_가정'!$A$46:$A$87,0))</f>
        <v>0</v>
      </c>
      <c r="I83" s="72">
        <f>INDEX('8_가정'!$D$46:$D$87,MATCH($B83&amp;"|P2",'8_가정'!$A$46:$A$87,0))</f>
        <v>0</v>
      </c>
      <c r="J83" s="72">
        <f>INDEX('8_가정'!$E$46:$E$87,MATCH($B83&amp;"|P2",'8_가정'!$A$46:$A$87,0))</f>
        <v>0</v>
      </c>
      <c r="K83" s="72">
        <f>INDEX('8_가정'!$F$46:$F$87,MATCH($B83&amp;"|P2",'8_가정'!$A$46:$A$87,0))</f>
        <v>0</v>
      </c>
      <c r="L83" s="72">
        <f>INDEX('8_가정'!$G$46:$G$87,MATCH($B83&amp;"|P2",'8_가정'!$A$46:$A$87,0))</f>
        <v>0</v>
      </c>
      <c r="M83" s="72">
        <f>INDEX('8_가정'!$C$46:$C$87,MATCH($B83&amp;"|P3",'8_가정'!$A$46:$A$87,0))</f>
        <v>0</v>
      </c>
      <c r="N83" s="72">
        <f>INDEX('8_가정'!$D$46:$D$87,MATCH($B83&amp;"|P3",'8_가정'!$A$46:$A$87,0))</f>
        <v>0</v>
      </c>
      <c r="O83" s="72">
        <f>INDEX('8_가정'!$E$46:$E$87,MATCH($B83&amp;"|P3",'8_가정'!$A$46:$A$87,0))</f>
        <v>0</v>
      </c>
      <c r="P83" s="72">
        <f>INDEX('8_가정'!$F$46:$F$87,MATCH($B83&amp;"|P3",'8_가정'!$A$46:$A$87,0))</f>
        <v>0</v>
      </c>
      <c r="Q83" s="72">
        <f>INDEX('8_가정'!$G$46:$G$87,MATCH($B83&amp;"|P3",'8_가정'!$A$46:$A$87,0))</f>
        <v>0</v>
      </c>
      <c r="R83" s="72">
        <f>INDEX('8_가정'!$C$46:$C$87,MATCH($B83&amp;"|P4",'8_가정'!$A$46:$A$87,0))</f>
        <v>0</v>
      </c>
      <c r="S83" s="72">
        <f>INDEX('8_가정'!$D$46:$D$87,MATCH($B83&amp;"|P4",'8_가정'!$A$46:$A$87,0))</f>
        <v>0</v>
      </c>
      <c r="T83" s="72">
        <f>INDEX('8_가정'!$E$46:$E$87,MATCH($B83&amp;"|P4",'8_가정'!$A$46:$A$87,0))</f>
        <v>0</v>
      </c>
      <c r="U83" s="72">
        <f>INDEX('8_가정'!$F$46:$F$87,MATCH($B83&amp;"|P4",'8_가정'!$A$46:$A$87,0))</f>
        <v>0</v>
      </c>
      <c r="V83" s="72">
        <f>INDEX('8_가정'!$G$46:$G$87,MATCH($B83&amp;"|P4",'8_가정'!$A$46:$A$87,0))</f>
        <v>0</v>
      </c>
      <c r="W83" s="72">
        <f>INDEX('8_가정'!$C$46:$C$87,MATCH($B83&amp;"|P5",'8_가정'!$A$46:$A$87,0))</f>
        <v>0</v>
      </c>
      <c r="X83" s="72">
        <f>INDEX('8_가정'!$D$46:$D$87,MATCH($B83&amp;"|P5",'8_가정'!$A$46:$A$87,0))</f>
        <v>0</v>
      </c>
      <c r="Y83" s="72">
        <f>INDEX('8_가정'!$E$46:$E$87,MATCH($B83&amp;"|P5",'8_가정'!$A$46:$A$87,0))</f>
        <v>0</v>
      </c>
      <c r="Z83" s="72">
        <f>INDEX('8_가정'!$F$46:$F$87,MATCH($B83&amp;"|P5",'8_가정'!$A$46:$A$87,0))</f>
        <v>0</v>
      </c>
      <c r="AA83" s="72">
        <f>INDEX('8_가정'!$G$46:$G$87,MATCH($B83&amp;"|P5",'8_가정'!$A$46:$A$87,0))</f>
        <v>0</v>
      </c>
      <c r="AB83" s="72">
        <f>INDEX('8_가정'!$C$46:$C$87,MATCH($B83&amp;"|P6",'8_가정'!$A$46:$A$87,0))</f>
        <v>1</v>
      </c>
      <c r="AC83" s="72">
        <f>INDEX('8_가정'!$D$46:$D$87,MATCH($B83&amp;"|P6",'8_가정'!$A$46:$A$87,0))</f>
        <v>1</v>
      </c>
      <c r="AD83" s="72">
        <f>INDEX('8_가정'!$E$46:$E$87,MATCH($B83&amp;"|P6",'8_가정'!$A$46:$A$87,0))</f>
        <v>1</v>
      </c>
      <c r="AE83" s="72">
        <f>INDEX('8_가정'!$F$46:$F$87,MATCH($B83&amp;"|P6",'8_가정'!$A$46:$A$87,0))</f>
        <v>1</v>
      </c>
      <c r="AF83" s="72">
        <f>INDEX('8_가정'!$G$46:$G$87,MATCH($B83&amp;"|P6",'8_가정'!$A$46:$A$87,0))</f>
        <v>1</v>
      </c>
    </row>
    <row r="84">
      <c r="A84" s="71" t="str">
        <f>'4_매출_거래처'!D36</f>
        <v>NHG(KTPH·TTSH·Woodlands) 스마트 병동</v>
      </c>
      <c r="B84" s="71" t="str">
        <f>'4_매출_거래처'!I36</f>
        <v>HWPROJ</v>
      </c>
      <c r="C84" s="72">
        <f>INDEX('8_가정'!$C$46:$C$87,MATCH($B84&amp;"|P1",'8_가정'!$A$46:$A$87,0))</f>
        <v>0</v>
      </c>
      <c r="D84" s="72">
        <f>INDEX('8_가정'!$D$46:$D$87,MATCH($B84&amp;"|P1",'8_가정'!$A$46:$A$87,0))</f>
        <v>0</v>
      </c>
      <c r="E84" s="72">
        <f>INDEX('8_가정'!$E$46:$E$87,MATCH($B84&amp;"|P1",'8_가정'!$A$46:$A$87,0))</f>
        <v>0</v>
      </c>
      <c r="F84" s="72">
        <f>INDEX('8_가정'!$F$46:$F$87,MATCH($B84&amp;"|P1",'8_가정'!$A$46:$A$87,0))</f>
        <v>0</v>
      </c>
      <c r="G84" s="72">
        <f>INDEX('8_가정'!$G$46:$G$87,MATCH($B84&amp;"|P1",'8_가정'!$A$46:$A$87,0))</f>
        <v>0</v>
      </c>
      <c r="H84" s="72">
        <f>INDEX('8_가정'!$C$46:$C$87,MATCH($B84&amp;"|P2",'8_가정'!$A$46:$A$87,0))</f>
        <v>0.7</v>
      </c>
      <c r="I84" s="72">
        <f>INDEX('8_가정'!$D$46:$D$87,MATCH($B84&amp;"|P2",'8_가정'!$A$46:$A$87,0))</f>
        <v>0.7</v>
      </c>
      <c r="J84" s="72">
        <f>INDEX('8_가정'!$E$46:$E$87,MATCH($B84&amp;"|P2",'8_가정'!$A$46:$A$87,0))</f>
        <v>0.7</v>
      </c>
      <c r="K84" s="72">
        <f>INDEX('8_가정'!$F$46:$F$87,MATCH($B84&amp;"|P2",'8_가정'!$A$46:$A$87,0))</f>
        <v>0.7</v>
      </c>
      <c r="L84" s="72">
        <f>INDEX('8_가정'!$G$46:$G$87,MATCH($B84&amp;"|P2",'8_가정'!$A$46:$A$87,0))</f>
        <v>0.7</v>
      </c>
      <c r="M84" s="72">
        <f>INDEX('8_가정'!$C$46:$C$87,MATCH($B84&amp;"|P3",'8_가정'!$A$46:$A$87,0))</f>
        <v>0.15</v>
      </c>
      <c r="N84" s="72">
        <f>INDEX('8_가정'!$D$46:$D$87,MATCH($B84&amp;"|P3",'8_가정'!$A$46:$A$87,0))</f>
        <v>0.15</v>
      </c>
      <c r="O84" s="72">
        <f>INDEX('8_가정'!$E$46:$E$87,MATCH($B84&amp;"|P3",'8_가정'!$A$46:$A$87,0))</f>
        <v>0.15</v>
      </c>
      <c r="P84" s="72">
        <f>INDEX('8_가정'!$F$46:$F$87,MATCH($B84&amp;"|P3",'8_가정'!$A$46:$A$87,0))</f>
        <v>0.15</v>
      </c>
      <c r="Q84" s="72">
        <f>INDEX('8_가정'!$G$46:$G$87,MATCH($B84&amp;"|P3",'8_가정'!$A$46:$A$87,0))</f>
        <v>0.15</v>
      </c>
      <c r="R84" s="72">
        <f>INDEX('8_가정'!$C$46:$C$87,MATCH($B84&amp;"|P4",'8_가정'!$A$46:$A$87,0))</f>
        <v>0</v>
      </c>
      <c r="S84" s="72">
        <f>INDEX('8_가정'!$D$46:$D$87,MATCH($B84&amp;"|P4",'8_가정'!$A$46:$A$87,0))</f>
        <v>0</v>
      </c>
      <c r="T84" s="72">
        <f>INDEX('8_가정'!$E$46:$E$87,MATCH($B84&amp;"|P4",'8_가정'!$A$46:$A$87,0))</f>
        <v>0</v>
      </c>
      <c r="U84" s="72">
        <f>INDEX('8_가정'!$F$46:$F$87,MATCH($B84&amp;"|P4",'8_가정'!$A$46:$A$87,0))</f>
        <v>0</v>
      </c>
      <c r="V84" s="72">
        <f>INDEX('8_가정'!$G$46:$G$87,MATCH($B84&amp;"|P4",'8_가정'!$A$46:$A$87,0))</f>
        <v>0</v>
      </c>
      <c r="W84" s="72">
        <f>INDEX('8_가정'!$C$46:$C$87,MATCH($B84&amp;"|P5",'8_가정'!$A$46:$A$87,0))</f>
        <v>0</v>
      </c>
      <c r="X84" s="72">
        <f>INDEX('8_가정'!$D$46:$D$87,MATCH($B84&amp;"|P5",'8_가정'!$A$46:$A$87,0))</f>
        <v>0</v>
      </c>
      <c r="Y84" s="72">
        <f>INDEX('8_가정'!$E$46:$E$87,MATCH($B84&amp;"|P5",'8_가정'!$A$46:$A$87,0))</f>
        <v>0</v>
      </c>
      <c r="Z84" s="72">
        <f>INDEX('8_가정'!$F$46:$F$87,MATCH($B84&amp;"|P5",'8_가정'!$A$46:$A$87,0))</f>
        <v>0</v>
      </c>
      <c r="AA84" s="72">
        <f>INDEX('8_가정'!$G$46:$G$87,MATCH($B84&amp;"|P5",'8_가정'!$A$46:$A$87,0))</f>
        <v>0</v>
      </c>
      <c r="AB84" s="72">
        <f>INDEX('8_가정'!$C$46:$C$87,MATCH($B84&amp;"|P6",'8_가정'!$A$46:$A$87,0))</f>
        <v>0.15</v>
      </c>
      <c r="AC84" s="72">
        <f>INDEX('8_가정'!$D$46:$D$87,MATCH($B84&amp;"|P6",'8_가정'!$A$46:$A$87,0))</f>
        <v>0.15</v>
      </c>
      <c r="AD84" s="72">
        <f>INDEX('8_가정'!$E$46:$E$87,MATCH($B84&amp;"|P6",'8_가정'!$A$46:$A$87,0))</f>
        <v>0.15</v>
      </c>
      <c r="AE84" s="72">
        <f>INDEX('8_가정'!$F$46:$F$87,MATCH($B84&amp;"|P6",'8_가정'!$A$46:$A$87,0))</f>
        <v>0.15</v>
      </c>
      <c r="AF84" s="72">
        <f>INDEX('8_가정'!$G$46:$G$87,MATCH($B84&amp;"|P6",'8_가정'!$A$46:$A$87,0))</f>
        <v>0.15</v>
      </c>
    </row>
    <row r="85">
      <c r="A85" s="71" t="str">
        <f>'4_매출_거래처'!D37</f>
        <v>IMH 스마트 욕창 케어 R&amp;D</v>
      </c>
      <c r="B85" s="71" t="str">
        <f>'4_매출_거래처'!I37</f>
        <v>RND</v>
      </c>
      <c r="C85" s="72">
        <f>INDEX('8_가정'!$C$46:$C$87,MATCH($B85&amp;"|P1",'8_가정'!$A$46:$A$87,0))</f>
        <v>0</v>
      </c>
      <c r="D85" s="72">
        <f>INDEX('8_가정'!$D$46:$D$87,MATCH($B85&amp;"|P1",'8_가정'!$A$46:$A$87,0))</f>
        <v>0</v>
      </c>
      <c r="E85" s="72">
        <f>INDEX('8_가정'!$E$46:$E$87,MATCH($B85&amp;"|P1",'8_가정'!$A$46:$A$87,0))</f>
        <v>0</v>
      </c>
      <c r="F85" s="72">
        <f>INDEX('8_가정'!$F$46:$F$87,MATCH($B85&amp;"|P1",'8_가정'!$A$46:$A$87,0))</f>
        <v>0</v>
      </c>
      <c r="G85" s="72">
        <f>INDEX('8_가정'!$G$46:$G$87,MATCH($B85&amp;"|P1",'8_가정'!$A$46:$A$87,0))</f>
        <v>0</v>
      </c>
      <c r="H85" s="72">
        <f>INDEX('8_가정'!$C$46:$C$87,MATCH($B85&amp;"|P2",'8_가정'!$A$46:$A$87,0))</f>
        <v>0</v>
      </c>
      <c r="I85" s="72">
        <f>INDEX('8_가정'!$D$46:$D$87,MATCH($B85&amp;"|P2",'8_가정'!$A$46:$A$87,0))</f>
        <v>0</v>
      </c>
      <c r="J85" s="72">
        <f>INDEX('8_가정'!$E$46:$E$87,MATCH($B85&amp;"|P2",'8_가정'!$A$46:$A$87,0))</f>
        <v>0</v>
      </c>
      <c r="K85" s="72">
        <f>INDEX('8_가정'!$F$46:$F$87,MATCH($B85&amp;"|P2",'8_가정'!$A$46:$A$87,0))</f>
        <v>0</v>
      </c>
      <c r="L85" s="72">
        <f>INDEX('8_가정'!$G$46:$G$87,MATCH($B85&amp;"|P2",'8_가정'!$A$46:$A$87,0))</f>
        <v>0</v>
      </c>
      <c r="M85" s="72">
        <f>INDEX('8_가정'!$C$46:$C$87,MATCH($B85&amp;"|P3",'8_가정'!$A$46:$A$87,0))</f>
        <v>0</v>
      </c>
      <c r="N85" s="72">
        <f>INDEX('8_가정'!$D$46:$D$87,MATCH($B85&amp;"|P3",'8_가정'!$A$46:$A$87,0))</f>
        <v>0</v>
      </c>
      <c r="O85" s="72">
        <f>INDEX('8_가정'!$E$46:$E$87,MATCH($B85&amp;"|P3",'8_가정'!$A$46:$A$87,0))</f>
        <v>0</v>
      </c>
      <c r="P85" s="72">
        <f>INDEX('8_가정'!$F$46:$F$87,MATCH($B85&amp;"|P3",'8_가정'!$A$46:$A$87,0))</f>
        <v>0</v>
      </c>
      <c r="Q85" s="72">
        <f>INDEX('8_가정'!$G$46:$G$87,MATCH($B85&amp;"|P3",'8_가정'!$A$46:$A$87,0))</f>
        <v>0</v>
      </c>
      <c r="R85" s="72">
        <f>INDEX('8_가정'!$C$46:$C$87,MATCH($B85&amp;"|P4",'8_가정'!$A$46:$A$87,0))</f>
        <v>0</v>
      </c>
      <c r="S85" s="72">
        <f>INDEX('8_가정'!$D$46:$D$87,MATCH($B85&amp;"|P4",'8_가정'!$A$46:$A$87,0))</f>
        <v>0</v>
      </c>
      <c r="T85" s="72">
        <f>INDEX('8_가정'!$E$46:$E$87,MATCH($B85&amp;"|P4",'8_가정'!$A$46:$A$87,0))</f>
        <v>0</v>
      </c>
      <c r="U85" s="72">
        <f>INDEX('8_가정'!$F$46:$F$87,MATCH($B85&amp;"|P4",'8_가정'!$A$46:$A$87,0))</f>
        <v>0</v>
      </c>
      <c r="V85" s="72">
        <f>INDEX('8_가정'!$G$46:$G$87,MATCH($B85&amp;"|P4",'8_가정'!$A$46:$A$87,0))</f>
        <v>0</v>
      </c>
      <c r="W85" s="72">
        <f>INDEX('8_가정'!$C$46:$C$87,MATCH($B85&amp;"|P5",'8_가정'!$A$46:$A$87,0))</f>
        <v>0</v>
      </c>
      <c r="X85" s="72">
        <f>INDEX('8_가정'!$D$46:$D$87,MATCH($B85&amp;"|P5",'8_가정'!$A$46:$A$87,0))</f>
        <v>0</v>
      </c>
      <c r="Y85" s="72">
        <f>INDEX('8_가정'!$E$46:$E$87,MATCH($B85&amp;"|P5",'8_가정'!$A$46:$A$87,0))</f>
        <v>0</v>
      </c>
      <c r="Z85" s="72">
        <f>INDEX('8_가정'!$F$46:$F$87,MATCH($B85&amp;"|P5",'8_가정'!$A$46:$A$87,0))</f>
        <v>0</v>
      </c>
      <c r="AA85" s="72">
        <f>INDEX('8_가정'!$G$46:$G$87,MATCH($B85&amp;"|P5",'8_가정'!$A$46:$A$87,0))</f>
        <v>0</v>
      </c>
      <c r="AB85" s="72">
        <f>INDEX('8_가정'!$C$46:$C$87,MATCH($B85&amp;"|P6",'8_가정'!$A$46:$A$87,0))</f>
        <v>1</v>
      </c>
      <c r="AC85" s="72">
        <f>INDEX('8_가정'!$D$46:$D$87,MATCH($B85&amp;"|P6",'8_가정'!$A$46:$A$87,0))</f>
        <v>1</v>
      </c>
      <c r="AD85" s="72">
        <f>INDEX('8_가정'!$E$46:$E$87,MATCH($B85&amp;"|P6",'8_가정'!$A$46:$A$87,0))</f>
        <v>1</v>
      </c>
      <c r="AE85" s="72">
        <f>INDEX('8_가정'!$F$46:$F$87,MATCH($B85&amp;"|P6",'8_가정'!$A$46:$A$87,0))</f>
        <v>1</v>
      </c>
      <c r="AF85" s="72">
        <f>INDEX('8_가정'!$G$46:$G$87,MATCH($B85&amp;"|P6",'8_가정'!$A$46:$A$87,0))</f>
        <v>1</v>
      </c>
    </row>
    <row r="86">
      <c r="A86" s="71" t="str">
        <f>'4_매출_거래처'!D38</f>
        <v>Healthbeats(호주·뉴질랜드)</v>
      </c>
      <c r="B86" s="71" t="str">
        <f>'4_매출_거래처'!I38</f>
        <v>DIST</v>
      </c>
      <c r="C86" s="72">
        <f>INDEX('8_가정'!$C$46:$C$87,MATCH($B86&amp;"|P1",'8_가정'!$A$46:$A$87,0))</f>
        <v>0.62</v>
      </c>
      <c r="D86" s="72">
        <f>INDEX('8_가정'!$D$46:$D$87,MATCH($B86&amp;"|P1",'8_가정'!$A$46:$A$87,0))</f>
        <v>0.62</v>
      </c>
      <c r="E86" s="72">
        <f>INDEX('8_가정'!$E$46:$E$87,MATCH($B86&amp;"|P1",'8_가정'!$A$46:$A$87,0))</f>
        <v>0.6</v>
      </c>
      <c r="F86" s="72">
        <f>INDEX('8_가정'!$F$46:$F$87,MATCH($B86&amp;"|P1",'8_가정'!$A$46:$A$87,0))</f>
        <v>0.58</v>
      </c>
      <c r="G86" s="72">
        <f>INDEX('8_가정'!$G$46:$G$87,MATCH($B86&amp;"|P1",'8_가정'!$A$46:$A$87,0))</f>
        <v>0.56</v>
      </c>
      <c r="H86" s="72">
        <f>INDEX('8_가정'!$C$46:$C$87,MATCH($B86&amp;"|P2",'8_가정'!$A$46:$A$87,0))</f>
        <v>0.28</v>
      </c>
      <c r="I86" s="72">
        <f>INDEX('8_가정'!$D$46:$D$87,MATCH($B86&amp;"|P2",'8_가정'!$A$46:$A$87,0))</f>
        <v>0.26</v>
      </c>
      <c r="J86" s="72">
        <f>INDEX('8_가정'!$E$46:$E$87,MATCH($B86&amp;"|P2",'8_가정'!$A$46:$A$87,0))</f>
        <v>0.24</v>
      </c>
      <c r="K86" s="72">
        <f>INDEX('8_가정'!$F$46:$F$87,MATCH($B86&amp;"|P2",'8_가정'!$A$46:$A$87,0))</f>
        <v>0.22</v>
      </c>
      <c r="L86" s="72">
        <f>INDEX('8_가정'!$G$46:$G$87,MATCH($B86&amp;"|P2",'8_가정'!$A$46:$A$87,0))</f>
        <v>0.2</v>
      </c>
      <c r="M86" s="72">
        <f>INDEX('8_가정'!$C$46:$C$87,MATCH($B86&amp;"|P3",'8_가정'!$A$46:$A$87,0))</f>
        <v>0.1</v>
      </c>
      <c r="N86" s="72">
        <f>INDEX('8_가정'!$D$46:$D$87,MATCH($B86&amp;"|P3",'8_가정'!$A$46:$A$87,0))</f>
        <v>0.09</v>
      </c>
      <c r="O86" s="72">
        <f>INDEX('8_가정'!$E$46:$E$87,MATCH($B86&amp;"|P3",'8_가정'!$A$46:$A$87,0))</f>
        <v>0.1</v>
      </c>
      <c r="P86" s="72">
        <f>INDEX('8_가정'!$F$46:$F$87,MATCH($B86&amp;"|P3",'8_가정'!$A$46:$A$87,0))</f>
        <v>0.1</v>
      </c>
      <c r="Q86" s="72">
        <f>INDEX('8_가정'!$G$46:$G$87,MATCH($B86&amp;"|P3",'8_가정'!$A$46:$A$87,0))</f>
        <v>0.1</v>
      </c>
      <c r="R86" s="72">
        <f>INDEX('8_가정'!$C$46:$C$87,MATCH($B86&amp;"|P4",'8_가정'!$A$46:$A$87,0))</f>
        <v>0</v>
      </c>
      <c r="S86" s="72">
        <f>INDEX('8_가정'!$D$46:$D$87,MATCH($B86&amp;"|P4",'8_가정'!$A$46:$A$87,0))</f>
        <v>0.03</v>
      </c>
      <c r="T86" s="72">
        <f>INDEX('8_가정'!$E$46:$E$87,MATCH($B86&amp;"|P4",'8_가정'!$A$46:$A$87,0))</f>
        <v>0.05</v>
      </c>
      <c r="U86" s="72">
        <f>INDEX('8_가정'!$F$46:$F$87,MATCH($B86&amp;"|P4",'8_가정'!$A$46:$A$87,0))</f>
        <v>0.07</v>
      </c>
      <c r="V86" s="72">
        <f>INDEX('8_가정'!$G$46:$G$87,MATCH($B86&amp;"|P4",'8_가정'!$A$46:$A$87,0))</f>
        <v>0.09</v>
      </c>
      <c r="W86" s="72">
        <f>INDEX('8_가정'!$C$46:$C$87,MATCH($B86&amp;"|P5",'8_가정'!$A$46:$A$87,0))</f>
        <v>0</v>
      </c>
      <c r="X86" s="72">
        <f>INDEX('8_가정'!$D$46:$D$87,MATCH($B86&amp;"|P5",'8_가정'!$A$46:$A$87,0))</f>
        <v>0</v>
      </c>
      <c r="Y86" s="72">
        <f>INDEX('8_가정'!$E$46:$E$87,MATCH($B86&amp;"|P5",'8_가정'!$A$46:$A$87,0))</f>
        <v>0.01</v>
      </c>
      <c r="Z86" s="72">
        <f>INDEX('8_가정'!$F$46:$F$87,MATCH($B86&amp;"|P5",'8_가정'!$A$46:$A$87,0))</f>
        <v>0.03</v>
      </c>
      <c r="AA86" s="72">
        <f>INDEX('8_가정'!$G$46:$G$87,MATCH($B86&amp;"|P5",'8_가정'!$A$46:$A$87,0))</f>
        <v>0.05</v>
      </c>
      <c r="AB86" s="72">
        <f>INDEX('8_가정'!$C$46:$C$87,MATCH($B86&amp;"|P6",'8_가정'!$A$46:$A$87,0))</f>
        <v>0</v>
      </c>
      <c r="AC86" s="72">
        <f>INDEX('8_가정'!$D$46:$D$87,MATCH($B86&amp;"|P6",'8_가정'!$A$46:$A$87,0))</f>
        <v>0</v>
      </c>
      <c r="AD86" s="72">
        <f>INDEX('8_가정'!$E$46:$E$87,MATCH($B86&amp;"|P6",'8_가정'!$A$46:$A$87,0))</f>
        <v>0</v>
      </c>
      <c r="AE86" s="72">
        <f>INDEX('8_가정'!$F$46:$F$87,MATCH($B86&amp;"|P6",'8_가정'!$A$46:$A$87,0))</f>
        <v>0</v>
      </c>
      <c r="AF86" s="72">
        <f>INDEX('8_가정'!$G$46:$G$87,MATCH($B86&amp;"|P6",'8_가정'!$A$46:$A$87,0))</f>
        <v>0</v>
      </c>
    </row>
    <row r="87">
      <c r="A87" s="71" t="str">
        <f>'4_매출_거래처'!D39</f>
        <v>일본 신규 시설·재가 채널(하트키움·TAIS 외 직접 도입)</v>
      </c>
      <c r="B87" s="71" t="str">
        <f>'4_매출_거래처'!I39</f>
        <v>COH</v>
      </c>
      <c r="C87" s="72">
        <f>INDEX('8_가정'!$C$46:$C$87,MATCH($B87&amp;"|P1",'8_가정'!$A$46:$A$87,0))</f>
        <v>0.66</v>
      </c>
      <c r="D87" s="72">
        <f>INDEX('8_가정'!$D$46:$D$87,MATCH($B87&amp;"|P1",'8_가정'!$A$46:$A$87,0))</f>
        <v>0.66</v>
      </c>
      <c r="E87" s="72">
        <f>INDEX('8_가정'!$E$46:$E$87,MATCH($B87&amp;"|P1",'8_가정'!$A$46:$A$87,0))</f>
        <v>0.66</v>
      </c>
      <c r="F87" s="72">
        <f>INDEX('8_가정'!$F$46:$F$87,MATCH($B87&amp;"|P1",'8_가정'!$A$46:$A$87,0))</f>
        <v>0.6</v>
      </c>
      <c r="G87" s="72">
        <f>INDEX('8_가정'!$G$46:$G$87,MATCH($B87&amp;"|P1",'8_가정'!$A$46:$A$87,0))</f>
        <v>0.56</v>
      </c>
      <c r="H87" s="72">
        <f>INDEX('8_가정'!$C$46:$C$87,MATCH($B87&amp;"|P2",'8_가정'!$A$46:$A$87,0))</f>
        <v>0.1</v>
      </c>
      <c r="I87" s="72">
        <f>INDEX('8_가정'!$D$46:$D$87,MATCH($B87&amp;"|P2",'8_가정'!$A$46:$A$87,0))</f>
        <v>0.1</v>
      </c>
      <c r="J87" s="72">
        <f>INDEX('8_가정'!$E$46:$E$87,MATCH($B87&amp;"|P2",'8_가정'!$A$46:$A$87,0))</f>
        <v>0.1</v>
      </c>
      <c r="K87" s="72">
        <f>INDEX('8_가정'!$F$46:$F$87,MATCH($B87&amp;"|P2",'8_가정'!$A$46:$A$87,0))</f>
        <v>0.11</v>
      </c>
      <c r="L87" s="72">
        <f>INDEX('8_가정'!$G$46:$G$87,MATCH($B87&amp;"|P2",'8_가정'!$A$46:$A$87,0))</f>
        <v>0.11</v>
      </c>
      <c r="M87" s="72">
        <f>INDEX('8_가정'!$C$46:$C$87,MATCH($B87&amp;"|P3",'8_가정'!$A$46:$A$87,0))</f>
        <v>0.12</v>
      </c>
      <c r="N87" s="72">
        <f>INDEX('8_가정'!$D$46:$D$87,MATCH($B87&amp;"|P3",'8_가정'!$A$46:$A$87,0))</f>
        <v>0.12</v>
      </c>
      <c r="O87" s="72">
        <f>INDEX('8_가정'!$E$46:$E$87,MATCH($B87&amp;"|P3",'8_가정'!$A$46:$A$87,0))</f>
        <v>0.12</v>
      </c>
      <c r="P87" s="72">
        <f>INDEX('8_가정'!$F$46:$F$87,MATCH($B87&amp;"|P3",'8_가정'!$A$46:$A$87,0))</f>
        <v>0.12</v>
      </c>
      <c r="Q87" s="72">
        <f>INDEX('8_가정'!$G$46:$G$87,MATCH($B87&amp;"|P3",'8_가정'!$A$46:$A$87,0))</f>
        <v>0.12</v>
      </c>
      <c r="R87" s="72">
        <f>INDEX('8_가정'!$C$46:$C$87,MATCH($B87&amp;"|P4",'8_가정'!$A$46:$A$87,0))</f>
        <v>0.08</v>
      </c>
      <c r="S87" s="72">
        <f>INDEX('8_가정'!$D$46:$D$87,MATCH($B87&amp;"|P4",'8_가정'!$A$46:$A$87,0))</f>
        <v>0.08</v>
      </c>
      <c r="T87" s="72">
        <f>INDEX('8_가정'!$E$46:$E$87,MATCH($B87&amp;"|P4",'8_가정'!$A$46:$A$87,0))</f>
        <v>0.08</v>
      </c>
      <c r="U87" s="72">
        <f>INDEX('8_가정'!$F$46:$F$87,MATCH($B87&amp;"|P4",'8_가정'!$A$46:$A$87,0))</f>
        <v>0.11</v>
      </c>
      <c r="V87" s="72">
        <f>INDEX('8_가정'!$G$46:$G$87,MATCH($B87&amp;"|P4",'8_가정'!$A$46:$A$87,0))</f>
        <v>0.13</v>
      </c>
      <c r="W87" s="72">
        <f>INDEX('8_가정'!$C$46:$C$87,MATCH($B87&amp;"|P5",'8_가정'!$A$46:$A$87,0))</f>
        <v>0.02</v>
      </c>
      <c r="X87" s="72">
        <f>INDEX('8_가정'!$D$46:$D$87,MATCH($B87&amp;"|P5",'8_가정'!$A$46:$A$87,0))</f>
        <v>0.02</v>
      </c>
      <c r="Y87" s="72">
        <f>INDEX('8_가정'!$E$46:$E$87,MATCH($B87&amp;"|P5",'8_가정'!$A$46:$A$87,0))</f>
        <v>0.02</v>
      </c>
      <c r="Z87" s="72">
        <f>INDEX('8_가정'!$F$46:$F$87,MATCH($B87&amp;"|P5",'8_가정'!$A$46:$A$87,0))</f>
        <v>0.04</v>
      </c>
      <c r="AA87" s="72">
        <f>INDEX('8_가정'!$G$46:$G$87,MATCH($B87&amp;"|P5",'8_가정'!$A$46:$A$87,0))</f>
        <v>0.06</v>
      </c>
      <c r="AB87" s="72">
        <f>INDEX('8_가정'!$C$46:$C$87,MATCH($B87&amp;"|P6",'8_가정'!$A$46:$A$87,0))</f>
        <v>0.02</v>
      </c>
      <c r="AC87" s="72">
        <f>INDEX('8_가정'!$D$46:$D$87,MATCH($B87&amp;"|P6",'8_가정'!$A$46:$A$87,0))</f>
        <v>0.02</v>
      </c>
      <c r="AD87" s="72">
        <f>INDEX('8_가정'!$E$46:$E$87,MATCH($B87&amp;"|P6",'8_가정'!$A$46:$A$87,0))</f>
        <v>0.02</v>
      </c>
      <c r="AE87" s="72">
        <f>INDEX('8_가정'!$F$46:$F$87,MATCH($B87&amp;"|P6",'8_가정'!$A$46:$A$87,0))</f>
        <v>0.02</v>
      </c>
      <c r="AF87" s="72">
        <f>INDEX('8_가정'!$G$46:$G$87,MATCH($B87&amp;"|P6",'8_가정'!$A$46:$A$87,0))</f>
        <v>0.02</v>
      </c>
    </row>
    <row r="88">
      <c r="A88" s="71" t="str">
        <f>'4_매출_거래처'!D40</f>
        <v>동남아 병원·요양그룹 확대(IHH·NTUC·SingHealth·Econ·ACG 전환)</v>
      </c>
      <c r="B88" s="71" t="str">
        <f>'4_매출_거래처'!I40</f>
        <v>COH</v>
      </c>
      <c r="C88" s="72">
        <f>INDEX('8_가정'!$C$46:$C$87,MATCH($B88&amp;"|P1",'8_가정'!$A$46:$A$87,0))</f>
        <v>0.66</v>
      </c>
      <c r="D88" s="72">
        <f>INDEX('8_가정'!$D$46:$D$87,MATCH($B88&amp;"|P1",'8_가정'!$A$46:$A$87,0))</f>
        <v>0.66</v>
      </c>
      <c r="E88" s="72">
        <f>INDEX('8_가정'!$E$46:$E$87,MATCH($B88&amp;"|P1",'8_가정'!$A$46:$A$87,0))</f>
        <v>0.66</v>
      </c>
      <c r="F88" s="72">
        <f>INDEX('8_가정'!$F$46:$F$87,MATCH($B88&amp;"|P1",'8_가정'!$A$46:$A$87,0))</f>
        <v>0.6</v>
      </c>
      <c r="G88" s="72">
        <f>INDEX('8_가정'!$G$46:$G$87,MATCH($B88&amp;"|P1",'8_가정'!$A$46:$A$87,0))</f>
        <v>0.56</v>
      </c>
      <c r="H88" s="72">
        <f>INDEX('8_가정'!$C$46:$C$87,MATCH($B88&amp;"|P2",'8_가정'!$A$46:$A$87,0))</f>
        <v>0.1</v>
      </c>
      <c r="I88" s="72">
        <f>INDEX('8_가정'!$D$46:$D$87,MATCH($B88&amp;"|P2",'8_가정'!$A$46:$A$87,0))</f>
        <v>0.1</v>
      </c>
      <c r="J88" s="72">
        <f>INDEX('8_가정'!$E$46:$E$87,MATCH($B88&amp;"|P2",'8_가정'!$A$46:$A$87,0))</f>
        <v>0.1</v>
      </c>
      <c r="K88" s="72">
        <f>INDEX('8_가정'!$F$46:$F$87,MATCH($B88&amp;"|P2",'8_가정'!$A$46:$A$87,0))</f>
        <v>0.11</v>
      </c>
      <c r="L88" s="72">
        <f>INDEX('8_가정'!$G$46:$G$87,MATCH($B88&amp;"|P2",'8_가정'!$A$46:$A$87,0))</f>
        <v>0.11</v>
      </c>
      <c r="M88" s="72">
        <f>INDEX('8_가정'!$C$46:$C$87,MATCH($B88&amp;"|P3",'8_가정'!$A$46:$A$87,0))</f>
        <v>0.12</v>
      </c>
      <c r="N88" s="72">
        <f>INDEX('8_가정'!$D$46:$D$87,MATCH($B88&amp;"|P3",'8_가정'!$A$46:$A$87,0))</f>
        <v>0.12</v>
      </c>
      <c r="O88" s="72">
        <f>INDEX('8_가정'!$E$46:$E$87,MATCH($B88&amp;"|P3",'8_가정'!$A$46:$A$87,0))</f>
        <v>0.12</v>
      </c>
      <c r="P88" s="72">
        <f>INDEX('8_가정'!$F$46:$F$87,MATCH($B88&amp;"|P3",'8_가정'!$A$46:$A$87,0))</f>
        <v>0.12</v>
      </c>
      <c r="Q88" s="72">
        <f>INDEX('8_가정'!$G$46:$G$87,MATCH($B88&amp;"|P3",'8_가정'!$A$46:$A$87,0))</f>
        <v>0.12</v>
      </c>
      <c r="R88" s="72">
        <f>INDEX('8_가정'!$C$46:$C$87,MATCH($B88&amp;"|P4",'8_가정'!$A$46:$A$87,0))</f>
        <v>0.08</v>
      </c>
      <c r="S88" s="72">
        <f>INDEX('8_가정'!$D$46:$D$87,MATCH($B88&amp;"|P4",'8_가정'!$A$46:$A$87,0))</f>
        <v>0.08</v>
      </c>
      <c r="T88" s="72">
        <f>INDEX('8_가정'!$E$46:$E$87,MATCH($B88&amp;"|P4",'8_가정'!$A$46:$A$87,0))</f>
        <v>0.08</v>
      </c>
      <c r="U88" s="72">
        <f>INDEX('8_가정'!$F$46:$F$87,MATCH($B88&amp;"|P4",'8_가정'!$A$46:$A$87,0))</f>
        <v>0.11</v>
      </c>
      <c r="V88" s="72">
        <f>INDEX('8_가정'!$G$46:$G$87,MATCH($B88&amp;"|P4",'8_가정'!$A$46:$A$87,0))</f>
        <v>0.13</v>
      </c>
      <c r="W88" s="72">
        <f>INDEX('8_가정'!$C$46:$C$87,MATCH($B88&amp;"|P5",'8_가정'!$A$46:$A$87,0))</f>
        <v>0.02</v>
      </c>
      <c r="X88" s="72">
        <f>INDEX('8_가정'!$D$46:$D$87,MATCH($B88&amp;"|P5",'8_가정'!$A$46:$A$87,0))</f>
        <v>0.02</v>
      </c>
      <c r="Y88" s="72">
        <f>INDEX('8_가정'!$E$46:$E$87,MATCH($B88&amp;"|P5",'8_가정'!$A$46:$A$87,0))</f>
        <v>0.02</v>
      </c>
      <c r="Z88" s="72">
        <f>INDEX('8_가정'!$F$46:$F$87,MATCH($B88&amp;"|P5",'8_가정'!$A$46:$A$87,0))</f>
        <v>0.04</v>
      </c>
      <c r="AA88" s="72">
        <f>INDEX('8_가정'!$G$46:$G$87,MATCH($B88&amp;"|P5",'8_가정'!$A$46:$A$87,0))</f>
        <v>0.06</v>
      </c>
      <c r="AB88" s="72">
        <f>INDEX('8_가정'!$C$46:$C$87,MATCH($B88&amp;"|P6",'8_가정'!$A$46:$A$87,0))</f>
        <v>0.02</v>
      </c>
      <c r="AC88" s="72">
        <f>INDEX('8_가정'!$D$46:$D$87,MATCH($B88&amp;"|P6",'8_가정'!$A$46:$A$87,0))</f>
        <v>0.02</v>
      </c>
      <c r="AD88" s="72">
        <f>INDEX('8_가정'!$E$46:$E$87,MATCH($B88&amp;"|P6",'8_가정'!$A$46:$A$87,0))</f>
        <v>0.02</v>
      </c>
      <c r="AE88" s="72">
        <f>INDEX('8_가정'!$F$46:$F$87,MATCH($B88&amp;"|P6",'8_가정'!$A$46:$A$87,0))</f>
        <v>0.02</v>
      </c>
      <c r="AF88" s="72">
        <f>INDEX('8_가정'!$G$46:$G$87,MATCH($B88&amp;"|P6",'8_가정'!$A$46:$A$87,0))</f>
        <v>0.02</v>
      </c>
    </row>
    <row r="89">
      <c r="A89" s="71" t="str">
        <f>'4_매출_거래처'!D41</f>
        <v>유럽 총판 확대(NL·DE·PL·PT·북유럽)</v>
      </c>
      <c r="B89" s="71" t="str">
        <f>'4_매출_거래처'!I41</f>
        <v>COH</v>
      </c>
      <c r="C89" s="72">
        <f>INDEX('8_가정'!$C$46:$C$87,MATCH($B89&amp;"|P1",'8_가정'!$A$46:$A$87,0))</f>
        <v>0.66</v>
      </c>
      <c r="D89" s="72">
        <f>INDEX('8_가정'!$D$46:$D$87,MATCH($B89&amp;"|P1",'8_가정'!$A$46:$A$87,0))</f>
        <v>0.66</v>
      </c>
      <c r="E89" s="72">
        <f>INDEX('8_가정'!$E$46:$E$87,MATCH($B89&amp;"|P1",'8_가정'!$A$46:$A$87,0))</f>
        <v>0.66</v>
      </c>
      <c r="F89" s="72">
        <f>INDEX('8_가정'!$F$46:$F$87,MATCH($B89&amp;"|P1",'8_가정'!$A$46:$A$87,0))</f>
        <v>0.6</v>
      </c>
      <c r="G89" s="72">
        <f>INDEX('8_가정'!$G$46:$G$87,MATCH($B89&amp;"|P1",'8_가정'!$A$46:$A$87,0))</f>
        <v>0.56</v>
      </c>
      <c r="H89" s="72">
        <f>INDEX('8_가정'!$C$46:$C$87,MATCH($B89&amp;"|P2",'8_가정'!$A$46:$A$87,0))</f>
        <v>0.1</v>
      </c>
      <c r="I89" s="72">
        <f>INDEX('8_가정'!$D$46:$D$87,MATCH($B89&amp;"|P2",'8_가정'!$A$46:$A$87,0))</f>
        <v>0.1</v>
      </c>
      <c r="J89" s="72">
        <f>INDEX('8_가정'!$E$46:$E$87,MATCH($B89&amp;"|P2",'8_가정'!$A$46:$A$87,0))</f>
        <v>0.1</v>
      </c>
      <c r="K89" s="72">
        <f>INDEX('8_가정'!$F$46:$F$87,MATCH($B89&amp;"|P2",'8_가정'!$A$46:$A$87,0))</f>
        <v>0.11</v>
      </c>
      <c r="L89" s="72">
        <f>INDEX('8_가정'!$G$46:$G$87,MATCH($B89&amp;"|P2",'8_가정'!$A$46:$A$87,0))</f>
        <v>0.11</v>
      </c>
      <c r="M89" s="72">
        <f>INDEX('8_가정'!$C$46:$C$87,MATCH($B89&amp;"|P3",'8_가정'!$A$46:$A$87,0))</f>
        <v>0.12</v>
      </c>
      <c r="N89" s="72">
        <f>INDEX('8_가정'!$D$46:$D$87,MATCH($B89&amp;"|P3",'8_가정'!$A$46:$A$87,0))</f>
        <v>0.12</v>
      </c>
      <c r="O89" s="72">
        <f>INDEX('8_가정'!$E$46:$E$87,MATCH($B89&amp;"|P3",'8_가정'!$A$46:$A$87,0))</f>
        <v>0.12</v>
      </c>
      <c r="P89" s="72">
        <f>INDEX('8_가정'!$F$46:$F$87,MATCH($B89&amp;"|P3",'8_가정'!$A$46:$A$87,0))</f>
        <v>0.12</v>
      </c>
      <c r="Q89" s="72">
        <f>INDEX('8_가정'!$G$46:$G$87,MATCH($B89&amp;"|P3",'8_가정'!$A$46:$A$87,0))</f>
        <v>0.12</v>
      </c>
      <c r="R89" s="72">
        <f>INDEX('8_가정'!$C$46:$C$87,MATCH($B89&amp;"|P4",'8_가정'!$A$46:$A$87,0))</f>
        <v>0.08</v>
      </c>
      <c r="S89" s="72">
        <f>INDEX('8_가정'!$D$46:$D$87,MATCH($B89&amp;"|P4",'8_가정'!$A$46:$A$87,0))</f>
        <v>0.08</v>
      </c>
      <c r="T89" s="72">
        <f>INDEX('8_가정'!$E$46:$E$87,MATCH($B89&amp;"|P4",'8_가정'!$A$46:$A$87,0))</f>
        <v>0.08</v>
      </c>
      <c r="U89" s="72">
        <f>INDEX('8_가정'!$F$46:$F$87,MATCH($B89&amp;"|P4",'8_가정'!$A$46:$A$87,0))</f>
        <v>0.11</v>
      </c>
      <c r="V89" s="72">
        <f>INDEX('8_가정'!$G$46:$G$87,MATCH($B89&amp;"|P4",'8_가정'!$A$46:$A$87,0))</f>
        <v>0.13</v>
      </c>
      <c r="W89" s="72">
        <f>INDEX('8_가정'!$C$46:$C$87,MATCH($B89&amp;"|P5",'8_가정'!$A$46:$A$87,0))</f>
        <v>0.02</v>
      </c>
      <c r="X89" s="72">
        <f>INDEX('8_가정'!$D$46:$D$87,MATCH($B89&amp;"|P5",'8_가정'!$A$46:$A$87,0))</f>
        <v>0.02</v>
      </c>
      <c r="Y89" s="72">
        <f>INDEX('8_가정'!$E$46:$E$87,MATCH($B89&amp;"|P5",'8_가정'!$A$46:$A$87,0))</f>
        <v>0.02</v>
      </c>
      <c r="Z89" s="72">
        <f>INDEX('8_가정'!$F$46:$F$87,MATCH($B89&amp;"|P5",'8_가정'!$A$46:$A$87,0))</f>
        <v>0.04</v>
      </c>
      <c r="AA89" s="72">
        <f>INDEX('8_가정'!$G$46:$G$87,MATCH($B89&amp;"|P5",'8_가정'!$A$46:$A$87,0))</f>
        <v>0.06</v>
      </c>
      <c r="AB89" s="72">
        <f>INDEX('8_가정'!$C$46:$C$87,MATCH($B89&amp;"|P6",'8_가정'!$A$46:$A$87,0))</f>
        <v>0.02</v>
      </c>
      <c r="AC89" s="72">
        <f>INDEX('8_가정'!$D$46:$D$87,MATCH($B89&amp;"|P6",'8_가정'!$A$46:$A$87,0))</f>
        <v>0.02</v>
      </c>
      <c r="AD89" s="72">
        <f>INDEX('8_가정'!$E$46:$E$87,MATCH($B89&amp;"|P6",'8_가정'!$A$46:$A$87,0))</f>
        <v>0.02</v>
      </c>
      <c r="AE89" s="72">
        <f>INDEX('8_가정'!$F$46:$F$87,MATCH($B89&amp;"|P6",'8_가정'!$A$46:$A$87,0))</f>
        <v>0.02</v>
      </c>
      <c r="AF89" s="72">
        <f>INDEX('8_가정'!$G$46:$G$87,MATCH($B89&amp;"|P6",'8_가정'!$A$46:$A$87,0))</f>
        <v>0.02</v>
      </c>
    </row>
    <row r="90">
      <c r="A90" s="71" t="str">
        <f>'4_매출_거래처'!D42</f>
        <v>미국 의료유통 채널(Shelter Device PoC → 2029 유통 진입)</v>
      </c>
      <c r="B90" s="71" t="str">
        <f>'4_매출_거래처'!I42</f>
        <v>COH</v>
      </c>
      <c r="C90" s="72">
        <f>INDEX('8_가정'!$C$46:$C$87,MATCH($B90&amp;"|P1",'8_가정'!$A$46:$A$87,0))</f>
        <v>0.66</v>
      </c>
      <c r="D90" s="72">
        <f>INDEX('8_가정'!$D$46:$D$87,MATCH($B90&amp;"|P1",'8_가정'!$A$46:$A$87,0))</f>
        <v>0.66</v>
      </c>
      <c r="E90" s="72">
        <f>INDEX('8_가정'!$E$46:$E$87,MATCH($B90&amp;"|P1",'8_가정'!$A$46:$A$87,0))</f>
        <v>0.66</v>
      </c>
      <c r="F90" s="72">
        <f>INDEX('8_가정'!$F$46:$F$87,MATCH($B90&amp;"|P1",'8_가정'!$A$46:$A$87,0))</f>
        <v>0.6</v>
      </c>
      <c r="G90" s="72">
        <f>INDEX('8_가정'!$G$46:$G$87,MATCH($B90&amp;"|P1",'8_가정'!$A$46:$A$87,0))</f>
        <v>0.56</v>
      </c>
      <c r="H90" s="72">
        <f>INDEX('8_가정'!$C$46:$C$87,MATCH($B90&amp;"|P2",'8_가정'!$A$46:$A$87,0))</f>
        <v>0.1</v>
      </c>
      <c r="I90" s="72">
        <f>INDEX('8_가정'!$D$46:$D$87,MATCH($B90&amp;"|P2",'8_가정'!$A$46:$A$87,0))</f>
        <v>0.1</v>
      </c>
      <c r="J90" s="72">
        <f>INDEX('8_가정'!$E$46:$E$87,MATCH($B90&amp;"|P2",'8_가정'!$A$46:$A$87,0))</f>
        <v>0.1</v>
      </c>
      <c r="K90" s="72">
        <f>INDEX('8_가정'!$F$46:$F$87,MATCH($B90&amp;"|P2",'8_가정'!$A$46:$A$87,0))</f>
        <v>0.11</v>
      </c>
      <c r="L90" s="72">
        <f>INDEX('8_가정'!$G$46:$G$87,MATCH($B90&amp;"|P2",'8_가정'!$A$46:$A$87,0))</f>
        <v>0.11</v>
      </c>
      <c r="M90" s="72">
        <f>INDEX('8_가정'!$C$46:$C$87,MATCH($B90&amp;"|P3",'8_가정'!$A$46:$A$87,0))</f>
        <v>0.12</v>
      </c>
      <c r="N90" s="72">
        <f>INDEX('8_가정'!$D$46:$D$87,MATCH($B90&amp;"|P3",'8_가정'!$A$46:$A$87,0))</f>
        <v>0.12</v>
      </c>
      <c r="O90" s="72">
        <f>INDEX('8_가정'!$E$46:$E$87,MATCH($B90&amp;"|P3",'8_가정'!$A$46:$A$87,0))</f>
        <v>0.12</v>
      </c>
      <c r="P90" s="72">
        <f>INDEX('8_가정'!$F$46:$F$87,MATCH($B90&amp;"|P3",'8_가정'!$A$46:$A$87,0))</f>
        <v>0.12</v>
      </c>
      <c r="Q90" s="72">
        <f>INDEX('8_가정'!$G$46:$G$87,MATCH($B90&amp;"|P3",'8_가정'!$A$46:$A$87,0))</f>
        <v>0.12</v>
      </c>
      <c r="R90" s="72">
        <f>INDEX('8_가정'!$C$46:$C$87,MATCH($B90&amp;"|P4",'8_가정'!$A$46:$A$87,0))</f>
        <v>0.08</v>
      </c>
      <c r="S90" s="72">
        <f>INDEX('8_가정'!$D$46:$D$87,MATCH($B90&amp;"|P4",'8_가정'!$A$46:$A$87,0))</f>
        <v>0.08</v>
      </c>
      <c r="T90" s="72">
        <f>INDEX('8_가정'!$E$46:$E$87,MATCH($B90&amp;"|P4",'8_가정'!$A$46:$A$87,0))</f>
        <v>0.08</v>
      </c>
      <c r="U90" s="72">
        <f>INDEX('8_가정'!$F$46:$F$87,MATCH($B90&amp;"|P4",'8_가정'!$A$46:$A$87,0))</f>
        <v>0.11</v>
      </c>
      <c r="V90" s="72">
        <f>INDEX('8_가정'!$G$46:$G$87,MATCH($B90&amp;"|P4",'8_가정'!$A$46:$A$87,0))</f>
        <v>0.13</v>
      </c>
      <c r="W90" s="72">
        <f>INDEX('8_가정'!$C$46:$C$87,MATCH($B90&amp;"|P5",'8_가정'!$A$46:$A$87,0))</f>
        <v>0.02</v>
      </c>
      <c r="X90" s="72">
        <f>INDEX('8_가정'!$D$46:$D$87,MATCH($B90&amp;"|P5",'8_가정'!$A$46:$A$87,0))</f>
        <v>0.02</v>
      </c>
      <c r="Y90" s="72">
        <f>INDEX('8_가정'!$E$46:$E$87,MATCH($B90&amp;"|P5",'8_가정'!$A$46:$A$87,0))</f>
        <v>0.02</v>
      </c>
      <c r="Z90" s="72">
        <f>INDEX('8_가정'!$F$46:$F$87,MATCH($B90&amp;"|P5",'8_가정'!$A$46:$A$87,0))</f>
        <v>0.04</v>
      </c>
      <c r="AA90" s="72">
        <f>INDEX('8_가정'!$G$46:$G$87,MATCH($B90&amp;"|P5",'8_가정'!$A$46:$A$87,0))</f>
        <v>0.06</v>
      </c>
      <c r="AB90" s="72">
        <f>INDEX('8_가정'!$C$46:$C$87,MATCH($B90&amp;"|P6",'8_가정'!$A$46:$A$87,0))</f>
        <v>0.02</v>
      </c>
      <c r="AC90" s="72">
        <f>INDEX('8_가정'!$D$46:$D$87,MATCH($B90&amp;"|P6",'8_가정'!$A$46:$A$87,0))</f>
        <v>0.02</v>
      </c>
      <c r="AD90" s="72">
        <f>INDEX('8_가정'!$E$46:$E$87,MATCH($B90&amp;"|P6",'8_가정'!$A$46:$A$87,0))</f>
        <v>0.02</v>
      </c>
      <c r="AE90" s="72">
        <f>INDEX('8_가정'!$F$46:$F$87,MATCH($B90&amp;"|P6",'8_가정'!$A$46:$A$87,0))</f>
        <v>0.02</v>
      </c>
      <c r="AF90" s="72">
        <f>INDEX('8_가정'!$G$46:$G$87,MATCH($B90&amp;"|P6",'8_가정'!$A$46:$A$87,0))</f>
        <v>0.02</v>
      </c>
    </row>
    <row r="91">
      <c r="A91" s="71" t="str">
        <f>'4_매출_거래처'!D43</f>
        <v>삼성 글로벌 채널(B2B 오퍼링 번들·시니어 모바일 앱) — 목표 대비 잔여</v>
      </c>
      <c r="B91" s="71" t="str">
        <f>'4_매출_거래처'!I43</f>
        <v>COH</v>
      </c>
      <c r="C91" s="72">
        <f>INDEX('8_가정'!$C$46:$C$87,MATCH($B91&amp;"|P1",'8_가정'!$A$46:$A$87,0))</f>
        <v>0.66</v>
      </c>
      <c r="D91" s="72">
        <f>INDEX('8_가정'!$D$46:$D$87,MATCH($B91&amp;"|P1",'8_가정'!$A$46:$A$87,0))</f>
        <v>0.66</v>
      </c>
      <c r="E91" s="72">
        <f>INDEX('8_가정'!$E$46:$E$87,MATCH($B91&amp;"|P1",'8_가정'!$A$46:$A$87,0))</f>
        <v>0.66</v>
      </c>
      <c r="F91" s="72">
        <f>INDEX('8_가정'!$F$46:$F$87,MATCH($B91&amp;"|P1",'8_가정'!$A$46:$A$87,0))</f>
        <v>0.6</v>
      </c>
      <c r="G91" s="72">
        <f>INDEX('8_가정'!$G$46:$G$87,MATCH($B91&amp;"|P1",'8_가정'!$A$46:$A$87,0))</f>
        <v>0.56</v>
      </c>
      <c r="H91" s="72">
        <f>INDEX('8_가정'!$C$46:$C$87,MATCH($B91&amp;"|P2",'8_가정'!$A$46:$A$87,0))</f>
        <v>0.1</v>
      </c>
      <c r="I91" s="72">
        <f>INDEX('8_가정'!$D$46:$D$87,MATCH($B91&amp;"|P2",'8_가정'!$A$46:$A$87,0))</f>
        <v>0.1</v>
      </c>
      <c r="J91" s="72">
        <f>INDEX('8_가정'!$E$46:$E$87,MATCH($B91&amp;"|P2",'8_가정'!$A$46:$A$87,0))</f>
        <v>0.1</v>
      </c>
      <c r="K91" s="72">
        <f>INDEX('8_가정'!$F$46:$F$87,MATCH($B91&amp;"|P2",'8_가정'!$A$46:$A$87,0))</f>
        <v>0.11</v>
      </c>
      <c r="L91" s="72">
        <f>INDEX('8_가정'!$G$46:$G$87,MATCH($B91&amp;"|P2",'8_가정'!$A$46:$A$87,0))</f>
        <v>0.11</v>
      </c>
      <c r="M91" s="72">
        <f>INDEX('8_가정'!$C$46:$C$87,MATCH($B91&amp;"|P3",'8_가정'!$A$46:$A$87,0))</f>
        <v>0.12</v>
      </c>
      <c r="N91" s="72">
        <f>INDEX('8_가정'!$D$46:$D$87,MATCH($B91&amp;"|P3",'8_가정'!$A$46:$A$87,0))</f>
        <v>0.12</v>
      </c>
      <c r="O91" s="72">
        <f>INDEX('8_가정'!$E$46:$E$87,MATCH($B91&amp;"|P3",'8_가정'!$A$46:$A$87,0))</f>
        <v>0.12</v>
      </c>
      <c r="P91" s="72">
        <f>INDEX('8_가정'!$F$46:$F$87,MATCH($B91&amp;"|P3",'8_가정'!$A$46:$A$87,0))</f>
        <v>0.12</v>
      </c>
      <c r="Q91" s="72">
        <f>INDEX('8_가정'!$G$46:$G$87,MATCH($B91&amp;"|P3",'8_가정'!$A$46:$A$87,0))</f>
        <v>0.12</v>
      </c>
      <c r="R91" s="72">
        <f>INDEX('8_가정'!$C$46:$C$87,MATCH($B91&amp;"|P4",'8_가정'!$A$46:$A$87,0))</f>
        <v>0.08</v>
      </c>
      <c r="S91" s="72">
        <f>INDEX('8_가정'!$D$46:$D$87,MATCH($B91&amp;"|P4",'8_가정'!$A$46:$A$87,0))</f>
        <v>0.08</v>
      </c>
      <c r="T91" s="72">
        <f>INDEX('8_가정'!$E$46:$E$87,MATCH($B91&amp;"|P4",'8_가정'!$A$46:$A$87,0))</f>
        <v>0.08</v>
      </c>
      <c r="U91" s="72">
        <f>INDEX('8_가정'!$F$46:$F$87,MATCH($B91&amp;"|P4",'8_가정'!$A$46:$A$87,0))</f>
        <v>0.11</v>
      </c>
      <c r="V91" s="72">
        <f>INDEX('8_가정'!$G$46:$G$87,MATCH($B91&amp;"|P4",'8_가정'!$A$46:$A$87,0))</f>
        <v>0.13</v>
      </c>
      <c r="W91" s="72">
        <f>INDEX('8_가정'!$C$46:$C$87,MATCH($B91&amp;"|P5",'8_가정'!$A$46:$A$87,0))</f>
        <v>0.02</v>
      </c>
      <c r="X91" s="72">
        <f>INDEX('8_가정'!$D$46:$D$87,MATCH($B91&amp;"|P5",'8_가정'!$A$46:$A$87,0))</f>
        <v>0.02</v>
      </c>
      <c r="Y91" s="72">
        <f>INDEX('8_가정'!$E$46:$E$87,MATCH($B91&amp;"|P5",'8_가정'!$A$46:$A$87,0))</f>
        <v>0.02</v>
      </c>
      <c r="Z91" s="72">
        <f>INDEX('8_가정'!$F$46:$F$87,MATCH($B91&amp;"|P5",'8_가정'!$A$46:$A$87,0))</f>
        <v>0.04</v>
      </c>
      <c r="AA91" s="72">
        <f>INDEX('8_가정'!$G$46:$G$87,MATCH($B91&amp;"|P5",'8_가정'!$A$46:$A$87,0))</f>
        <v>0.06</v>
      </c>
      <c r="AB91" s="72">
        <f>INDEX('8_가정'!$C$46:$C$87,MATCH($B91&amp;"|P6",'8_가정'!$A$46:$A$87,0))</f>
        <v>0.02</v>
      </c>
      <c r="AC91" s="72">
        <f>INDEX('8_가정'!$D$46:$D$87,MATCH($B91&amp;"|P6",'8_가정'!$A$46:$A$87,0))</f>
        <v>0.02</v>
      </c>
      <c r="AD91" s="72">
        <f>INDEX('8_가정'!$E$46:$E$87,MATCH($B91&amp;"|P6",'8_가정'!$A$46:$A$87,0))</f>
        <v>0.02</v>
      </c>
      <c r="AE91" s="72">
        <f>INDEX('8_가정'!$F$46:$F$87,MATCH($B91&amp;"|P6",'8_가정'!$A$46:$A$87,0))</f>
        <v>0.02</v>
      </c>
      <c r="AF91" s="72">
        <f>INDEX('8_가정'!$G$46:$G$87,MATCH($B91&amp;"|P6",'8_가정'!$A$46:$A$87,0))</f>
        <v>0.02</v>
      </c>
    </row>
  </sheetData>
  <pageMargins left="0.75" right="0.75" top="1" bottom="1" header="0.5" footer="0.5"/>
  <pageSetup orientation="landscape" fitToHeight="0" fitToWidth="1"/>
</worksheet>
</file>

<file path=xl/worksheets/sheet6.xml><?xml version="1.0" encoding="utf-8"?>
<worksheet xmlns="http://schemas.openxmlformats.org/spreadsheetml/2006/main">
  <sheetPr>
    <tabColor rgb="002F5597"/>
    <outlinePr summaryBelow="1" summaryRight="1"/>
    <pageSetUpPr fitToPage="1"/>
  </sheetPr>
  <dimension ref="A1:J30"/>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0" customWidth="1" min="2" max="2"/>
    <col width="34" customWidth="1" min="3" max="3"/>
    <col width="12" customWidth="1" min="4" max="4"/>
    <col width="11" customWidth="1" min="5" max="5"/>
    <col width="70" customWidth="1" min="6" max="6"/>
    <col width="9" customWidth="1" min="7" max="7"/>
    <col width="15" customWidth="1" min="8" max="8"/>
    <col width="20" customWidth="1" min="9" max="9"/>
    <col width="48" customWidth="1" min="10" max="10"/>
  </cols>
  <sheetData>
    <row r="1">
      <c r="A1" s="1" t="inlineStr">
        <is>
          <t>6_거래처현황 — 국내·해외 거래처 대장</t>
        </is>
      </c>
    </row>
    <row r="2">
      <c r="A2" s="2" t="inlineStr">
        <is>
          <t>출처: IR 자료(2026-09-27판) · 입찰자료(KTPH-RFP-26-165-MJ) · 투자사 양식 회사연혁. 금액 미정 PoC는 매출에 반영하지 않고 신규 파이프라인 근거로만 표기.</t>
        </is>
      </c>
    </row>
    <row r="3"/>
    <row r="4">
      <c r="A4" s="11" t="inlineStr">
        <is>
          <t>구분</t>
        </is>
      </c>
      <c r="B4" s="11" t="inlineStr">
        <is>
          <t>국가</t>
        </is>
      </c>
      <c r="C4" s="11" t="inlineStr">
        <is>
          <t>거래처</t>
        </is>
      </c>
      <c r="D4" s="11" t="inlineStr">
        <is>
          <t>유형</t>
        </is>
      </c>
      <c r="E4" s="11" t="inlineStr">
        <is>
          <t>단계(IR)</t>
        </is>
      </c>
      <c r="F4" s="11" t="inlineStr">
        <is>
          <t>주요 내용 · 근거</t>
        </is>
      </c>
      <c r="G4" s="11" t="inlineStr">
        <is>
          <t>IR 쪽</t>
        </is>
      </c>
      <c r="H4" s="11" t="inlineStr">
        <is>
          <t>2027 모델 매출(S1, 천원)</t>
        </is>
      </c>
      <c r="I4" s="11" t="inlineStr">
        <is>
          <t>모델 반영</t>
        </is>
      </c>
      <c r="J4" s="11" t="inlineStr">
        <is>
          <t>다음 마일스톤 · 확인 필요</t>
        </is>
      </c>
    </row>
    <row r="5" ht="36" customHeight="1">
      <c r="A5" s="73" t="inlineStr">
        <is>
          <t>국내</t>
        </is>
      </c>
      <c r="B5" s="73" t="inlineStr">
        <is>
          <t>한국</t>
        </is>
      </c>
      <c r="C5" s="73" t="inlineStr">
        <is>
          <t>국민건강보험공단(NHIS) 혁신 복지용구</t>
        </is>
      </c>
      <c r="D5" s="73" t="inlineStr">
        <is>
          <t>B2G·제도</t>
        </is>
      </c>
      <c r="E5" s="73" t="inlineStr">
        <is>
          <t>등록 완료</t>
        </is>
      </c>
      <c r="F5" s="74" t="inlineStr">
        <is>
          <t>국내 최초 IT 제품으로 혁신 복지용구 선정(정부 보조금 85%), 전국 약 2,000개 매장 유통 확대. 지속 사용성 64%·편의성 71%·안전성 100%(설문)</t>
        </is>
      </c>
      <c r="G5" s="73" t="inlineStr">
        <is>
          <t>p.9·25</t>
        </is>
      </c>
      <c r="H5" s="75">
        <f>'4_매출_거래처'!AW25*'4_매출_거래처'!$S25</f>
        <v>487300</v>
      </c>
      <c r="I5" s="74" t="inlineStr">
        <is>
          <t>매출표 복지용구 행(2027 4.9억)</t>
        </is>
      </c>
      <c r="J5" s="74" t="inlineStr">
        <is>
          <t>복지용구 매장 입점·실구매 개시 시점 확인</t>
        </is>
      </c>
    </row>
    <row r="6" ht="36" customHeight="1">
      <c r="A6" s="73" t="inlineStr">
        <is>
          <t>국내</t>
        </is>
      </c>
      <c r="B6" s="73" t="inlineStr">
        <is>
          <t>한국</t>
        </is>
      </c>
      <c r="C6" s="73" t="inlineStr">
        <is>
          <t>노인요양병원·시설(국내 1위 요양시설 기저귀 유통사 경유)</t>
        </is>
      </c>
      <c r="D6" s="73" t="inlineStr">
        <is>
          <t>총판·기관</t>
        </is>
      </c>
      <c r="E6" s="73" t="inlineStr">
        <is>
          <t>진행 중</t>
        </is>
      </c>
      <c r="F6" s="74" t="inlineStr">
        <is>
          <t>삼성노블카운티·KB골든라이프케어·화이트하우스 요양원·가톨릭대 성빈센트병원 등 프리미엄 요양. 2027 전국 1,000개 병원 도입 목표, 프리미엄 100개소·구독자 2만 명(중장기 목표)</t>
        </is>
      </c>
      <c r="G6" s="73" t="inlineStr">
        <is>
          <t>p.10·25</t>
        </is>
      </c>
      <c r="H6" s="75">
        <f>'4_매출_거래처'!AW21*'4_매출_거래처'!$S21</f>
        <v>2998000</v>
      </c>
      <c r="I6" s="74" t="inlineStr">
        <is>
          <t>2027 매출 반영(협의 단계 → S2·S3 확률 적용)</t>
        </is>
      </c>
      <c r="J6" s="74" t="inlineStr">
        <is>
          <t>유통사 계약 체결 여부·도입 시설 수</t>
        </is>
      </c>
    </row>
    <row r="7" ht="36" customHeight="1">
      <c r="A7" s="73" t="inlineStr">
        <is>
          <t>국내</t>
        </is>
      </c>
      <c r="B7" s="73" t="inlineStr">
        <is>
          <t>한국</t>
        </is>
      </c>
      <c r="C7" s="73" t="inlineStr">
        <is>
          <t>APP(Asia Pulp &amp; Paper / Sinarmas) — 키퍼스 시니어 팬티형</t>
        </is>
      </c>
      <c r="D7" s="73" t="inlineStr">
        <is>
          <t>파트너</t>
        </is>
      </c>
      <c r="E7" s="73" t="inlineStr">
        <is>
          <t>계약</t>
        </is>
      </c>
      <c r="F7" s="74" t="inlineStr">
        <is>
          <t>스마트 팬티형 기저귀 연 구독 모델(공급+센서+서비스). 연 15억. B2C 기저귀 판매의 70% 이상이 팬티형</t>
        </is>
      </c>
      <c r="G7" s="73" t="inlineStr">
        <is>
          <t>p.11·25</t>
        </is>
      </c>
      <c r="H7" s="75">
        <f>'4_매출_거래처'!AW27*'4_매출_거래처'!$S27</f>
        <v>1200000</v>
      </c>
      <c r="I7" s="74" t="inlineStr">
        <is>
          <t>2026-12 개시 가정</t>
        </is>
      </c>
      <c r="J7" s="74" t="inlineStr">
        <is>
          <t>출시일·초도 발주 확인</t>
        </is>
      </c>
    </row>
    <row r="8" ht="36" customHeight="1">
      <c r="A8" s="73" t="inlineStr">
        <is>
          <t>국내</t>
        </is>
      </c>
      <c r="B8" s="73" t="inlineStr">
        <is>
          <t>한국</t>
        </is>
      </c>
      <c r="C8" s="73" t="inlineStr">
        <is>
          <t>APP — 스마트 베이비 기저귀(Beffys)</t>
        </is>
      </c>
      <c r="D8" s="73" t="inlineStr">
        <is>
          <t>파트너</t>
        </is>
      </c>
      <c r="E8" s="73" t="inlineStr">
        <is>
          <t>계약</t>
        </is>
      </c>
      <c r="F8" s="74" t="inlineStr">
        <is>
          <t>프리미엄 베이비 구독, 배변·수면 패턴 AI 분석. 연 10억</t>
        </is>
      </c>
      <c r="G8" s="73" t="inlineStr">
        <is>
          <t>p.12·25</t>
        </is>
      </c>
      <c r="H8" s="75">
        <f>'4_매출_거래처'!AW15*'4_매출_거래처'!$S15</f>
        <v>1200000</v>
      </c>
      <c r="I8" s="74" t="inlineStr">
        <is>
          <t>2027-01 개시 가정</t>
        </is>
      </c>
      <c r="J8" s="74" t="inlineStr">
        <is>
          <t>출시일·초도 발주 확인</t>
        </is>
      </c>
    </row>
    <row r="9" ht="36" customHeight="1">
      <c r="A9" s="73" t="inlineStr">
        <is>
          <t>해외</t>
        </is>
      </c>
      <c r="B9" s="73" t="inlineStr">
        <is>
          <t>일본</t>
        </is>
      </c>
      <c r="C9" s="73" t="inlineStr">
        <is>
          <t>HeartKium(HEARTCARE 오사카 요양시설) 총판</t>
        </is>
      </c>
      <c r="D9" s="73" t="inlineStr">
        <is>
          <t>총판</t>
        </is>
      </c>
      <c r="E9" s="73" t="inlineStr">
        <is>
          <t>계약</t>
        </is>
      </c>
      <c r="F9" s="74" t="inlineStr">
        <is>
          <t>오사카 요양시설 14곳 계약(→ 23곳), 기저귀 100만개·센싱 시스템 2,000대 공급. 총판 연 16억</t>
        </is>
      </c>
      <c r="G9" s="73" t="inlineStr">
        <is>
          <t>p.13·23·25</t>
        </is>
      </c>
      <c r="H9" s="75">
        <f>'4_매출_거래처'!AW28*'4_매출_거래처'!$S28</f>
        <v>360000</v>
      </c>
      <c r="I9" s="74" t="inlineStr">
        <is>
          <t>매출표: 2026 매출 없음, 2027 3.6억</t>
        </is>
      </c>
      <c r="J9" s="74" t="inlineStr">
        <is>
          <t>시설별 발주 이력(2025·2026) 확인</t>
        </is>
      </c>
    </row>
    <row r="10" ht="36" customHeight="1">
      <c r="A10" s="73" t="inlineStr">
        <is>
          <t>해외</t>
        </is>
      </c>
      <c r="B10" s="73" t="inlineStr">
        <is>
          <t>일본</t>
        </is>
      </c>
      <c r="C10" s="73" t="inlineStr">
        <is>
          <t>TAIS(Technical Aids Information System) by JAIS</t>
        </is>
      </c>
      <c r="D10" s="73" t="inlineStr">
        <is>
          <t>제도 등록</t>
        </is>
      </c>
      <c r="E10" s="73" t="inlineStr">
        <is>
          <t>등록 완료</t>
        </is>
      </c>
      <c r="F10" s="74" t="inlineStr">
        <is>
          <t>일본 복지용구 정보시스템 등록 완료. 연 20억(IR)</t>
        </is>
      </c>
      <c r="G10" s="73" t="inlineStr">
        <is>
          <t>p.13·25</t>
        </is>
      </c>
      <c r="H10" s="75">
        <f>'4_매출_거래처'!AW29*'4_매출_거래처'!$S29</f>
        <v>240000</v>
      </c>
      <c r="I10" s="74" t="inlineStr">
        <is>
          <t>2027-01 개시 가정(S2·S3 확률·지연 적용)</t>
        </is>
      </c>
      <c r="J10" s="74" t="inlineStr">
        <is>
          <t>등록일·실제 도입 경로(시설/재가) 확인</t>
        </is>
      </c>
    </row>
    <row r="11" ht="36" customHeight="1">
      <c r="A11" s="73" t="inlineStr">
        <is>
          <t>해외</t>
        </is>
      </c>
      <c r="B11" s="73" t="inlineStr">
        <is>
          <t>싱가포르</t>
        </is>
      </c>
      <c r="C11" s="73" t="inlineStr">
        <is>
          <t>Intega Healthcare</t>
        </is>
      </c>
      <c r="D11" s="73" t="inlineStr">
        <is>
          <t>총판</t>
        </is>
      </c>
      <c r="E11" s="73" t="inlineStr">
        <is>
          <t>계약</t>
        </is>
      </c>
      <c r="F11" s="74" t="inlineStr">
        <is>
          <t>싱가포르 총판. 2026-01 첫 수출(USD 17,440)</t>
        </is>
      </c>
      <c r="G11" s="73" t="inlineStr">
        <is>
          <t>p.23·25</t>
        </is>
      </c>
      <c r="H11" s="75">
        <f>'4_매출_거래처'!AW34*'4_매출_거래처'!$S34</f>
        <v>300000</v>
      </c>
      <c r="I11" s="74" t="inlineStr">
        <is>
          <t>기존 거래 — 2026 램프업</t>
        </is>
      </c>
      <c r="J11" s="74" t="inlineStr">
        <is>
          <t>분기별 발주 계획 확인</t>
        </is>
      </c>
    </row>
    <row r="12" ht="36" customHeight="1">
      <c r="A12" s="73" t="inlineStr">
        <is>
          <t>해외</t>
        </is>
      </c>
      <c r="B12" s="73" t="inlineStr">
        <is>
          <t>싱가포르</t>
        </is>
      </c>
      <c r="C12" s="73" t="inlineStr">
        <is>
          <t>NHG(KTPH·TTSH·Woodlands Health) 스마트 병동</t>
        </is>
      </c>
      <c r="D12" s="73" t="inlineStr">
        <is>
          <t>공공병원</t>
        </is>
      </c>
      <c r="E12" s="73" t="inlineStr">
        <is>
          <t>계약(IR) / 입찰 진행(입찰자료)</t>
        </is>
      </c>
      <c r="F12" s="74" t="inlineStr">
        <is>
          <t>IR: 계약 SGD 180,000. 입찰자료: RFP KTPH-RFP-26-165-MJ(ALPS 대행) 2026-09 제안서 제출, 센서 135·게이트웨이 40~53대, 병동별 최종검수 후 청구, 대금 60일. LOA 미확인</t>
        </is>
      </c>
      <c r="G12" s="73" t="inlineStr">
        <is>
          <t>p.14~17</t>
        </is>
      </c>
      <c r="H12" s="75">
        <f>'4_매출_거래처'!AW36*'4_매출_거래처'!$S36</f>
        <v>400000</v>
      </c>
      <c r="I12" s="74" t="inlineStr">
        <is>
          <t>2027-06~08 검수 매출(S2·S3는 입찰 단계 확률)</t>
        </is>
      </c>
      <c r="J12" s="74" t="inlineStr">
        <is>
          <t>★ LOA 수령 여부·표현("계약") 정합</t>
        </is>
      </c>
    </row>
    <row r="13" ht="36" customHeight="1">
      <c r="A13" s="73" t="inlineStr">
        <is>
          <t>해외</t>
        </is>
      </c>
      <c r="B13" s="73" t="inlineStr">
        <is>
          <t>싱가포르</t>
        </is>
      </c>
      <c r="C13" s="73" t="inlineStr">
        <is>
          <t>IMH(국립정신건강원)</t>
        </is>
      </c>
      <c r="D13" s="73" t="inlineStr">
        <is>
          <t>공공(R&amp;D)</t>
        </is>
      </c>
      <c r="E13" s="73" t="inlineStr">
        <is>
          <t>계약</t>
        </is>
      </c>
      <c r="F13" s="74" t="inlineStr">
        <is>
          <t>스마트 욕창 케어 솔루션 R&amp;D 프로젝트 연 SGD 120,000</t>
        </is>
      </c>
      <c r="G13" s="73" t="inlineStr">
        <is>
          <t>p.20·25</t>
        </is>
      </c>
      <c r="H13" s="75">
        <f>'4_매출_거래처'!AW37*'4_매출_거래처'!$S37</f>
        <v>180000</v>
      </c>
      <c r="I13" s="74" t="inlineStr">
        <is>
          <t>2026-07 착수 가정, 2028 종료</t>
        </is>
      </c>
      <c r="J13" s="74" t="inlineStr">
        <is>
          <t>계약 체결월·기간 확인</t>
        </is>
      </c>
    </row>
    <row r="14" ht="36" customHeight="1">
      <c r="A14" s="73" t="inlineStr">
        <is>
          <t>해외</t>
        </is>
      </c>
      <c r="B14" s="73" t="inlineStr">
        <is>
          <t>싱가포르</t>
        </is>
      </c>
      <c r="C14" s="73" t="inlineStr">
        <is>
          <t>Vanguard Healthcare</t>
        </is>
      </c>
      <c r="D14" s="73" t="inlineStr">
        <is>
          <t>기관</t>
        </is>
      </c>
      <c r="E14" s="73" t="inlineStr">
        <is>
          <t>계약</t>
        </is>
      </c>
      <c r="F14" s="74" t="inlineStr">
        <is>
          <t>요양원 5곳·병상 1,200+, 입소자 300명 구독 계약 확정(연 USD 285,840)</t>
        </is>
      </c>
      <c r="G14" s="73" t="inlineStr">
        <is>
          <t>p.18·25</t>
        </is>
      </c>
      <c r="H14" s="76" t="inlineStr">
        <is>
          <t>-</t>
        </is>
      </c>
      <c r="I14" s="74" t="inlineStr">
        <is>
          <t>2026-10-05 매출표에 없음 → 미반영</t>
        </is>
      </c>
      <c r="J14" s="74" t="inlineStr">
        <is>
          <t>계약서/PO·개시일 확인 후 매출표 반영</t>
        </is>
      </c>
    </row>
    <row r="15" ht="36" customHeight="1">
      <c r="A15" s="73" t="inlineStr">
        <is>
          <t>해외</t>
        </is>
      </c>
      <c r="B15" s="73" t="inlineStr">
        <is>
          <t>싱가포르</t>
        </is>
      </c>
      <c r="C15" s="73" t="inlineStr">
        <is>
          <t>SingHealth Polyclinics</t>
        </is>
      </c>
      <c r="D15" s="73" t="inlineStr">
        <is>
          <t>PoC</t>
        </is>
      </c>
      <c r="E15" s="73" t="inlineStr">
        <is>
          <t>PoC</t>
        </is>
      </c>
      <c r="F15" s="74" t="inlineStr">
        <is>
          <t>원격의료 PoC(참여자 30명, 논문 발표 예정). 매출 금액 미정</t>
        </is>
      </c>
      <c r="G15" s="73" t="inlineStr">
        <is>
          <t>p.19</t>
        </is>
      </c>
      <c r="H15" s="76" t="inlineStr">
        <is>
          <t>-</t>
        </is>
      </c>
      <c r="I15" s="74" t="inlineStr">
        <is>
          <t>미반영(신규 파이프라인 근거)</t>
        </is>
      </c>
      <c r="J15" s="74" t="inlineStr">
        <is>
          <t>PoC 종료·상용 전환 조건</t>
        </is>
      </c>
    </row>
    <row r="16" ht="36" customHeight="1">
      <c r="A16" s="73" t="inlineStr">
        <is>
          <t>해외</t>
        </is>
      </c>
      <c r="B16" s="73" t="inlineStr">
        <is>
          <t>싱가포르</t>
        </is>
      </c>
      <c r="C16" s="73" t="inlineStr">
        <is>
          <t>NTUC Health</t>
        </is>
      </c>
      <c r="D16" s="73" t="inlineStr">
        <is>
          <t>PoC</t>
        </is>
      </c>
      <c r="E16" s="73" t="inlineStr">
        <is>
          <t>PoC</t>
        </is>
      </c>
      <c r="F16" s="74" t="inlineStr">
        <is>
          <t>요양원 6·주간보호 26·재가 5,000명 규모. 방문 케어 센터와 PoC 진행 중</t>
        </is>
      </c>
      <c r="G16" s="73" t="inlineStr">
        <is>
          <t>p.29</t>
        </is>
      </c>
      <c r="H16" s="76" t="inlineStr">
        <is>
          <t>-</t>
        </is>
      </c>
      <c r="I16" s="74" t="inlineStr">
        <is>
          <t>미반영(신규 파이프라인 근거)</t>
        </is>
      </c>
      <c r="J16" s="74" t="inlineStr">
        <is>
          <t>PoC 일정·구매 절차</t>
        </is>
      </c>
    </row>
    <row r="17" ht="36" customHeight="1">
      <c r="A17" s="73" t="inlineStr">
        <is>
          <t>해외</t>
        </is>
      </c>
      <c r="B17" s="73" t="inlineStr">
        <is>
          <t>말레이시아</t>
        </is>
      </c>
      <c r="C17" s="73" t="inlineStr">
        <is>
          <t>Sunway Sanctuary</t>
        </is>
      </c>
      <c r="D17" s="73" t="inlineStr">
        <is>
          <t>PoC/R&amp;D</t>
        </is>
      </c>
      <c r="E17" s="73" t="inlineStr">
        <is>
          <t>PoC / R&amp;D</t>
        </is>
      </c>
      <c r="F17" s="74" t="inlineStr">
        <is>
          <t>병원 연계형 시니어 레지던스. PoC 및 R&amp;D 협업. IR 표 3.0억</t>
        </is>
      </c>
      <c r="G17" s="73" t="inlineStr">
        <is>
          <t>p.31·25</t>
        </is>
      </c>
      <c r="H17" s="75">
        <f>'4_매출_거래처'!AW35*'4_매출_거래처'!$S35</f>
        <v>50000</v>
      </c>
      <c r="I17" s="74" t="inlineStr">
        <is>
          <t>S1·S2·S3 모두 매출 제외(상방)</t>
        </is>
      </c>
      <c r="J17" s="74" t="inlineStr">
        <is>
          <t>PoC 결과·상용 계약</t>
        </is>
      </c>
    </row>
    <row r="18" ht="36" customHeight="1">
      <c r="A18" s="73" t="inlineStr">
        <is>
          <t>해외</t>
        </is>
      </c>
      <c r="B18" s="73" t="inlineStr">
        <is>
          <t>말레이시아</t>
        </is>
      </c>
      <c r="C18" s="73" t="inlineStr">
        <is>
          <t>IHH Healthcare</t>
        </is>
      </c>
      <c r="D18" s="73" t="inlineStr">
        <is>
          <t>PoC</t>
        </is>
      </c>
      <c r="E18" s="73" t="inlineStr">
        <is>
          <t>PoC</t>
        </is>
      </c>
      <c r="F18" s="74" t="inlineStr">
        <is>
          <t>최대 민간 케어 그룹. PoC 및 구매 절차 준비 완료(SG·MY 병원 22곳)</t>
        </is>
      </c>
      <c r="G18" s="73" t="inlineStr">
        <is>
          <t>p.30</t>
        </is>
      </c>
      <c r="H18" s="76" t="inlineStr">
        <is>
          <t>-</t>
        </is>
      </c>
      <c r="I18" s="74" t="inlineStr">
        <is>
          <t>미반영(신규 파이프라인 근거)</t>
        </is>
      </c>
      <c r="J18" s="74" t="inlineStr">
        <is>
          <t>구매 절차 완료·발주 시점</t>
        </is>
      </c>
    </row>
    <row r="19" ht="36" customHeight="1">
      <c r="A19" s="73" t="inlineStr">
        <is>
          <t>해외</t>
        </is>
      </c>
      <c r="B19" s="73" t="inlineStr">
        <is>
          <t>말레이시아</t>
        </is>
      </c>
      <c r="C19" s="73" t="inlineStr">
        <is>
          <t>Econ Healthcare</t>
        </is>
      </c>
      <c r="D19" s="73" t="inlineStr">
        <is>
          <t>PoC</t>
        </is>
      </c>
      <c r="E19" s="73" t="inlineStr">
        <is>
          <t>PoC</t>
        </is>
      </c>
      <c r="F19" s="74" t="inlineStr">
        <is>
          <t>요양원 10곳(SG 8·MY 2), PoC 및 사업 논의 중</t>
        </is>
      </c>
      <c r="G19" s="73" t="inlineStr">
        <is>
          <t>p.32·25</t>
        </is>
      </c>
      <c r="H19" s="76" t="inlineStr">
        <is>
          <t>-</t>
        </is>
      </c>
      <c r="I19" s="74" t="inlineStr">
        <is>
          <t>미반영(금액 미정)</t>
        </is>
      </c>
      <c r="J19" s="74" t="inlineStr">
        <is>
          <t>논의 결과</t>
        </is>
      </c>
    </row>
    <row r="20" ht="36" customHeight="1">
      <c r="A20" s="73" t="inlineStr">
        <is>
          <t>해외</t>
        </is>
      </c>
      <c r="B20" s="73" t="inlineStr">
        <is>
          <t>말레이시아</t>
        </is>
      </c>
      <c r="C20" s="73" t="inlineStr">
        <is>
          <t>ACG</t>
        </is>
      </c>
      <c r="D20" s="73" t="inlineStr">
        <is>
          <t>협의</t>
        </is>
      </c>
      <c r="E20" s="73" t="inlineStr">
        <is>
          <t>진행 중</t>
        </is>
      </c>
      <c r="F20" s="74" t="inlineStr">
        <is>
          <t>IR 표에 금액 미정으로 표기</t>
        </is>
      </c>
      <c r="G20" s="73" t="inlineStr">
        <is>
          <t>p.25</t>
        </is>
      </c>
      <c r="H20" s="76" t="inlineStr">
        <is>
          <t>-</t>
        </is>
      </c>
      <c r="I20" s="74" t="inlineStr">
        <is>
          <t>미반영(금액 미정)</t>
        </is>
      </c>
      <c r="J20" s="74" t="inlineStr">
        <is>
          <t>내용 확인</t>
        </is>
      </c>
    </row>
    <row r="21" ht="36" customHeight="1">
      <c r="A21" s="73" t="inlineStr">
        <is>
          <t>해외</t>
        </is>
      </c>
      <c r="B21" s="73" t="inlineStr">
        <is>
          <t>태국</t>
        </is>
      </c>
      <c r="C21" s="73" t="inlineStr">
        <is>
          <t>Punnita</t>
        </is>
      </c>
      <c r="D21" s="73" t="inlineStr">
        <is>
          <t>총판(베이비)</t>
        </is>
      </c>
      <c r="E21" s="73" t="inlineStr">
        <is>
          <t>계약</t>
        </is>
      </c>
      <c r="F21" s="74" t="inlineStr">
        <is>
          <t>베이비 스마트 기저귀 총판</t>
        </is>
      </c>
      <c r="G21" s="73" t="inlineStr">
        <is>
          <t>p.23·25</t>
        </is>
      </c>
      <c r="H21" s="75">
        <f>'4_매출_거래처'!AW17*'4_매출_거래처'!$S17</f>
        <v>135000</v>
      </c>
      <c r="I21" s="74" t="inlineStr">
        <is>
          <t>2027-02 개시 가정</t>
        </is>
      </c>
      <c r="J21" s="74" t="inlineStr"/>
    </row>
    <row r="22" ht="36" customHeight="1">
      <c r="A22" s="73" t="inlineStr">
        <is>
          <t>해외</t>
        </is>
      </c>
      <c r="B22" s="73" t="inlineStr">
        <is>
          <t>대만</t>
        </is>
      </c>
      <c r="C22" s="73" t="inlineStr">
        <is>
          <t>Littleloft</t>
        </is>
      </c>
      <c r="D22" s="73" t="inlineStr">
        <is>
          <t>총판(베이비)</t>
        </is>
      </c>
      <c r="E22" s="73" t="inlineStr">
        <is>
          <t>계약</t>
        </is>
      </c>
      <c r="F22" s="74" t="inlineStr">
        <is>
          <t>베이비 스마트 기저귀 총판</t>
        </is>
      </c>
      <c r="G22" s="73" t="inlineStr">
        <is>
          <t>p.23·25</t>
        </is>
      </c>
      <c r="H22" s="75">
        <f>'4_매출_거래처'!AW16*'4_매출_거래처'!$S16</f>
        <v>135000</v>
      </c>
      <c r="I22" s="74" t="inlineStr">
        <is>
          <t>2027-02 개시 가정</t>
        </is>
      </c>
      <c r="J22" s="74" t="inlineStr"/>
    </row>
    <row r="23" ht="36" customHeight="1">
      <c r="A23" s="73" t="inlineStr">
        <is>
          <t>해외</t>
        </is>
      </c>
      <c r="B23" s="73" t="inlineStr">
        <is>
          <t>네덜란드</t>
        </is>
      </c>
      <c r="C23" s="73" t="inlineStr">
        <is>
          <t>GIV (IR 지도: GISI Distribution)</t>
        </is>
      </c>
      <c r="D23" s="73" t="inlineStr">
        <is>
          <t>총판</t>
        </is>
      </c>
      <c r="E23" s="73" t="inlineStr">
        <is>
          <t>계약</t>
        </is>
      </c>
      <c r="F23" s="74" t="inlineStr">
        <is>
          <t>유럽 총판</t>
        </is>
      </c>
      <c r="G23" s="73" t="inlineStr">
        <is>
          <t>p.23·25</t>
        </is>
      </c>
      <c r="H23" s="75">
        <f>'4_매출_거래처'!AW31*'4_매출_거래처'!$S31</f>
        <v>150000</v>
      </c>
      <c r="I23" s="74" t="inlineStr">
        <is>
          <t>2027-02 개시 가정</t>
        </is>
      </c>
      <c r="J23" s="74" t="inlineStr">
        <is>
          <t>★ 거래처명 표기 불일치 확인</t>
        </is>
      </c>
    </row>
    <row r="24" ht="36" customHeight="1">
      <c r="A24" s="73" t="inlineStr">
        <is>
          <t>해외</t>
        </is>
      </c>
      <c r="B24" s="73" t="inlineStr">
        <is>
          <t>스페인</t>
        </is>
      </c>
      <c r="C24" s="73" t="inlineStr">
        <is>
          <t>NEUCA</t>
        </is>
      </c>
      <c r="D24" s="73" t="inlineStr">
        <is>
          <t>총판</t>
        </is>
      </c>
      <c r="E24" s="73" t="inlineStr">
        <is>
          <t>접촉</t>
        </is>
      </c>
      <c r="F24" s="74" t="inlineStr">
        <is>
          <t>초기 접촉 단계</t>
        </is>
      </c>
      <c r="G24" s="73" t="inlineStr">
        <is>
          <t>p.25</t>
        </is>
      </c>
      <c r="H24" s="75">
        <f>'4_매출_거래처'!AW32*'4_매출_거래처'!$S32</f>
        <v>150000</v>
      </c>
      <c r="I24" s="74" t="inlineStr">
        <is>
          <t>2027-02 개시 가정(S1)</t>
        </is>
      </c>
      <c r="J24" s="74" t="inlineStr">
        <is>
          <t>국가·법인 표기 확인</t>
        </is>
      </c>
    </row>
    <row r="25" ht="36" customHeight="1">
      <c r="A25" s="73" t="inlineStr">
        <is>
          <t>해외</t>
        </is>
      </c>
      <c r="B25" s="73" t="inlineStr">
        <is>
          <t>호주</t>
        </is>
      </c>
      <c r="C25" s="73" t="inlineStr">
        <is>
          <t>Healthbeat</t>
        </is>
      </c>
      <c r="D25" s="73" t="inlineStr">
        <is>
          <t>총판</t>
        </is>
      </c>
      <c r="E25" s="73" t="inlineStr">
        <is>
          <t>계약</t>
        </is>
      </c>
      <c r="F25" s="74" t="inlineStr">
        <is>
          <t>호주 총판. IR 지도상 호주·뉴질랜드 해외 총판</t>
        </is>
      </c>
      <c r="G25" s="73" t="inlineStr">
        <is>
          <t>p.23·25</t>
        </is>
      </c>
      <c r="H25" s="75">
        <f>'4_매출_거래처'!AW38*'4_매출_거래처'!$S38</f>
        <v>300000</v>
      </c>
      <c r="I25" s="74" t="inlineStr">
        <is>
          <t>2027-02 개시 가정</t>
        </is>
      </c>
      <c r="J25" s="74" t="inlineStr"/>
    </row>
    <row r="26" ht="36" customHeight="1">
      <c r="A26" s="73" t="inlineStr">
        <is>
          <t>해외</t>
        </is>
      </c>
      <c r="B26" s="73" t="inlineStr">
        <is>
          <t>뉴질랜드</t>
        </is>
      </c>
      <c r="C26" s="73" t="inlineStr">
        <is>
          <t>(IR 지도: 해외 총판)</t>
        </is>
      </c>
      <c r="D26" s="73" t="inlineStr">
        <is>
          <t>총판</t>
        </is>
      </c>
      <c r="E26" s="73" t="inlineStr">
        <is>
          <t>-</t>
        </is>
      </c>
      <c r="F26" s="74" t="inlineStr">
        <is>
          <t>매출 금액·거래처명 미표기</t>
        </is>
      </c>
      <c r="G26" s="73" t="inlineStr">
        <is>
          <t>p.23</t>
        </is>
      </c>
      <c r="H26" s="76" t="inlineStr">
        <is>
          <t>-</t>
        </is>
      </c>
      <c r="I26" s="74" t="inlineStr">
        <is>
          <t>미반영</t>
        </is>
      </c>
      <c r="J26" s="74" t="inlineStr"/>
    </row>
    <row r="27" ht="36" customHeight="1">
      <c r="A27" s="73" t="inlineStr">
        <is>
          <t>해외</t>
        </is>
      </c>
      <c r="B27" s="73" t="inlineStr">
        <is>
          <t>포르투갈</t>
        </is>
      </c>
      <c r="C27" s="73" t="inlineStr">
        <is>
          <t>HITecosystem</t>
        </is>
      </c>
      <c r="D27" s="73" t="inlineStr">
        <is>
          <t>협의</t>
        </is>
      </c>
      <c r="E27" s="73" t="inlineStr">
        <is>
          <t>진행 중</t>
        </is>
      </c>
      <c r="F27" s="74" t="inlineStr">
        <is>
          <t>IR 표에 금액 미정으로 표기</t>
        </is>
      </c>
      <c r="G27" s="73" t="inlineStr">
        <is>
          <t>p.25</t>
        </is>
      </c>
      <c r="H27" s="76" t="inlineStr">
        <is>
          <t>-</t>
        </is>
      </c>
      <c r="I27" s="74" t="inlineStr">
        <is>
          <t>미반영(금액 미정)</t>
        </is>
      </c>
      <c r="J27" s="74" t="inlineStr"/>
    </row>
    <row r="28" ht="36" customHeight="1">
      <c r="A28" s="73" t="inlineStr">
        <is>
          <t>해외</t>
        </is>
      </c>
      <c r="B28" s="73" t="inlineStr">
        <is>
          <t>미국</t>
        </is>
      </c>
      <c r="C28" s="73" t="inlineStr">
        <is>
          <t>Shelter Device</t>
        </is>
      </c>
      <c r="D28" s="73" t="inlineStr">
        <is>
          <t>협의</t>
        </is>
      </c>
      <c r="E28" s="73" t="inlineStr">
        <is>
          <t>진행 중</t>
        </is>
      </c>
      <c r="F28" s="74" t="inlineStr">
        <is>
          <t>금액 미정. 2029 미국 의료 유통 채널 진입의 출발점</t>
        </is>
      </c>
      <c r="G28" s="73" t="inlineStr">
        <is>
          <t>p.24·25</t>
        </is>
      </c>
      <c r="H28" s="76" t="inlineStr">
        <is>
          <t>-</t>
        </is>
      </c>
      <c r="I28" s="74" t="inlineStr">
        <is>
          <t>미반영(신규 파이프라인 근거)</t>
        </is>
      </c>
      <c r="J28" s="74" t="inlineStr">
        <is>
          <t>인허가(FDA 등) 일정</t>
        </is>
      </c>
    </row>
    <row r="29" ht="36" customHeight="1">
      <c r="A29" s="73" t="inlineStr">
        <is>
          <t>해외</t>
        </is>
      </c>
      <c r="B29" s="73" t="inlineStr">
        <is>
          <t>중국</t>
        </is>
      </c>
      <c r="C29" s="73" t="inlineStr">
        <is>
          <t>Hansoms(Xiamen)</t>
        </is>
      </c>
      <c r="D29" s="73" t="inlineStr">
        <is>
          <t>공급·전략투자</t>
        </is>
      </c>
      <c r="E29" s="73" t="inlineStr">
        <is>
          <t>계약</t>
        </is>
      </c>
      <c r="F29" s="74" t="inlineStr">
        <is>
          <t>2026-07 전략적 현물출자 계약: 보통주 최대 3,102주(주당 USD 144.42), 제품 납품·검수 후 회차별 발행. 매출 거래처가 아닌 기저귀 공급 파트너</t>
        </is>
      </c>
      <c r="G29" s="73" t="inlineStr">
        <is>
          <t>회사연혁</t>
        </is>
      </c>
      <c r="H29" s="76" t="inlineStr">
        <is>
          <t>-</t>
        </is>
      </c>
      <c r="I29" s="74" t="inlineStr">
        <is>
          <t>매출 아님(원가 안정화 요인, 미반영)</t>
        </is>
      </c>
      <c r="J29" s="74" t="inlineStr">
        <is>
          <t>계약 효력일·납품 일정</t>
        </is>
      </c>
    </row>
    <row r="30">
      <c r="C30" s="12" t="inlineStr">
        <is>
          <t>2027 모델 매출 합계(S1)</t>
        </is>
      </c>
      <c r="H30" s="26">
        <f>SUM(H5:H29)</f>
        <v>8285300</v>
      </c>
    </row>
  </sheetData>
  <pageMargins left="0.75" right="0.75" top="1" bottom="1" header="0.5" footer="0.5"/>
  <pageSetup orientation="landscape" fitToHeight="0" fitToWidth="1"/>
</worksheet>
</file>

<file path=xl/worksheets/sheet7.xml><?xml version="1.0" encoding="utf-8"?>
<worksheet xmlns="http://schemas.openxmlformats.org/spreadsheetml/2006/main">
  <sheetPr>
    <tabColor rgb="002F5597"/>
    <outlinePr summaryBelow="1" summaryRight="1"/>
    <pageSetUpPr fitToPage="1"/>
  </sheetPr>
  <dimension ref="A1:AF61"/>
  <sheetViews>
    <sheetView zoomScale="85" workbookViewId="0">
      <pane xSplit="2" ySplit="6" topLeftCell="C7" activePane="bottomRight" state="frozen"/>
      <selection pane="topRight"/>
      <selection pane="bottomLeft"/>
      <selection pane="bottomRight" activeCell="A1" sqref="A1"/>
    </sheetView>
  </sheetViews>
  <sheetFormatPr baseColWidth="8" defaultRowHeight="15"/>
  <cols>
    <col width="42" customWidth="1" min="1" max="1"/>
    <col width="26" customWidth="1" min="2" max="2"/>
    <col outlineLevel="1" width="10.5" customWidth="1" min="3" max="14"/>
    <col width="10.5" customWidth="1" min="15" max="15"/>
    <col outlineLevel="1" width="10.5" customWidth="1" min="16" max="27"/>
    <col width="10.5" customWidth="1" min="28" max="28"/>
    <col width="10.5" customWidth="1" min="29" max="29"/>
    <col width="10.5" customWidth="1" min="30" max="30"/>
    <col width="10.5" customWidth="1" min="31" max="31"/>
    <col width="10.5" customWidth="1" min="32" max="32"/>
  </cols>
  <sheetData>
    <row r="1">
      <c r="A1" s="1" t="inlineStr">
        <is>
          <t>7_비용인력 — 인원 · 판매비와관리비 · 영업외 · 법인세</t>
        </is>
      </c>
    </row>
    <row r="2">
      <c r="A2" s="2" t="inlineStr">
        <is>
          <t>단위: 천원. 인원 계획(S1)은 파란색 입력, 선택 시나리오에서는 매출 달성률에 따라 탄력 조정됩니다.</t>
        </is>
      </c>
    </row>
    <row r="5">
      <c r="A5" s="21" t="inlineStr">
        <is>
          <t>계정</t>
        </is>
      </c>
      <c r="B5" s="21" t="inlineStr">
        <is>
          <t>비고</t>
        </is>
      </c>
      <c r="C5" s="11" t="inlineStr">
        <is>
          <t>2026-01</t>
        </is>
      </c>
      <c r="D5" s="11" t="inlineStr">
        <is>
          <t>2026-02</t>
        </is>
      </c>
      <c r="E5" s="11" t="inlineStr">
        <is>
          <t>2026-03</t>
        </is>
      </c>
      <c r="F5" s="11" t="inlineStr">
        <is>
          <t>2026-04</t>
        </is>
      </c>
      <c r="G5" s="11" t="inlineStr">
        <is>
          <t>2026-05</t>
        </is>
      </c>
      <c r="H5" s="11" t="inlineStr">
        <is>
          <t>2026-06</t>
        </is>
      </c>
      <c r="I5" s="11" t="inlineStr">
        <is>
          <t>2026-07</t>
        </is>
      </c>
      <c r="J5" s="11" t="inlineStr">
        <is>
          <t>2026-08</t>
        </is>
      </c>
      <c r="K5" s="11" t="inlineStr">
        <is>
          <t>2026-09</t>
        </is>
      </c>
      <c r="L5" s="11" t="inlineStr">
        <is>
          <t>2026-10</t>
        </is>
      </c>
      <c r="M5" s="11" t="inlineStr">
        <is>
          <t>2026-11</t>
        </is>
      </c>
      <c r="N5" s="11" t="inlineStr">
        <is>
          <t>2026-12</t>
        </is>
      </c>
      <c r="O5" s="11" t="inlineStr">
        <is>
          <t>FY2026</t>
        </is>
      </c>
      <c r="P5" s="11" t="inlineStr">
        <is>
          <t>2027-01</t>
        </is>
      </c>
      <c r="Q5" s="11" t="inlineStr">
        <is>
          <t>2027-02</t>
        </is>
      </c>
      <c r="R5" s="11" t="inlineStr">
        <is>
          <t>2027-03</t>
        </is>
      </c>
      <c r="S5" s="11" t="inlineStr">
        <is>
          <t>2027-04</t>
        </is>
      </c>
      <c r="T5" s="11" t="inlineStr">
        <is>
          <t>2027-05</t>
        </is>
      </c>
      <c r="U5" s="11" t="inlineStr">
        <is>
          <t>2027-06</t>
        </is>
      </c>
      <c r="V5" s="11" t="inlineStr">
        <is>
          <t>2027-07</t>
        </is>
      </c>
      <c r="W5" s="11" t="inlineStr">
        <is>
          <t>2027-08</t>
        </is>
      </c>
      <c r="X5" s="11" t="inlineStr">
        <is>
          <t>2027-09</t>
        </is>
      </c>
      <c r="Y5" s="11" t="inlineStr">
        <is>
          <t>2027-10</t>
        </is>
      </c>
      <c r="Z5" s="11" t="inlineStr">
        <is>
          <t>2027-11</t>
        </is>
      </c>
      <c r="AA5" s="11" t="inlineStr">
        <is>
          <t>2027-12</t>
        </is>
      </c>
      <c r="AB5" s="11" t="inlineStr">
        <is>
          <t>FY2027</t>
        </is>
      </c>
      <c r="AC5" s="11" t="inlineStr">
        <is>
          <t>2028E</t>
        </is>
      </c>
      <c r="AD5" s="11" t="inlineStr">
        <is>
          <t>2029E</t>
        </is>
      </c>
      <c r="AE5" s="11" t="inlineStr">
        <is>
          <t>2030E</t>
        </is>
      </c>
      <c r="AF5" s="11" t="inlineStr">
        <is>
          <t>5개년 합계</t>
        </is>
      </c>
    </row>
    <row r="6">
      <c r="A6" s="22" t="inlineStr"/>
      <c r="B6" s="22" t="inlineStr"/>
      <c r="C6" s="22" t="inlineStr">
        <is>
          <t>추정</t>
        </is>
      </c>
      <c r="D6" s="22" t="inlineStr">
        <is>
          <t>추정</t>
        </is>
      </c>
      <c r="E6" s="22" t="inlineStr">
        <is>
          <t>추정</t>
        </is>
      </c>
      <c r="F6" s="22" t="inlineStr">
        <is>
          <t>추정</t>
        </is>
      </c>
      <c r="G6" s="22" t="inlineStr">
        <is>
          <t>추정</t>
        </is>
      </c>
      <c r="H6" s="22" t="inlineStr">
        <is>
          <t>추정</t>
        </is>
      </c>
      <c r="I6" s="22" t="inlineStr">
        <is>
          <t>추정</t>
        </is>
      </c>
      <c r="J6" s="22" t="inlineStr">
        <is>
          <t>추정</t>
        </is>
      </c>
      <c r="K6" s="22" t="inlineStr">
        <is>
          <t>추정</t>
        </is>
      </c>
      <c r="L6" s="22" t="inlineStr">
        <is>
          <t>계획</t>
        </is>
      </c>
      <c r="M6" s="22" t="inlineStr">
        <is>
          <t>계획</t>
        </is>
      </c>
      <c r="N6" s="22" t="inlineStr">
        <is>
          <t>계획</t>
        </is>
      </c>
      <c r="O6" s="22" t="inlineStr">
        <is>
          <t>FY합계</t>
        </is>
      </c>
      <c r="P6" s="22" t="inlineStr">
        <is>
          <t>계획</t>
        </is>
      </c>
      <c r="Q6" s="22" t="inlineStr">
        <is>
          <t>계획</t>
        </is>
      </c>
      <c r="R6" s="22" t="inlineStr">
        <is>
          <t>계획</t>
        </is>
      </c>
      <c r="S6" s="22" t="inlineStr">
        <is>
          <t>계획</t>
        </is>
      </c>
      <c r="T6" s="22" t="inlineStr">
        <is>
          <t>계획</t>
        </is>
      </c>
      <c r="U6" s="22" t="inlineStr">
        <is>
          <t>계획</t>
        </is>
      </c>
      <c r="V6" s="22" t="inlineStr">
        <is>
          <t>계획</t>
        </is>
      </c>
      <c r="W6" s="22" t="inlineStr">
        <is>
          <t>계획</t>
        </is>
      </c>
      <c r="X6" s="22" t="inlineStr">
        <is>
          <t>계획</t>
        </is>
      </c>
      <c r="Y6" s="22" t="inlineStr">
        <is>
          <t>계획</t>
        </is>
      </c>
      <c r="Z6" s="22" t="inlineStr">
        <is>
          <t>계획</t>
        </is>
      </c>
      <c r="AA6" s="22" t="inlineStr">
        <is>
          <t>계획</t>
        </is>
      </c>
      <c r="AB6" s="22" t="inlineStr">
        <is>
          <t>FY합계</t>
        </is>
      </c>
      <c r="AC6" s="22" t="inlineStr">
        <is>
          <t>계획(연)</t>
        </is>
      </c>
      <c r="AD6" s="22" t="inlineStr">
        <is>
          <t>계획(연)</t>
        </is>
      </c>
      <c r="AE6" s="22" t="inlineStr">
        <is>
          <t>계획(연)</t>
        </is>
      </c>
      <c r="AF6" s="22" t="inlineStr">
        <is>
          <t>합계</t>
        </is>
      </c>
    </row>
    <row r="7">
      <c r="A7" s="3" t="inlineStr">
        <is>
          <t>A. 매출 연동 계수</t>
        </is>
      </c>
    </row>
    <row r="8">
      <c r="A8" s="15" t="inlineStr">
        <is>
          <t>매출(선택 시나리오)</t>
        </is>
      </c>
      <c r="B8" s="7" t="inlineStr">
        <is>
          <t>손익계산서 연동</t>
        </is>
      </c>
      <c r="C8" s="18">
        <f>'2_손익계산서'!C14</f>
        <v>54297</v>
      </c>
      <c r="D8" s="18">
        <f>'2_손익계산서'!D14</f>
        <v>42124</v>
      </c>
      <c r="E8" s="18">
        <f>'2_손익계산서'!E14</f>
        <v>66552</v>
      </c>
      <c r="F8" s="18">
        <f>'2_손익계산서'!F14</f>
        <v>20969</v>
      </c>
      <c r="G8" s="18">
        <f>'2_손익계산서'!G14</f>
        <v>28646</v>
      </c>
      <c r="H8" s="18">
        <f>'2_손익계산서'!H14</f>
        <v>60378</v>
      </c>
      <c r="I8" s="18">
        <f>'2_손익계산서'!I14</f>
        <v>24379</v>
      </c>
      <c r="J8" s="18">
        <f>'2_손익계산서'!J14</f>
        <v>16087</v>
      </c>
      <c r="K8" s="18">
        <f>'2_손익계산서'!K14</f>
        <v>46206</v>
      </c>
      <c r="L8" s="18">
        <f>'2_손익계산서'!L14</f>
        <v>70875</v>
      </c>
      <c r="M8" s="18">
        <f>'2_손익계산서'!M14</f>
        <v>249695</v>
      </c>
      <c r="N8" s="18">
        <f>'2_손익계산서'!N14</f>
        <v>594437</v>
      </c>
      <c r="O8" s="48">
        <f>'2_손익계산서'!O14</f>
        <v>1274645</v>
      </c>
      <c r="P8" s="18">
        <f>'2_손익계산서'!P14</f>
        <v>682975</v>
      </c>
      <c r="Q8" s="18">
        <f>'2_손익계산서'!Q14</f>
        <v>828775</v>
      </c>
      <c r="R8" s="18">
        <f>'2_손익계산서'!R14</f>
        <v>784575</v>
      </c>
      <c r="S8" s="18">
        <f>'2_손익계산서'!S14</f>
        <v>790375</v>
      </c>
      <c r="T8" s="18">
        <f>'2_손익계산서'!T14</f>
        <v>756175</v>
      </c>
      <c r="U8" s="18">
        <f>'2_손익계산서'!U14</f>
        <v>917775</v>
      </c>
      <c r="V8" s="18">
        <f>'2_손익계산서'!V14</f>
        <v>813575</v>
      </c>
      <c r="W8" s="18">
        <f>'2_손익계산서'!W14</f>
        <v>793575</v>
      </c>
      <c r="X8" s="18">
        <f>'2_손익계산서'!X14</f>
        <v>819375</v>
      </c>
      <c r="Y8" s="18">
        <f>'2_손익계산서'!Y14</f>
        <v>974375</v>
      </c>
      <c r="Z8" s="18">
        <f>'2_손익계산서'!Z14</f>
        <v>900175</v>
      </c>
      <c r="AA8" s="18">
        <f>'2_손익계산서'!AA14</f>
        <v>943275</v>
      </c>
      <c r="AB8" s="48">
        <f>'2_손익계산서'!AB14</f>
        <v>10005000</v>
      </c>
      <c r="AC8" s="24">
        <f>'2_손익계산서'!AC14</f>
        <v>33000000</v>
      </c>
      <c r="AD8" s="24">
        <f>'2_손익계산서'!AD14</f>
        <v>70000000</v>
      </c>
      <c r="AE8" s="24">
        <f>'2_손익계산서'!AE14</f>
        <v>156000000</v>
      </c>
      <c r="AF8" s="18">
        <f>'2_손익계산서'!AF14</f>
        <v>270279645</v>
      </c>
    </row>
    <row r="9">
      <c r="A9" s="15" t="inlineStr">
        <is>
          <t>매출(S1 기준)</t>
        </is>
      </c>
      <c r="B9" s="7" t="inlineStr">
        <is>
          <t>4_매출_거래처 A블록</t>
        </is>
      </c>
      <c r="C9" s="18">
        <f>'4_매출_거래처'!X44</f>
        <v>54297</v>
      </c>
      <c r="D9" s="18">
        <f>'4_매출_거래처'!Y44</f>
        <v>42124</v>
      </c>
      <c r="E9" s="18">
        <f>'4_매출_거래처'!Z44</f>
        <v>66552</v>
      </c>
      <c r="F9" s="18">
        <f>'4_매출_거래처'!AA44</f>
        <v>20969</v>
      </c>
      <c r="G9" s="18">
        <f>'4_매출_거래처'!AB44</f>
        <v>28646</v>
      </c>
      <c r="H9" s="18">
        <f>'4_매출_거래처'!AC44</f>
        <v>60378</v>
      </c>
      <c r="I9" s="18">
        <f>'4_매출_거래처'!AD44</f>
        <v>24379</v>
      </c>
      <c r="J9" s="18">
        <f>'4_매출_거래처'!AE44</f>
        <v>16087</v>
      </c>
      <c r="K9" s="18">
        <f>'4_매출_거래처'!AF44</f>
        <v>46206</v>
      </c>
      <c r="L9" s="18">
        <f>'4_매출_거래처'!AG44</f>
        <v>70875</v>
      </c>
      <c r="M9" s="18">
        <f>'4_매출_거래처'!AH44</f>
        <v>249695</v>
      </c>
      <c r="N9" s="18">
        <f>'4_매출_거래처'!AI44</f>
        <v>594437</v>
      </c>
      <c r="O9" s="48">
        <f>'4_매출_거래처'!AV44</f>
        <v>1274645</v>
      </c>
      <c r="P9" s="18">
        <f>'4_매출_거래처'!AJ44</f>
        <v>682975</v>
      </c>
      <c r="Q9" s="18">
        <f>'4_매출_거래처'!AK44</f>
        <v>828775</v>
      </c>
      <c r="R9" s="18">
        <f>'4_매출_거래처'!AL44</f>
        <v>784575</v>
      </c>
      <c r="S9" s="18">
        <f>'4_매출_거래처'!AM44</f>
        <v>790375</v>
      </c>
      <c r="T9" s="18">
        <f>'4_매출_거래처'!AN44</f>
        <v>756175</v>
      </c>
      <c r="U9" s="18">
        <f>'4_매출_거래처'!AO44</f>
        <v>917775</v>
      </c>
      <c r="V9" s="18">
        <f>'4_매출_거래처'!AP44</f>
        <v>813575</v>
      </c>
      <c r="W9" s="18">
        <f>'4_매출_거래처'!AQ44</f>
        <v>793575</v>
      </c>
      <c r="X9" s="18">
        <f>'4_매출_거래처'!AR44</f>
        <v>819375</v>
      </c>
      <c r="Y9" s="18">
        <f>'4_매출_거래처'!AS44</f>
        <v>974375</v>
      </c>
      <c r="Z9" s="18">
        <f>'4_매출_거래처'!AT44</f>
        <v>900175</v>
      </c>
      <c r="AA9" s="18">
        <f>'4_매출_거래처'!AU44</f>
        <v>943275</v>
      </c>
      <c r="AB9" s="48">
        <f>'4_매출_거래처'!AW44</f>
        <v>10005000</v>
      </c>
      <c r="AC9" s="24">
        <f>'4_매출_거래처'!AX44</f>
        <v>33000000</v>
      </c>
      <c r="AD9" s="24">
        <f>'4_매출_거래처'!AY44</f>
        <v>70000000</v>
      </c>
      <c r="AE9" s="24">
        <f>'4_매출_거래처'!AZ44</f>
        <v>156000000</v>
      </c>
      <c r="AF9" s="18">
        <f>'4_매출_거래처'!BA44</f>
        <v>270279645</v>
      </c>
    </row>
    <row r="10">
      <c r="A10" s="15" t="inlineStr">
        <is>
          <t>매출 달성률 = 선택/S1</t>
        </is>
      </c>
      <c r="B10" s="7" t="inlineStr">
        <is>
          <t>인원 탄력 계산에 사용</t>
        </is>
      </c>
      <c r="C10" s="57">
        <f>O10</f>
        <v>1</v>
      </c>
      <c r="D10" s="57">
        <f>O10</f>
        <v>1</v>
      </c>
      <c r="E10" s="57">
        <f>O10</f>
        <v>1</v>
      </c>
      <c r="F10" s="57">
        <f>O10</f>
        <v>1</v>
      </c>
      <c r="G10" s="57">
        <f>O10</f>
        <v>1</v>
      </c>
      <c r="H10" s="57">
        <f>O10</f>
        <v>1</v>
      </c>
      <c r="I10" s="57">
        <f>O10</f>
        <v>1</v>
      </c>
      <c r="J10" s="57">
        <f>O10</f>
        <v>1</v>
      </c>
      <c r="K10" s="57">
        <f>O10</f>
        <v>1</v>
      </c>
      <c r="L10" s="57">
        <f>O10</f>
        <v>1</v>
      </c>
      <c r="M10" s="57">
        <f>O10</f>
        <v>1</v>
      </c>
      <c r="N10" s="57">
        <f>O10</f>
        <v>1</v>
      </c>
      <c r="O10" s="49">
        <f>IFERROR(O8/O9,1)</f>
        <v>1</v>
      </c>
      <c r="P10" s="57">
        <f>AB10</f>
        <v>1</v>
      </c>
      <c r="Q10" s="57">
        <f>AB10</f>
        <v>1</v>
      </c>
      <c r="R10" s="57">
        <f>AB10</f>
        <v>1</v>
      </c>
      <c r="S10" s="57">
        <f>AB10</f>
        <v>1</v>
      </c>
      <c r="T10" s="57">
        <f>AB10</f>
        <v>1</v>
      </c>
      <c r="U10" s="57">
        <f>AB10</f>
        <v>1</v>
      </c>
      <c r="V10" s="57">
        <f>AB10</f>
        <v>1</v>
      </c>
      <c r="W10" s="57">
        <f>AB10</f>
        <v>1</v>
      </c>
      <c r="X10" s="57">
        <f>AB10</f>
        <v>1</v>
      </c>
      <c r="Y10" s="57">
        <f>AB10</f>
        <v>1</v>
      </c>
      <c r="Z10" s="57">
        <f>AB10</f>
        <v>1</v>
      </c>
      <c r="AA10" s="57">
        <f>AB10</f>
        <v>1</v>
      </c>
      <c r="AB10" s="49">
        <f>IFERROR(AB8/AB9,1)</f>
        <v>1</v>
      </c>
      <c r="AC10" s="50">
        <f>IFERROR(AC8/AC9,1)</f>
        <v>1</v>
      </c>
      <c r="AD10" s="50">
        <f>IFERROR(AD8/AD9,1)</f>
        <v>1</v>
      </c>
      <c r="AE10" s="50">
        <f>IFERROR(AE8/AE9,1)</f>
        <v>1</v>
      </c>
      <c r="AF10" s="57">
        <f>IFERROR(AF8/AF9,1)</f>
        <v>1</v>
      </c>
    </row>
    <row r="11">
      <c r="A11" s="15" t="inlineStr">
        <is>
          <t>개발비 자본화율(급여·퇴직·복리 대비)</t>
        </is>
      </c>
      <c r="B11" s="7" t="inlineStr">
        <is>
          <t>8_가정</t>
        </is>
      </c>
      <c r="C11" s="65">
        <f>'8_가정'!$C$98</f>
        <v>0.4</v>
      </c>
      <c r="D11" s="65">
        <f>'8_가정'!$C$98</f>
        <v>0.4</v>
      </c>
      <c r="E11" s="65">
        <f>'8_가정'!$C$98</f>
        <v>0.4</v>
      </c>
      <c r="F11" s="65">
        <f>'8_가정'!$C$98</f>
        <v>0.4</v>
      </c>
      <c r="G11" s="65">
        <f>'8_가정'!$C$98</f>
        <v>0.4</v>
      </c>
      <c r="H11" s="65">
        <f>'8_가정'!$C$98</f>
        <v>0.4</v>
      </c>
      <c r="I11" s="65">
        <f>'8_가정'!$C$98</f>
        <v>0.4</v>
      </c>
      <c r="J11" s="65">
        <f>'8_가정'!$C$98</f>
        <v>0.4</v>
      </c>
      <c r="K11" s="65">
        <f>'8_가정'!$C$98</f>
        <v>0.4</v>
      </c>
      <c r="L11" s="65">
        <f>'8_가정'!$C$98</f>
        <v>0.4</v>
      </c>
      <c r="M11" s="65">
        <f>'8_가정'!$C$98</f>
        <v>0.4</v>
      </c>
      <c r="N11" s="65">
        <f>'8_가정'!$C$98</f>
        <v>0.4</v>
      </c>
      <c r="O11" s="77">
        <f>'8_가정'!$C$98</f>
        <v>0.4</v>
      </c>
      <c r="P11" s="65">
        <f>'8_가정'!$D$98</f>
        <v>0.2</v>
      </c>
      <c r="Q11" s="65">
        <f>'8_가정'!$D$98</f>
        <v>0.2</v>
      </c>
      <c r="R11" s="65">
        <f>'8_가정'!$D$98</f>
        <v>0.2</v>
      </c>
      <c r="S11" s="65">
        <f>'8_가정'!$D$98</f>
        <v>0.2</v>
      </c>
      <c r="T11" s="65">
        <f>'8_가정'!$D$98</f>
        <v>0.2</v>
      </c>
      <c r="U11" s="65">
        <f>'8_가정'!$D$98</f>
        <v>0.2</v>
      </c>
      <c r="V11" s="65">
        <f>'8_가정'!$D$98</f>
        <v>0.2</v>
      </c>
      <c r="W11" s="65">
        <f>'8_가정'!$D$98</f>
        <v>0.2</v>
      </c>
      <c r="X11" s="65">
        <f>'8_가정'!$D$98</f>
        <v>0.2</v>
      </c>
      <c r="Y11" s="65">
        <f>'8_가정'!$D$98</f>
        <v>0.2</v>
      </c>
      <c r="Z11" s="65">
        <f>'8_가정'!$D$98</f>
        <v>0.2</v>
      </c>
      <c r="AA11" s="65">
        <f>'8_가정'!$D$98</f>
        <v>0.2</v>
      </c>
      <c r="AB11" s="77">
        <f>'8_가정'!$D$98</f>
        <v>0.2</v>
      </c>
      <c r="AC11" s="78">
        <f>'8_가정'!$E$98</f>
        <v>0.1</v>
      </c>
      <c r="AD11" s="78">
        <f>'8_가정'!$F$98</f>
        <v>0.05</v>
      </c>
      <c r="AE11" s="78">
        <f>'8_가정'!$G$98</f>
        <v>0.05</v>
      </c>
    </row>
    <row r="12">
      <c r="A12" s="3" t="inlineStr">
        <is>
          <t>B. 인원</t>
        </is>
      </c>
    </row>
    <row r="13">
      <c r="A13" s="15" t="inlineStr">
        <is>
          <t>인원 계획 — S1(기말, 명)</t>
        </is>
      </c>
      <c r="B13" s="7" t="inlineStr">
        <is>
          <t>입력(파란색)</t>
        </is>
      </c>
      <c r="C13" s="55" t="n">
        <v>7</v>
      </c>
      <c r="D13" s="55" t="n">
        <v>7</v>
      </c>
      <c r="E13" s="55" t="n">
        <v>7</v>
      </c>
      <c r="F13" s="55" t="n">
        <v>7</v>
      </c>
      <c r="G13" s="55" t="n">
        <v>7</v>
      </c>
      <c r="H13" s="55" t="n">
        <v>7</v>
      </c>
      <c r="I13" s="55" t="n">
        <v>7</v>
      </c>
      <c r="J13" s="55" t="n">
        <v>7</v>
      </c>
      <c r="K13" s="55" t="n">
        <v>7</v>
      </c>
      <c r="L13" s="55" t="n">
        <v>7</v>
      </c>
      <c r="M13" s="55" t="n">
        <v>7</v>
      </c>
      <c r="N13" s="55" t="n">
        <v>7</v>
      </c>
      <c r="O13" s="44">
        <f>N13</f>
        <v>7</v>
      </c>
      <c r="P13" s="55" t="n">
        <v>8</v>
      </c>
      <c r="Q13" s="55" t="n">
        <v>9</v>
      </c>
      <c r="R13" s="55" t="n">
        <v>10</v>
      </c>
      <c r="S13" s="55" t="n">
        <v>11</v>
      </c>
      <c r="T13" s="55" t="n">
        <v>12</v>
      </c>
      <c r="U13" s="55" t="n">
        <v>13</v>
      </c>
      <c r="V13" s="55" t="n">
        <v>14</v>
      </c>
      <c r="W13" s="55" t="n">
        <v>15</v>
      </c>
      <c r="X13" s="55" t="n">
        <v>16</v>
      </c>
      <c r="Y13" s="55" t="n">
        <v>18</v>
      </c>
      <c r="Z13" s="55" t="n">
        <v>20</v>
      </c>
      <c r="AA13" s="55" t="n">
        <v>22</v>
      </c>
      <c r="AB13" s="44">
        <f>AA13</f>
        <v>22</v>
      </c>
      <c r="AC13" s="55" t="n">
        <v>85</v>
      </c>
      <c r="AD13" s="55" t="n">
        <v>130</v>
      </c>
      <c r="AE13" s="55" t="n">
        <v>260</v>
      </c>
    </row>
    <row r="14">
      <c r="A14" s="15" t="inlineStr">
        <is>
          <t>인원 — 선택 시나리오(기말, 명)</t>
        </is>
      </c>
      <c r="B14" s="7" t="inlineStr">
        <is>
          <t>S1×(1−탄력+탄력×달성률)</t>
        </is>
      </c>
      <c r="C14" s="17">
        <f>C13*(1-'8_가정'!$C$31+'8_가정'!$C$31*C10)</f>
        <v>7</v>
      </c>
      <c r="D14" s="17">
        <f>D13*(1-'8_가정'!$C$31+'8_가정'!$C$31*D10)</f>
        <v>7</v>
      </c>
      <c r="E14" s="17">
        <f>E13*(1-'8_가정'!$C$31+'8_가정'!$C$31*E10)</f>
        <v>7</v>
      </c>
      <c r="F14" s="17">
        <f>F13*(1-'8_가정'!$C$31+'8_가정'!$C$31*F10)</f>
        <v>7</v>
      </c>
      <c r="G14" s="17">
        <f>G13*(1-'8_가정'!$C$31+'8_가정'!$C$31*G10)</f>
        <v>7</v>
      </c>
      <c r="H14" s="17">
        <f>H13*(1-'8_가정'!$C$31+'8_가정'!$C$31*H10)</f>
        <v>7</v>
      </c>
      <c r="I14" s="17">
        <f>I13*(1-'8_가정'!$C$31+'8_가정'!$C$31*I10)</f>
        <v>7</v>
      </c>
      <c r="J14" s="17">
        <f>J13*(1-'8_가정'!$C$31+'8_가정'!$C$31*J10)</f>
        <v>7</v>
      </c>
      <c r="K14" s="17">
        <f>K13*(1-'8_가정'!$C$31+'8_가정'!$C$31*K10)</f>
        <v>7</v>
      </c>
      <c r="L14" s="17">
        <f>L13*(1-'8_가정'!$C$31+'8_가정'!$C$31*L10)</f>
        <v>7</v>
      </c>
      <c r="M14" s="17">
        <f>M13*(1-'8_가정'!$C$31+'8_가정'!$C$31*M10)</f>
        <v>7</v>
      </c>
      <c r="N14" s="17">
        <f>N13*(1-'8_가정'!$C$31+'8_가정'!$C$31*N10)</f>
        <v>7</v>
      </c>
      <c r="O14" s="79">
        <f>N14</f>
        <v>7</v>
      </c>
      <c r="P14" s="17">
        <f>P13*(1-'8_가정'!$C$31+'8_가정'!$C$31*P10)</f>
        <v>8</v>
      </c>
      <c r="Q14" s="17">
        <f>Q13*(1-'8_가정'!$C$31+'8_가정'!$C$31*Q10)</f>
        <v>9</v>
      </c>
      <c r="R14" s="17">
        <f>R13*(1-'8_가정'!$C$31+'8_가정'!$C$31*R10)</f>
        <v>10</v>
      </c>
      <c r="S14" s="17">
        <f>S13*(1-'8_가정'!$C$31+'8_가정'!$C$31*S10)</f>
        <v>11</v>
      </c>
      <c r="T14" s="17">
        <f>T13*(1-'8_가정'!$C$31+'8_가정'!$C$31*T10)</f>
        <v>12</v>
      </c>
      <c r="U14" s="17">
        <f>U13*(1-'8_가정'!$C$31+'8_가정'!$C$31*U10)</f>
        <v>13</v>
      </c>
      <c r="V14" s="17">
        <f>V13*(1-'8_가정'!$C$31+'8_가정'!$C$31*V10)</f>
        <v>14</v>
      </c>
      <c r="W14" s="17">
        <f>W13*(1-'8_가정'!$C$31+'8_가정'!$C$31*W10)</f>
        <v>15</v>
      </c>
      <c r="X14" s="17">
        <f>X13*(1-'8_가정'!$C$31+'8_가정'!$C$31*X10)</f>
        <v>16</v>
      </c>
      <c r="Y14" s="17">
        <f>Y13*(1-'8_가정'!$C$31+'8_가정'!$C$31*Y10)</f>
        <v>18</v>
      </c>
      <c r="Z14" s="17">
        <f>Z13*(1-'8_가정'!$C$31+'8_가정'!$C$31*Z10)</f>
        <v>20</v>
      </c>
      <c r="AA14" s="17">
        <f>AA13*(1-'8_가정'!$C$31+'8_가정'!$C$31*AA10)</f>
        <v>22</v>
      </c>
      <c r="AB14" s="79">
        <f>AA14</f>
        <v>22</v>
      </c>
      <c r="AC14" s="47">
        <f>AC13*(1-'8_가정'!$C$31+'8_가정'!$C$31*AC10)</f>
        <v>85</v>
      </c>
      <c r="AD14" s="47">
        <f>AD13*(1-'8_가정'!$C$31+'8_가정'!$C$31*AD10)</f>
        <v>130</v>
      </c>
      <c r="AE14" s="47">
        <f>AE13*(1-'8_가정'!$C$31+'8_가정'!$C$31*AE10)</f>
        <v>260</v>
      </c>
    </row>
    <row r="15">
      <c r="A15" s="15" t="inlineStr">
        <is>
          <t>비용 산정 인원(월: 당월말, 연: 평균)</t>
        </is>
      </c>
      <c r="B15" s="7" t="inlineStr"/>
      <c r="C15" s="80">
        <f>C14</f>
        <v>7</v>
      </c>
      <c r="D15" s="80">
        <f>D14</f>
        <v>7</v>
      </c>
      <c r="E15" s="80">
        <f>E14</f>
        <v>7</v>
      </c>
      <c r="F15" s="80">
        <f>F14</f>
        <v>7</v>
      </c>
      <c r="G15" s="80">
        <f>G14</f>
        <v>7</v>
      </c>
      <c r="H15" s="80">
        <f>H14</f>
        <v>7</v>
      </c>
      <c r="I15" s="80">
        <f>I14</f>
        <v>7</v>
      </c>
      <c r="J15" s="80">
        <f>J14</f>
        <v>7</v>
      </c>
      <c r="K15" s="80">
        <f>K14</f>
        <v>7</v>
      </c>
      <c r="L15" s="80">
        <f>L14</f>
        <v>7</v>
      </c>
      <c r="M15" s="80">
        <f>M14</f>
        <v>7</v>
      </c>
      <c r="N15" s="80">
        <f>N14</f>
        <v>7</v>
      </c>
      <c r="O15" s="79">
        <f>AVERAGE(C14:N14)</f>
        <v>7</v>
      </c>
      <c r="P15" s="80">
        <f>P14</f>
        <v>8</v>
      </c>
      <c r="Q15" s="80">
        <f>Q14</f>
        <v>9</v>
      </c>
      <c r="R15" s="80">
        <f>R14</f>
        <v>10</v>
      </c>
      <c r="S15" s="80">
        <f>S14</f>
        <v>11</v>
      </c>
      <c r="T15" s="80">
        <f>T14</f>
        <v>12</v>
      </c>
      <c r="U15" s="80">
        <f>U14</f>
        <v>13</v>
      </c>
      <c r="V15" s="80">
        <f>V14</f>
        <v>14</v>
      </c>
      <c r="W15" s="80">
        <f>W14</f>
        <v>15</v>
      </c>
      <c r="X15" s="80">
        <f>X14</f>
        <v>16</v>
      </c>
      <c r="Y15" s="80">
        <f>Y14</f>
        <v>18</v>
      </c>
      <c r="Z15" s="80">
        <f>Z14</f>
        <v>20</v>
      </c>
      <c r="AA15" s="80">
        <f>AA14</f>
        <v>22</v>
      </c>
      <c r="AB15" s="79">
        <f>AVERAGE(P14:AA14)</f>
        <v>14</v>
      </c>
      <c r="AC15" s="81">
        <f>AVERAGE(AB14,AC14)</f>
        <v>53.5</v>
      </c>
      <c r="AD15" s="81">
        <f>AVERAGE(AC14,AD14)</f>
        <v>107.5</v>
      </c>
      <c r="AE15" s="81">
        <f>AVERAGE(AD14,AE14)</f>
        <v>195</v>
      </c>
    </row>
    <row r="16">
      <c r="A16" s="15" t="inlineStr">
        <is>
          <t>기존 인력 1인당 월 평균급여(천원)</t>
        </is>
      </c>
      <c r="B16" s="7" t="inlineStr">
        <is>
          <t>급여대장 평균 × 인상률</t>
        </is>
      </c>
      <c r="C16" s="18">
        <f>'8_가정'!$C$93</f>
        <v>4339</v>
      </c>
      <c r="D16" s="18">
        <f>'8_가정'!$C$93</f>
        <v>4339</v>
      </c>
      <c r="E16" s="18">
        <f>'8_가정'!$C$93</f>
        <v>4339</v>
      </c>
      <c r="F16" s="18">
        <f>'8_가정'!$C$93</f>
        <v>4339</v>
      </c>
      <c r="G16" s="18">
        <f>'8_가정'!$C$93</f>
        <v>4339</v>
      </c>
      <c r="H16" s="18">
        <f>'8_가정'!$C$93</f>
        <v>4339</v>
      </c>
      <c r="I16" s="18">
        <f>'8_가정'!$C$93</f>
        <v>4339</v>
      </c>
      <c r="J16" s="18">
        <f>'8_가정'!$C$93</f>
        <v>4339</v>
      </c>
      <c r="K16" s="18">
        <f>'8_가정'!$C$93</f>
        <v>4339</v>
      </c>
      <c r="L16" s="18">
        <f>'8_가정'!$C$93</f>
        <v>4339</v>
      </c>
      <c r="M16" s="18">
        <f>'8_가정'!$C$93</f>
        <v>4339</v>
      </c>
      <c r="N16" s="18">
        <f>'8_가정'!$C$93</f>
        <v>4339</v>
      </c>
      <c r="O16" s="48">
        <f>'8_가정'!$C$93</f>
        <v>4339</v>
      </c>
      <c r="P16" s="18">
        <f>'8_가정'!$D$93</f>
        <v>4642.73</v>
      </c>
      <c r="Q16" s="18">
        <f>'8_가정'!$D$93</f>
        <v>4642.73</v>
      </c>
      <c r="R16" s="18">
        <f>'8_가정'!$D$93</f>
        <v>4642.73</v>
      </c>
      <c r="S16" s="18">
        <f>'8_가정'!$D$93</f>
        <v>4642.73</v>
      </c>
      <c r="T16" s="18">
        <f>'8_가정'!$D$93</f>
        <v>4642.73</v>
      </c>
      <c r="U16" s="18">
        <f>'8_가정'!$D$93</f>
        <v>4642.73</v>
      </c>
      <c r="V16" s="18">
        <f>'8_가정'!$D$93</f>
        <v>4642.73</v>
      </c>
      <c r="W16" s="18">
        <f>'8_가정'!$D$93</f>
        <v>4642.73</v>
      </c>
      <c r="X16" s="18">
        <f>'8_가정'!$D$93</f>
        <v>4642.73</v>
      </c>
      <c r="Y16" s="18">
        <f>'8_가정'!$D$93</f>
        <v>4642.73</v>
      </c>
      <c r="Z16" s="18">
        <f>'8_가정'!$D$93</f>
        <v>4642.73</v>
      </c>
      <c r="AA16" s="18">
        <f>'8_가정'!$D$93</f>
        <v>4642.73</v>
      </c>
      <c r="AB16" s="48">
        <f>'8_가정'!$D$93</f>
        <v>4642.73</v>
      </c>
      <c r="AC16" s="24">
        <f>'8_가정'!$E$93</f>
        <v>4967.7211</v>
      </c>
      <c r="AD16" s="24">
        <f>'8_가정'!$F$93</f>
        <v>5315.461577</v>
      </c>
      <c r="AE16" s="24">
        <f>'8_가정'!$G$93</f>
        <v>5687.54388739</v>
      </c>
    </row>
    <row r="17">
      <c r="A17" s="15" t="inlineStr">
        <is>
          <t>신규 채용 1인당 월 급여(천원)</t>
        </is>
      </c>
      <c r="B17" s="7" t="inlineStr">
        <is>
          <t>고정(인상률 미적용)</t>
        </is>
      </c>
      <c r="C17" s="18">
        <f>'8_가정'!$C$95</f>
        <v>4339</v>
      </c>
      <c r="D17" s="18">
        <f>'8_가정'!$C$95</f>
        <v>4339</v>
      </c>
      <c r="E17" s="18">
        <f>'8_가정'!$C$95</f>
        <v>4339</v>
      </c>
      <c r="F17" s="18">
        <f>'8_가정'!$C$95</f>
        <v>4339</v>
      </c>
      <c r="G17" s="18">
        <f>'8_가정'!$C$95</f>
        <v>4339</v>
      </c>
      <c r="H17" s="18">
        <f>'8_가정'!$C$95</f>
        <v>4339</v>
      </c>
      <c r="I17" s="18">
        <f>'8_가정'!$C$95</f>
        <v>4339</v>
      </c>
      <c r="J17" s="18">
        <f>'8_가정'!$C$95</f>
        <v>4339</v>
      </c>
      <c r="K17" s="18">
        <f>'8_가정'!$C$95</f>
        <v>4339</v>
      </c>
      <c r="L17" s="18">
        <f>'8_가정'!$C$95</f>
        <v>4339</v>
      </c>
      <c r="M17" s="18">
        <f>'8_가정'!$C$95</f>
        <v>4339</v>
      </c>
      <c r="N17" s="18">
        <f>'8_가정'!$C$95</f>
        <v>4339</v>
      </c>
      <c r="O17" s="48">
        <f>'8_가정'!$C$95</f>
        <v>4339</v>
      </c>
      <c r="P17" s="18">
        <f>'8_가정'!$C$95</f>
        <v>4339</v>
      </c>
      <c r="Q17" s="18">
        <f>'8_가정'!$C$95</f>
        <v>4339</v>
      </c>
      <c r="R17" s="18">
        <f>'8_가정'!$C$95</f>
        <v>4339</v>
      </c>
      <c r="S17" s="18">
        <f>'8_가정'!$C$95</f>
        <v>4339</v>
      </c>
      <c r="T17" s="18">
        <f>'8_가정'!$C$95</f>
        <v>4339</v>
      </c>
      <c r="U17" s="18">
        <f>'8_가정'!$C$95</f>
        <v>4339</v>
      </c>
      <c r="V17" s="18">
        <f>'8_가정'!$C$95</f>
        <v>4339</v>
      </c>
      <c r="W17" s="18">
        <f>'8_가정'!$C$95</f>
        <v>4339</v>
      </c>
      <c r="X17" s="18">
        <f>'8_가정'!$C$95</f>
        <v>4339</v>
      </c>
      <c r="Y17" s="18">
        <f>'8_가정'!$C$95</f>
        <v>4339</v>
      </c>
      <c r="Z17" s="18">
        <f>'8_가정'!$C$95</f>
        <v>4339</v>
      </c>
      <c r="AA17" s="18">
        <f>'8_가정'!$C$95</f>
        <v>4339</v>
      </c>
      <c r="AB17" s="48">
        <f>'8_가정'!$C$95</f>
        <v>4339</v>
      </c>
      <c r="AC17" s="24">
        <f>'8_가정'!$C$95</f>
        <v>4339</v>
      </c>
      <c r="AD17" s="24">
        <f>'8_가정'!$C$95</f>
        <v>4339</v>
      </c>
      <c r="AE17" s="24">
        <f>'8_가정'!$C$95</f>
        <v>4339</v>
      </c>
    </row>
    <row r="18">
      <c r="A18" s="3" t="inlineStr">
        <is>
          <t>C. 판매비와관리비</t>
        </is>
      </c>
    </row>
    <row r="19">
      <c r="A19" s="15" t="inlineStr">
        <is>
          <t>급여</t>
        </is>
      </c>
      <c r="B19" s="7" t="inlineStr">
        <is>
          <t>인원 × 월급여</t>
        </is>
      </c>
      <c r="C19" s="43">
        <f>C61*(1-C11)</f>
        <v>23833.8</v>
      </c>
      <c r="D19" s="43">
        <f>D61*(1-D11)</f>
        <v>23833.8</v>
      </c>
      <c r="E19" s="43">
        <f>E61*(1-E11)</f>
        <v>23833.8</v>
      </c>
      <c r="F19" s="43">
        <f>F61*(1-F11)</f>
        <v>23833.8</v>
      </c>
      <c r="G19" s="43">
        <f>G61*(1-G11)</f>
        <v>23833.8</v>
      </c>
      <c r="H19" s="43">
        <f>H61*(1-H11)</f>
        <v>23833.8</v>
      </c>
      <c r="I19" s="43">
        <f>I61*(1-I11)</f>
        <v>23833.8</v>
      </c>
      <c r="J19" s="43">
        <f>J61*(1-J11)</f>
        <v>23833.8</v>
      </c>
      <c r="K19" s="43">
        <f>K61*(1-K11)</f>
        <v>23833.8</v>
      </c>
      <c r="L19" s="43">
        <f>L61*(1-L11)</f>
        <v>23833.8</v>
      </c>
      <c r="M19" s="43">
        <f>M61*(1-M11)</f>
        <v>23833.8</v>
      </c>
      <c r="N19" s="43">
        <f>N61*(1-N11)</f>
        <v>23833.8</v>
      </c>
      <c r="O19" s="23">
        <f>SUM(C19:N19)</f>
        <v>286005.6</v>
      </c>
      <c r="P19" s="43">
        <f>P61*(1-P11)</f>
        <v>36707.504</v>
      </c>
      <c r="Q19" s="43">
        <f>Q61*(1-Q11)</f>
        <v>40178.704</v>
      </c>
      <c r="R19" s="43">
        <f>R61*(1-R11)</f>
        <v>43649.904</v>
      </c>
      <c r="S19" s="43">
        <f>S61*(1-S11)</f>
        <v>47121.104</v>
      </c>
      <c r="T19" s="43">
        <f>T61*(1-T11)</f>
        <v>50592.304</v>
      </c>
      <c r="U19" s="43">
        <f>U61*(1-U11)</f>
        <v>54063.504</v>
      </c>
      <c r="V19" s="43">
        <f>V61*(1-V11)</f>
        <v>57534.704</v>
      </c>
      <c r="W19" s="43">
        <f>W61*(1-W11)</f>
        <v>61005.904</v>
      </c>
      <c r="X19" s="43">
        <f>X61*(1-X11)</f>
        <v>64477.104</v>
      </c>
      <c r="Y19" s="43">
        <f>Y61*(1-Y11)</f>
        <v>71419.504</v>
      </c>
      <c r="Z19" s="43">
        <f>Z61*(1-Z11)</f>
        <v>78361.904</v>
      </c>
      <c r="AA19" s="43">
        <f>AA61*(1-AA11)</f>
        <v>85304.304</v>
      </c>
      <c r="AB19" s="23">
        <f>SUM(P19:AA19)</f>
        <v>690416.448</v>
      </c>
      <c r="AC19" s="45">
        <f>AC61*(1-AC11)</f>
        <v>2648795.32728</v>
      </c>
      <c r="AD19" s="45">
        <f>AD61*(1-AD11)</f>
        <v>5490824.4718668</v>
      </c>
      <c r="AE19" s="45">
        <f>AE61*(1-AE11)</f>
        <v>9844427.40189748</v>
      </c>
      <c r="AF19" s="25">
        <f>O19+AB19+AC19+AD19+AE19</f>
        <v>18960469.2490443</v>
      </c>
    </row>
    <row r="20">
      <c r="A20" s="15" t="inlineStr">
        <is>
          <t>퇴직급여·4대보험·복리후생</t>
        </is>
      </c>
      <c r="B20" s="7" t="inlineStr">
        <is>
          <t>급여 × 비율</t>
        </is>
      </c>
      <c r="C20" s="18">
        <f>C61*'8_가정'!$C$97*(1-C11)</f>
        <v>5243.436</v>
      </c>
      <c r="D20" s="18">
        <f>D61*'8_가정'!$C$97*(1-D11)</f>
        <v>5243.436</v>
      </c>
      <c r="E20" s="18">
        <f>E61*'8_가정'!$C$97*(1-E11)</f>
        <v>5243.436</v>
      </c>
      <c r="F20" s="18">
        <f>F61*'8_가정'!$C$97*(1-F11)</f>
        <v>5243.436</v>
      </c>
      <c r="G20" s="18">
        <f>G61*'8_가정'!$C$97*(1-G11)</f>
        <v>5243.436</v>
      </c>
      <c r="H20" s="18">
        <f>H61*'8_가정'!$C$97*(1-H11)</f>
        <v>5243.436</v>
      </c>
      <c r="I20" s="18">
        <f>I61*'8_가정'!$C$97*(1-I11)</f>
        <v>5243.436</v>
      </c>
      <c r="J20" s="18">
        <f>J61*'8_가정'!$C$97*(1-J11)</f>
        <v>5243.436</v>
      </c>
      <c r="K20" s="18">
        <f>K61*'8_가정'!$C$97*(1-K11)</f>
        <v>5243.436</v>
      </c>
      <c r="L20" s="18">
        <f>L61*'8_가정'!$C$97*(1-L11)</f>
        <v>5243.436</v>
      </c>
      <c r="M20" s="18">
        <f>M61*'8_가정'!$C$97*(1-M11)</f>
        <v>5243.436</v>
      </c>
      <c r="N20" s="18">
        <f>N61*'8_가정'!$C$97*(1-N11)</f>
        <v>5243.436</v>
      </c>
      <c r="O20" s="23">
        <f>SUM(C20:N20)</f>
        <v>62921.232</v>
      </c>
      <c r="P20" s="18">
        <f>P61*'8_가정'!$C$97*(1-P11)</f>
        <v>8075.65088</v>
      </c>
      <c r="Q20" s="18">
        <f>Q61*'8_가정'!$C$97*(1-Q11)</f>
        <v>8839.31488</v>
      </c>
      <c r="R20" s="18">
        <f>R61*'8_가정'!$C$97*(1-R11)</f>
        <v>9602.97888</v>
      </c>
      <c r="S20" s="18">
        <f>S61*'8_가정'!$C$97*(1-S11)</f>
        <v>10366.64288</v>
      </c>
      <c r="T20" s="18">
        <f>T61*'8_가정'!$C$97*(1-T11)</f>
        <v>11130.30688</v>
      </c>
      <c r="U20" s="18">
        <f>U61*'8_가정'!$C$97*(1-U11)</f>
        <v>11893.97088</v>
      </c>
      <c r="V20" s="18">
        <f>V61*'8_가정'!$C$97*(1-V11)</f>
        <v>12657.63488</v>
      </c>
      <c r="W20" s="18">
        <f>W61*'8_가정'!$C$97*(1-W11)</f>
        <v>13421.29888</v>
      </c>
      <c r="X20" s="18">
        <f>X61*'8_가정'!$C$97*(1-X11)</f>
        <v>14184.96288</v>
      </c>
      <c r="Y20" s="18">
        <f>Y61*'8_가정'!$C$97*(1-Y11)</f>
        <v>15712.29088</v>
      </c>
      <c r="Z20" s="18">
        <f>Z61*'8_가정'!$C$97*(1-Z11)</f>
        <v>17239.61888</v>
      </c>
      <c r="AA20" s="18">
        <f>AA61*'8_가정'!$C$97*(1-AA11)</f>
        <v>18766.94688</v>
      </c>
      <c r="AB20" s="23">
        <f>SUM(P20:AA20)</f>
        <v>151891.61856</v>
      </c>
      <c r="AC20" s="24">
        <f>AC61*'8_가정'!$C$97*(1-AC11)</f>
        <v>582734.9720016</v>
      </c>
      <c r="AD20" s="24">
        <f>AD61*'8_가정'!$C$97*(1-AD11)</f>
        <v>1207981.3838107</v>
      </c>
      <c r="AE20" s="24">
        <f>AE61*'8_가정'!$C$97*(1-AE11)</f>
        <v>2165774.02841745</v>
      </c>
      <c r="AF20" s="25">
        <f>O20+AB20+AC20+AD20+AE20</f>
        <v>4171303.23478974</v>
      </c>
    </row>
    <row r="21">
      <c r="A21" s="15" t="inlineStr">
        <is>
          <t>광고선전·마케팅비</t>
        </is>
      </c>
      <c r="B21" s="7" t="inlineStr">
        <is>
          <t>매출 %</t>
        </is>
      </c>
      <c r="C21" s="18">
        <f>C8*'8_가정'!$C$99</f>
        <v>814.455</v>
      </c>
      <c r="D21" s="18">
        <f>D8*'8_가정'!$C$99</f>
        <v>631.86</v>
      </c>
      <c r="E21" s="18">
        <f>E8*'8_가정'!$C$99</f>
        <v>998.28</v>
      </c>
      <c r="F21" s="18">
        <f>F8*'8_가정'!$C$99</f>
        <v>314.535</v>
      </c>
      <c r="G21" s="18">
        <f>G8*'8_가정'!$C$99</f>
        <v>429.69</v>
      </c>
      <c r="H21" s="18">
        <f>H8*'8_가정'!$C$99</f>
        <v>905.67</v>
      </c>
      <c r="I21" s="18">
        <f>I8*'8_가정'!$C$99</f>
        <v>365.685</v>
      </c>
      <c r="J21" s="18">
        <f>J8*'8_가정'!$C$99</f>
        <v>241.305</v>
      </c>
      <c r="K21" s="18">
        <f>K8*'8_가정'!$C$99</f>
        <v>693.09</v>
      </c>
      <c r="L21" s="18">
        <f>L8*'8_가정'!$C$99</f>
        <v>1063.125</v>
      </c>
      <c r="M21" s="18">
        <f>M8*'8_가정'!$C$99</f>
        <v>3745.425</v>
      </c>
      <c r="N21" s="18">
        <f>N8*'8_가정'!$C$99</f>
        <v>8916.555</v>
      </c>
      <c r="O21" s="23">
        <f>SUM(C21:N21)</f>
        <v>19119.675</v>
      </c>
      <c r="P21" s="18">
        <f>P8*'8_가정'!$D$99</f>
        <v>17074.375</v>
      </c>
      <c r="Q21" s="18">
        <f>Q8*'8_가정'!$D$99</f>
        <v>20719.375</v>
      </c>
      <c r="R21" s="18">
        <f>R8*'8_가정'!$D$99</f>
        <v>19614.375</v>
      </c>
      <c r="S21" s="18">
        <f>S8*'8_가정'!$D$99</f>
        <v>19759.375</v>
      </c>
      <c r="T21" s="18">
        <f>T8*'8_가정'!$D$99</f>
        <v>18904.375</v>
      </c>
      <c r="U21" s="18">
        <f>U8*'8_가정'!$D$99</f>
        <v>22944.375</v>
      </c>
      <c r="V21" s="18">
        <f>V8*'8_가정'!$D$99</f>
        <v>20339.375</v>
      </c>
      <c r="W21" s="18">
        <f>W8*'8_가정'!$D$99</f>
        <v>19839.375</v>
      </c>
      <c r="X21" s="18">
        <f>X8*'8_가정'!$D$99</f>
        <v>20484.375</v>
      </c>
      <c r="Y21" s="18">
        <f>Y8*'8_가정'!$D$99</f>
        <v>24359.375</v>
      </c>
      <c r="Z21" s="18">
        <f>Z8*'8_가정'!$D$99</f>
        <v>22504.375</v>
      </c>
      <c r="AA21" s="18">
        <f>AA8*'8_가정'!$D$99</f>
        <v>23581.875</v>
      </c>
      <c r="AB21" s="23">
        <f>SUM(P21:AA21)</f>
        <v>250125</v>
      </c>
      <c r="AC21" s="24">
        <f>AC8*'8_가정'!$E$99</f>
        <v>924000</v>
      </c>
      <c r="AD21" s="24">
        <f>AD8*'8_가정'!$F$99</f>
        <v>1820000</v>
      </c>
      <c r="AE21" s="24">
        <f>AE8*'8_가정'!$G$99</f>
        <v>4680000</v>
      </c>
      <c r="AF21" s="25">
        <f>O21+AB21+AC21+AD21+AE21</f>
        <v>7693244.675</v>
      </c>
    </row>
    <row r="22">
      <c r="A22" s="15" t="inlineStr">
        <is>
          <t>지급수수료</t>
        </is>
      </c>
      <c r="B22" s="7" t="inlineStr">
        <is>
          <t>매출 %</t>
        </is>
      </c>
      <c r="C22" s="18">
        <f>C8*'8_가정'!$C$100</f>
        <v>651.564</v>
      </c>
      <c r="D22" s="18">
        <f>D8*'8_가정'!$C$100</f>
        <v>505.488</v>
      </c>
      <c r="E22" s="18">
        <f>E8*'8_가정'!$C$100</f>
        <v>798.624</v>
      </c>
      <c r="F22" s="18">
        <f>F8*'8_가정'!$C$100</f>
        <v>251.628</v>
      </c>
      <c r="G22" s="18">
        <f>G8*'8_가정'!$C$100</f>
        <v>343.752</v>
      </c>
      <c r="H22" s="18">
        <f>H8*'8_가정'!$C$100</f>
        <v>724.536</v>
      </c>
      <c r="I22" s="18">
        <f>I8*'8_가정'!$C$100</f>
        <v>292.548</v>
      </c>
      <c r="J22" s="18">
        <f>J8*'8_가정'!$C$100</f>
        <v>193.044</v>
      </c>
      <c r="K22" s="18">
        <f>K8*'8_가정'!$C$100</f>
        <v>554.472</v>
      </c>
      <c r="L22" s="18">
        <f>L8*'8_가정'!$C$100</f>
        <v>850.5</v>
      </c>
      <c r="M22" s="18">
        <f>M8*'8_가정'!$C$100</f>
        <v>2996.34</v>
      </c>
      <c r="N22" s="18">
        <f>N8*'8_가정'!$C$100</f>
        <v>7133.244</v>
      </c>
      <c r="O22" s="23">
        <f>SUM(C22:N22)</f>
        <v>15295.74</v>
      </c>
      <c r="P22" s="18">
        <f>P8*'8_가정'!$D$100</f>
        <v>13659.5</v>
      </c>
      <c r="Q22" s="18">
        <f>Q8*'8_가정'!$D$100</f>
        <v>16575.5</v>
      </c>
      <c r="R22" s="18">
        <f>R8*'8_가정'!$D$100</f>
        <v>15691.5</v>
      </c>
      <c r="S22" s="18">
        <f>S8*'8_가정'!$D$100</f>
        <v>15807.5</v>
      </c>
      <c r="T22" s="18">
        <f>T8*'8_가정'!$D$100</f>
        <v>15123.5</v>
      </c>
      <c r="U22" s="18">
        <f>U8*'8_가정'!$D$100</f>
        <v>18355.5</v>
      </c>
      <c r="V22" s="18">
        <f>V8*'8_가정'!$D$100</f>
        <v>16271.5</v>
      </c>
      <c r="W22" s="18">
        <f>W8*'8_가정'!$D$100</f>
        <v>15871.5</v>
      </c>
      <c r="X22" s="18">
        <f>X8*'8_가정'!$D$100</f>
        <v>16387.5</v>
      </c>
      <c r="Y22" s="18">
        <f>Y8*'8_가정'!$D$100</f>
        <v>19487.5</v>
      </c>
      <c r="Z22" s="18">
        <f>Z8*'8_가정'!$D$100</f>
        <v>18003.5</v>
      </c>
      <c r="AA22" s="18">
        <f>AA8*'8_가정'!$D$100</f>
        <v>18865.5</v>
      </c>
      <c r="AB22" s="23">
        <f>SUM(P22:AA22)</f>
        <v>200100</v>
      </c>
      <c r="AC22" s="24">
        <f>AC8*'8_가정'!$E$100</f>
        <v>726000</v>
      </c>
      <c r="AD22" s="24">
        <f>AD8*'8_가정'!$F$100</f>
        <v>1540000</v>
      </c>
      <c r="AE22" s="24">
        <f>AE8*'8_가정'!$G$100</f>
        <v>3432000</v>
      </c>
      <c r="AF22" s="25">
        <f>O22+AB22+AC22+AD22+AE22</f>
        <v>5913395.74</v>
      </c>
    </row>
    <row r="23">
      <c r="A23" s="15" t="inlineStr">
        <is>
          <t>판매물류·CS비</t>
        </is>
      </c>
      <c r="B23" s="7" t="inlineStr">
        <is>
          <t>매출 %</t>
        </is>
      </c>
      <c r="C23" s="18">
        <f>C8*'8_가정'!$C$101</f>
        <v>1357.425</v>
      </c>
      <c r="D23" s="18">
        <f>D8*'8_가정'!$C$101</f>
        <v>1053.1</v>
      </c>
      <c r="E23" s="18">
        <f>E8*'8_가정'!$C$101</f>
        <v>1663.8</v>
      </c>
      <c r="F23" s="18">
        <f>F8*'8_가정'!$C$101</f>
        <v>524.225</v>
      </c>
      <c r="G23" s="18">
        <f>G8*'8_가정'!$C$101</f>
        <v>716.15</v>
      </c>
      <c r="H23" s="18">
        <f>H8*'8_가정'!$C$101</f>
        <v>1509.45</v>
      </c>
      <c r="I23" s="18">
        <f>I8*'8_가정'!$C$101</f>
        <v>609.475</v>
      </c>
      <c r="J23" s="18">
        <f>J8*'8_가정'!$C$101</f>
        <v>402.175</v>
      </c>
      <c r="K23" s="18">
        <f>K8*'8_가정'!$C$101</f>
        <v>1155.15</v>
      </c>
      <c r="L23" s="18">
        <f>L8*'8_가정'!$C$101</f>
        <v>1771.875</v>
      </c>
      <c r="M23" s="18">
        <f>M8*'8_가정'!$C$101</f>
        <v>6242.375</v>
      </c>
      <c r="N23" s="18">
        <f>N8*'8_가정'!$C$101</f>
        <v>14860.925</v>
      </c>
      <c r="O23" s="23">
        <f>SUM(C23:N23)</f>
        <v>31866.125</v>
      </c>
      <c r="P23" s="18">
        <f>P8*'8_가정'!$D$101</f>
        <v>23904.125</v>
      </c>
      <c r="Q23" s="18">
        <f>Q8*'8_가정'!$D$101</f>
        <v>29007.125</v>
      </c>
      <c r="R23" s="18">
        <f>R8*'8_가정'!$D$101</f>
        <v>27460.125</v>
      </c>
      <c r="S23" s="18">
        <f>S8*'8_가정'!$D$101</f>
        <v>27663.125</v>
      </c>
      <c r="T23" s="18">
        <f>T8*'8_가정'!$D$101</f>
        <v>26466.125</v>
      </c>
      <c r="U23" s="18">
        <f>U8*'8_가정'!$D$101</f>
        <v>32122.125</v>
      </c>
      <c r="V23" s="18">
        <f>V8*'8_가정'!$D$101</f>
        <v>28475.125</v>
      </c>
      <c r="W23" s="18">
        <f>W8*'8_가정'!$D$101</f>
        <v>27775.125</v>
      </c>
      <c r="X23" s="18">
        <f>X8*'8_가정'!$D$101</f>
        <v>28678.125</v>
      </c>
      <c r="Y23" s="18">
        <f>Y8*'8_가정'!$D$101</f>
        <v>34103.125</v>
      </c>
      <c r="Z23" s="18">
        <f>Z8*'8_가정'!$D$101</f>
        <v>31506.125</v>
      </c>
      <c r="AA23" s="18">
        <f>AA8*'8_가정'!$D$101</f>
        <v>33014.625</v>
      </c>
      <c r="AB23" s="23">
        <f>SUM(P23:AA23)</f>
        <v>350175</v>
      </c>
      <c r="AC23" s="24">
        <f>AC8*'8_가정'!$E$101</f>
        <v>1155000</v>
      </c>
      <c r="AD23" s="24">
        <f>AD8*'8_가정'!$F$101</f>
        <v>2240000</v>
      </c>
      <c r="AE23" s="24">
        <f>AE8*'8_가정'!$G$101</f>
        <v>5460000</v>
      </c>
      <c r="AF23" s="25">
        <f>O23+AB23+AC23+AD23+AE23</f>
        <v>9237041.125</v>
      </c>
    </row>
    <row r="24">
      <c r="A24" s="15" t="inlineStr">
        <is>
          <t>연구개발비(경상)</t>
        </is>
      </c>
      <c r="B24" s="7" t="inlineStr">
        <is>
          <t>매출 %</t>
        </is>
      </c>
      <c r="C24" s="18">
        <f>C8*'8_가정'!$C$102</f>
        <v>1900.395</v>
      </c>
      <c r="D24" s="18">
        <f>D8*'8_가정'!$C$102</f>
        <v>1474.34</v>
      </c>
      <c r="E24" s="18">
        <f>E8*'8_가정'!$C$102</f>
        <v>2329.32</v>
      </c>
      <c r="F24" s="18">
        <f>F8*'8_가정'!$C$102</f>
        <v>733.915</v>
      </c>
      <c r="G24" s="18">
        <f>G8*'8_가정'!$C$102</f>
        <v>1002.61</v>
      </c>
      <c r="H24" s="18">
        <f>H8*'8_가정'!$C$102</f>
        <v>2113.23</v>
      </c>
      <c r="I24" s="18">
        <f>I8*'8_가정'!$C$102</f>
        <v>853.265</v>
      </c>
      <c r="J24" s="18">
        <f>J8*'8_가정'!$C$102</f>
        <v>563.045</v>
      </c>
      <c r="K24" s="18">
        <f>K8*'8_가정'!$C$102</f>
        <v>1617.21</v>
      </c>
      <c r="L24" s="18">
        <f>L8*'8_가정'!$C$102</f>
        <v>2480.625</v>
      </c>
      <c r="M24" s="18">
        <f>M8*'8_가정'!$C$102</f>
        <v>8739.325</v>
      </c>
      <c r="N24" s="18">
        <f>N8*'8_가정'!$C$102</f>
        <v>20805.295</v>
      </c>
      <c r="O24" s="23">
        <f>SUM(C24:N24)</f>
        <v>44612.575</v>
      </c>
      <c r="P24" s="18">
        <f>P8*'8_가정'!$D$102</f>
        <v>23904.125</v>
      </c>
      <c r="Q24" s="18">
        <f>Q8*'8_가정'!$D$102</f>
        <v>29007.125</v>
      </c>
      <c r="R24" s="18">
        <f>R8*'8_가정'!$D$102</f>
        <v>27460.125</v>
      </c>
      <c r="S24" s="18">
        <f>S8*'8_가정'!$D$102</f>
        <v>27663.125</v>
      </c>
      <c r="T24" s="18">
        <f>T8*'8_가정'!$D$102</f>
        <v>26466.125</v>
      </c>
      <c r="U24" s="18">
        <f>U8*'8_가정'!$D$102</f>
        <v>32122.125</v>
      </c>
      <c r="V24" s="18">
        <f>V8*'8_가정'!$D$102</f>
        <v>28475.125</v>
      </c>
      <c r="W24" s="18">
        <f>W8*'8_가정'!$D$102</f>
        <v>27775.125</v>
      </c>
      <c r="X24" s="18">
        <f>X8*'8_가정'!$D$102</f>
        <v>28678.125</v>
      </c>
      <c r="Y24" s="18">
        <f>Y8*'8_가정'!$D$102</f>
        <v>34103.125</v>
      </c>
      <c r="Z24" s="18">
        <f>Z8*'8_가정'!$D$102</f>
        <v>31506.125</v>
      </c>
      <c r="AA24" s="18">
        <f>AA8*'8_가정'!$D$102</f>
        <v>33014.625</v>
      </c>
      <c r="AB24" s="23">
        <f>SUM(P24:AA24)</f>
        <v>350175</v>
      </c>
      <c r="AC24" s="24">
        <f>AC8*'8_가정'!$E$102</f>
        <v>1056000</v>
      </c>
      <c r="AD24" s="24">
        <f>AD8*'8_가정'!$F$102</f>
        <v>2030000</v>
      </c>
      <c r="AE24" s="24">
        <f>AE8*'8_가정'!$G$102</f>
        <v>4836000</v>
      </c>
      <c r="AF24" s="25">
        <f>O24+AB24+AC24+AD24+AE24</f>
        <v>8316787.575</v>
      </c>
    </row>
    <row r="25">
      <c r="A25" s="15" t="inlineStr">
        <is>
          <t>임차·운영비</t>
        </is>
      </c>
      <c r="B25" s="7" t="inlineStr">
        <is>
          <t>고정(연/12)</t>
        </is>
      </c>
      <c r="C25" s="18">
        <f>'8_가정'!$C$105/12</f>
        <v>3000</v>
      </c>
      <c r="D25" s="18">
        <f>'8_가정'!$C$105/12</f>
        <v>3000</v>
      </c>
      <c r="E25" s="18">
        <f>'8_가정'!$C$105/12</f>
        <v>3000</v>
      </c>
      <c r="F25" s="18">
        <f>'8_가정'!$C$105/12</f>
        <v>3000</v>
      </c>
      <c r="G25" s="18">
        <f>'8_가정'!$C$105/12</f>
        <v>3000</v>
      </c>
      <c r="H25" s="18">
        <f>'8_가정'!$C$105/12</f>
        <v>3000</v>
      </c>
      <c r="I25" s="18">
        <f>'8_가정'!$C$105/12</f>
        <v>3000</v>
      </c>
      <c r="J25" s="18">
        <f>'8_가정'!$C$105/12</f>
        <v>3000</v>
      </c>
      <c r="K25" s="18">
        <f>'8_가정'!$C$105/12</f>
        <v>3000</v>
      </c>
      <c r="L25" s="18">
        <f>'8_가정'!$C$105/12</f>
        <v>3000</v>
      </c>
      <c r="M25" s="18">
        <f>'8_가정'!$C$105/12</f>
        <v>3000</v>
      </c>
      <c r="N25" s="18">
        <f>'8_가정'!$C$105/12</f>
        <v>3000</v>
      </c>
      <c r="O25" s="23">
        <f>SUM(C25:N25)</f>
        <v>36000</v>
      </c>
      <c r="P25" s="18">
        <f>'8_가정'!$D$105/12</f>
        <v>12000</v>
      </c>
      <c r="Q25" s="18">
        <f>'8_가정'!$D$105/12</f>
        <v>12000</v>
      </c>
      <c r="R25" s="18">
        <f>'8_가정'!$D$105/12</f>
        <v>12000</v>
      </c>
      <c r="S25" s="18">
        <f>'8_가정'!$D$105/12</f>
        <v>12000</v>
      </c>
      <c r="T25" s="18">
        <f>'8_가정'!$D$105/12</f>
        <v>12000</v>
      </c>
      <c r="U25" s="18">
        <f>'8_가정'!$D$105/12</f>
        <v>12000</v>
      </c>
      <c r="V25" s="18">
        <f>'8_가정'!$D$105/12</f>
        <v>12000</v>
      </c>
      <c r="W25" s="18">
        <f>'8_가정'!$D$105/12</f>
        <v>12000</v>
      </c>
      <c r="X25" s="18">
        <f>'8_가정'!$D$105/12</f>
        <v>12000</v>
      </c>
      <c r="Y25" s="18">
        <f>'8_가정'!$D$105/12</f>
        <v>12000</v>
      </c>
      <c r="Z25" s="18">
        <f>'8_가정'!$D$105/12</f>
        <v>12000</v>
      </c>
      <c r="AA25" s="18">
        <f>'8_가정'!$D$105/12</f>
        <v>12000</v>
      </c>
      <c r="AB25" s="23">
        <f>SUM(P25:AA25)</f>
        <v>144000</v>
      </c>
      <c r="AC25" s="24">
        <f>'8_가정'!$E$105</f>
        <v>300000</v>
      </c>
      <c r="AD25" s="24">
        <f>'8_가정'!$F$105</f>
        <v>600000</v>
      </c>
      <c r="AE25" s="24">
        <f>'8_가정'!$G$105</f>
        <v>1000000</v>
      </c>
      <c r="AF25" s="25">
        <f>O25+AB25+AC25+AD25+AE25</f>
        <v>2080000</v>
      </c>
    </row>
    <row r="26">
      <c r="A26" s="15" t="inlineStr">
        <is>
          <t>해외영업·출장비</t>
        </is>
      </c>
      <c r="B26" s="7" t="inlineStr">
        <is>
          <t>고정(연/12)</t>
        </is>
      </c>
      <c r="C26" s="18">
        <f>'8_가정'!$C$106/12</f>
        <v>5000</v>
      </c>
      <c r="D26" s="18">
        <f>'8_가정'!$C$106/12</f>
        <v>5000</v>
      </c>
      <c r="E26" s="18">
        <f>'8_가정'!$C$106/12</f>
        <v>5000</v>
      </c>
      <c r="F26" s="18">
        <f>'8_가정'!$C$106/12</f>
        <v>5000</v>
      </c>
      <c r="G26" s="18">
        <f>'8_가정'!$C$106/12</f>
        <v>5000</v>
      </c>
      <c r="H26" s="18">
        <f>'8_가정'!$C$106/12</f>
        <v>5000</v>
      </c>
      <c r="I26" s="18">
        <f>'8_가정'!$C$106/12</f>
        <v>5000</v>
      </c>
      <c r="J26" s="18">
        <f>'8_가정'!$C$106/12</f>
        <v>5000</v>
      </c>
      <c r="K26" s="18">
        <f>'8_가정'!$C$106/12</f>
        <v>5000</v>
      </c>
      <c r="L26" s="18">
        <f>'8_가정'!$C$106/12</f>
        <v>5000</v>
      </c>
      <c r="M26" s="18">
        <f>'8_가정'!$C$106/12</f>
        <v>5000</v>
      </c>
      <c r="N26" s="18">
        <f>'8_가정'!$C$106/12</f>
        <v>5000</v>
      </c>
      <c r="O26" s="23">
        <f>SUM(C26:N26)</f>
        <v>60000</v>
      </c>
      <c r="P26" s="18">
        <f>'8_가정'!$D$106/12</f>
        <v>15000</v>
      </c>
      <c r="Q26" s="18">
        <f>'8_가정'!$D$106/12</f>
        <v>15000</v>
      </c>
      <c r="R26" s="18">
        <f>'8_가정'!$D$106/12</f>
        <v>15000</v>
      </c>
      <c r="S26" s="18">
        <f>'8_가정'!$D$106/12</f>
        <v>15000</v>
      </c>
      <c r="T26" s="18">
        <f>'8_가정'!$D$106/12</f>
        <v>15000</v>
      </c>
      <c r="U26" s="18">
        <f>'8_가정'!$D$106/12</f>
        <v>15000</v>
      </c>
      <c r="V26" s="18">
        <f>'8_가정'!$D$106/12</f>
        <v>15000</v>
      </c>
      <c r="W26" s="18">
        <f>'8_가정'!$D$106/12</f>
        <v>15000</v>
      </c>
      <c r="X26" s="18">
        <f>'8_가정'!$D$106/12</f>
        <v>15000</v>
      </c>
      <c r="Y26" s="18">
        <f>'8_가정'!$D$106/12</f>
        <v>15000</v>
      </c>
      <c r="Z26" s="18">
        <f>'8_가정'!$D$106/12</f>
        <v>15000</v>
      </c>
      <c r="AA26" s="18">
        <f>'8_가정'!$D$106/12</f>
        <v>15000</v>
      </c>
      <c r="AB26" s="23">
        <f>SUM(P26:AA26)</f>
        <v>180000</v>
      </c>
      <c r="AC26" s="24">
        <f>'8_가정'!$E$106</f>
        <v>400000</v>
      </c>
      <c r="AD26" s="24">
        <f>'8_가정'!$F$106</f>
        <v>800000</v>
      </c>
      <c r="AE26" s="24">
        <f>'8_가정'!$G$106</f>
        <v>1400000</v>
      </c>
      <c r="AF26" s="25">
        <f>O26+AB26+AC26+AD26+AE26</f>
        <v>2840000</v>
      </c>
    </row>
    <row r="27">
      <c r="A27" s="15" t="inlineStr">
        <is>
          <t>감가상각·무형자산상각비</t>
        </is>
      </c>
      <c r="B27" s="7" t="inlineStr">
        <is>
          <t>유형 + 개발비 상각</t>
        </is>
      </c>
      <c r="C27" s="18">
        <f>('8_가정'!$C$107+'8_가정'!$C$108)/12</f>
        <v>1500</v>
      </c>
      <c r="D27" s="18">
        <f>('8_가정'!$C$107+'8_가정'!$C$108)/12</f>
        <v>1500</v>
      </c>
      <c r="E27" s="18">
        <f>('8_가정'!$C$107+'8_가정'!$C$108)/12</f>
        <v>1500</v>
      </c>
      <c r="F27" s="18">
        <f>('8_가정'!$C$107+'8_가정'!$C$108)/12</f>
        <v>1500</v>
      </c>
      <c r="G27" s="18">
        <f>('8_가정'!$C$107+'8_가정'!$C$108)/12</f>
        <v>1500</v>
      </c>
      <c r="H27" s="18">
        <f>('8_가정'!$C$107+'8_가정'!$C$108)/12</f>
        <v>1500</v>
      </c>
      <c r="I27" s="18">
        <f>('8_가정'!$C$107+'8_가정'!$C$108)/12</f>
        <v>1500</v>
      </c>
      <c r="J27" s="18">
        <f>('8_가정'!$C$107+'8_가정'!$C$108)/12</f>
        <v>1500</v>
      </c>
      <c r="K27" s="18">
        <f>('8_가정'!$C$107+'8_가정'!$C$108)/12</f>
        <v>1500</v>
      </c>
      <c r="L27" s="18">
        <f>('8_가정'!$C$107+'8_가정'!$C$108)/12</f>
        <v>1500</v>
      </c>
      <c r="M27" s="18">
        <f>('8_가정'!$C$107+'8_가정'!$C$108)/12</f>
        <v>1500</v>
      </c>
      <c r="N27" s="18">
        <f>('8_가정'!$C$107+'8_가정'!$C$108)/12</f>
        <v>1500</v>
      </c>
      <c r="O27" s="23">
        <f>SUM(C27:N27)</f>
        <v>18000</v>
      </c>
      <c r="P27" s="18">
        <f>('8_가정'!$D$107+'8_가정'!$D$108)/12</f>
        <v>36329.4166666667</v>
      </c>
      <c r="Q27" s="18">
        <f>('8_가정'!$D$107+'8_가정'!$D$108)/12</f>
        <v>36329.4166666667</v>
      </c>
      <c r="R27" s="18">
        <f>('8_가정'!$D$107+'8_가정'!$D$108)/12</f>
        <v>36329.4166666667</v>
      </c>
      <c r="S27" s="18">
        <f>('8_가정'!$D$107+'8_가정'!$D$108)/12</f>
        <v>36329.4166666667</v>
      </c>
      <c r="T27" s="18">
        <f>('8_가정'!$D$107+'8_가정'!$D$108)/12</f>
        <v>36329.4166666667</v>
      </c>
      <c r="U27" s="18">
        <f>('8_가정'!$D$107+'8_가정'!$D$108)/12</f>
        <v>36329.4166666667</v>
      </c>
      <c r="V27" s="18">
        <f>('8_가정'!$D$107+'8_가정'!$D$108)/12</f>
        <v>36329.4166666667</v>
      </c>
      <c r="W27" s="18">
        <f>('8_가정'!$D$107+'8_가정'!$D$108)/12</f>
        <v>36329.4166666667</v>
      </c>
      <c r="X27" s="18">
        <f>('8_가정'!$D$107+'8_가정'!$D$108)/12</f>
        <v>36329.4166666667</v>
      </c>
      <c r="Y27" s="18">
        <f>('8_가정'!$D$107+'8_가정'!$D$108)/12</f>
        <v>36329.4166666667</v>
      </c>
      <c r="Z27" s="18">
        <f>('8_가정'!$D$107+'8_가정'!$D$108)/12</f>
        <v>36329.4166666667</v>
      </c>
      <c r="AA27" s="18">
        <f>('8_가정'!$D$107+'8_가정'!$D$108)/12</f>
        <v>36329.4166666667</v>
      </c>
      <c r="AB27" s="23">
        <f>SUM(P27:AA27)</f>
        <v>435953</v>
      </c>
      <c r="AC27" s="24">
        <f>('8_가정'!$E$107+'8_가정'!$E$108)</f>
        <v>528068.403328</v>
      </c>
      <c r="AD27" s="24">
        <f>('8_가정'!$F$107+'8_가정'!$F$108)</f>
        <v>689880.18775648</v>
      </c>
      <c r="AE27" s="24">
        <f>('8_가정'!$G$107+'8_가정'!$G$108)</f>
        <v>880393.933605717</v>
      </c>
      <c r="AF27" s="25">
        <f>O27+AB27+AC27+AD27+AE27</f>
        <v>2552295.5246902</v>
      </c>
    </row>
    <row r="28">
      <c r="A28" s="15" t="inlineStr">
        <is>
          <t>대손상각비</t>
        </is>
      </c>
      <c r="B28" s="7" t="inlineStr">
        <is>
          <t>매출 %</t>
        </is>
      </c>
      <c r="C28" s="18">
        <f>C8*'8_가정'!$C$103</f>
        <v>217.188</v>
      </c>
      <c r="D28" s="18">
        <f>D8*'8_가정'!$C$103</f>
        <v>168.496</v>
      </c>
      <c r="E28" s="18">
        <f>E8*'8_가정'!$C$103</f>
        <v>266.208</v>
      </c>
      <c r="F28" s="18">
        <f>F8*'8_가정'!$C$103</f>
        <v>83.876</v>
      </c>
      <c r="G28" s="18">
        <f>G8*'8_가정'!$C$103</f>
        <v>114.584</v>
      </c>
      <c r="H28" s="18">
        <f>H8*'8_가정'!$C$103</f>
        <v>241.512</v>
      </c>
      <c r="I28" s="18">
        <f>I8*'8_가정'!$C$103</f>
        <v>97.516</v>
      </c>
      <c r="J28" s="18">
        <f>J8*'8_가정'!$C$103</f>
        <v>64.348</v>
      </c>
      <c r="K28" s="18">
        <f>K8*'8_가정'!$C$103</f>
        <v>184.824</v>
      </c>
      <c r="L28" s="18">
        <f>L8*'8_가정'!$C$103</f>
        <v>283.5</v>
      </c>
      <c r="M28" s="18">
        <f>M8*'8_가정'!$C$103</f>
        <v>998.78</v>
      </c>
      <c r="N28" s="18">
        <f>N8*'8_가정'!$C$103</f>
        <v>2377.748</v>
      </c>
      <c r="O28" s="23">
        <f>SUM(C28:N28)</f>
        <v>5098.58</v>
      </c>
      <c r="P28" s="18">
        <f>P8*'8_가정'!$D$103</f>
        <v>3414.875</v>
      </c>
      <c r="Q28" s="18">
        <f>Q8*'8_가정'!$D$103</f>
        <v>4143.875</v>
      </c>
      <c r="R28" s="18">
        <f>R8*'8_가정'!$D$103</f>
        <v>3922.875</v>
      </c>
      <c r="S28" s="18">
        <f>S8*'8_가정'!$D$103</f>
        <v>3951.875</v>
      </c>
      <c r="T28" s="18">
        <f>T8*'8_가정'!$D$103</f>
        <v>3780.875</v>
      </c>
      <c r="U28" s="18">
        <f>U8*'8_가정'!$D$103</f>
        <v>4588.875</v>
      </c>
      <c r="V28" s="18">
        <f>V8*'8_가정'!$D$103</f>
        <v>4067.875</v>
      </c>
      <c r="W28" s="18">
        <f>W8*'8_가정'!$D$103</f>
        <v>3967.875</v>
      </c>
      <c r="X28" s="18">
        <f>X8*'8_가정'!$D$103</f>
        <v>4096.875</v>
      </c>
      <c r="Y28" s="18">
        <f>Y8*'8_가정'!$D$103</f>
        <v>4871.875</v>
      </c>
      <c r="Z28" s="18">
        <f>Z8*'8_가정'!$D$103</f>
        <v>4500.875</v>
      </c>
      <c r="AA28" s="18">
        <f>AA8*'8_가정'!$D$103</f>
        <v>4716.375</v>
      </c>
      <c r="AB28" s="23">
        <f>SUM(P28:AA28)</f>
        <v>50025</v>
      </c>
      <c r="AC28" s="24">
        <f>AC8*'8_가정'!$E$103</f>
        <v>165000</v>
      </c>
      <c r="AD28" s="24">
        <f>AD8*'8_가정'!$F$103</f>
        <v>350000</v>
      </c>
      <c r="AE28" s="24">
        <f>AE8*'8_가정'!$G$103</f>
        <v>780000</v>
      </c>
      <c r="AF28" s="25">
        <f>O28+AB28+AC28+AD28+AE28</f>
        <v>1350123.58</v>
      </c>
    </row>
    <row r="29">
      <c r="A29" s="15" t="inlineStr">
        <is>
          <t>기타 판관비</t>
        </is>
      </c>
      <c r="B29" s="7" t="inlineStr">
        <is>
          <t>매출 %</t>
        </is>
      </c>
      <c r="C29" s="18">
        <f>C8*'8_가정'!$C$104</f>
        <v>1357.425</v>
      </c>
      <c r="D29" s="18">
        <f>D8*'8_가정'!$C$104</f>
        <v>1053.1</v>
      </c>
      <c r="E29" s="18">
        <f>E8*'8_가정'!$C$104</f>
        <v>1663.8</v>
      </c>
      <c r="F29" s="18">
        <f>F8*'8_가정'!$C$104</f>
        <v>524.225</v>
      </c>
      <c r="G29" s="18">
        <f>G8*'8_가정'!$C$104</f>
        <v>716.15</v>
      </c>
      <c r="H29" s="18">
        <f>H8*'8_가정'!$C$104</f>
        <v>1509.45</v>
      </c>
      <c r="I29" s="18">
        <f>I8*'8_가정'!$C$104</f>
        <v>609.475</v>
      </c>
      <c r="J29" s="18">
        <f>J8*'8_가정'!$C$104</f>
        <v>402.175</v>
      </c>
      <c r="K29" s="18">
        <f>K8*'8_가정'!$C$104</f>
        <v>1155.15</v>
      </c>
      <c r="L29" s="18">
        <f>L8*'8_가정'!$C$104</f>
        <v>1771.875</v>
      </c>
      <c r="M29" s="18">
        <f>M8*'8_가정'!$C$104</f>
        <v>6242.375</v>
      </c>
      <c r="N29" s="18">
        <f>N8*'8_가정'!$C$104</f>
        <v>14860.925</v>
      </c>
      <c r="O29" s="23">
        <f>SUM(C29:N29)</f>
        <v>31866.125</v>
      </c>
      <c r="P29" s="18">
        <f>P8*'8_가정'!$D$104</f>
        <v>20489.25</v>
      </c>
      <c r="Q29" s="18">
        <f>Q8*'8_가정'!$D$104</f>
        <v>24863.25</v>
      </c>
      <c r="R29" s="18">
        <f>R8*'8_가정'!$D$104</f>
        <v>23537.25</v>
      </c>
      <c r="S29" s="18">
        <f>S8*'8_가정'!$D$104</f>
        <v>23711.25</v>
      </c>
      <c r="T29" s="18">
        <f>T8*'8_가정'!$D$104</f>
        <v>22685.25</v>
      </c>
      <c r="U29" s="18">
        <f>U8*'8_가정'!$D$104</f>
        <v>27533.25</v>
      </c>
      <c r="V29" s="18">
        <f>V8*'8_가정'!$D$104</f>
        <v>24407.25</v>
      </c>
      <c r="W29" s="18">
        <f>W8*'8_가정'!$D$104</f>
        <v>23807.25</v>
      </c>
      <c r="X29" s="18">
        <f>X8*'8_가정'!$D$104</f>
        <v>24581.25</v>
      </c>
      <c r="Y29" s="18">
        <f>Y8*'8_가정'!$D$104</f>
        <v>29231.25</v>
      </c>
      <c r="Z29" s="18">
        <f>Z8*'8_가정'!$D$104</f>
        <v>27005.25</v>
      </c>
      <c r="AA29" s="18">
        <f>AA8*'8_가정'!$D$104</f>
        <v>28298.25</v>
      </c>
      <c r="AB29" s="23">
        <f>SUM(P29:AA29)</f>
        <v>300150</v>
      </c>
      <c r="AC29" s="24">
        <f>AC8*'8_가정'!$E$104</f>
        <v>858000</v>
      </c>
      <c r="AD29" s="24">
        <f>AD8*'8_가정'!$F$104</f>
        <v>1540000</v>
      </c>
      <c r="AE29" s="24">
        <f>AE8*'8_가정'!$G$104</f>
        <v>3744000</v>
      </c>
      <c r="AF29" s="25">
        <f>O29+AB29+AC29+AD29+AE29</f>
        <v>6474016.125</v>
      </c>
    </row>
    <row r="30">
      <c r="A30" s="12" t="inlineStr">
        <is>
          <t>판관비 합계</t>
        </is>
      </c>
      <c r="C30" s="26">
        <f>SUM(C19:C29)</f>
        <v>44875.688</v>
      </c>
      <c r="D30" s="26">
        <f>SUM(D19:D29)</f>
        <v>43463.62</v>
      </c>
      <c r="E30" s="26">
        <f>SUM(E19:E29)</f>
        <v>46297.268</v>
      </c>
      <c r="F30" s="26">
        <f>SUM(F19:F29)</f>
        <v>41009.64</v>
      </c>
      <c r="G30" s="26">
        <f>SUM(G19:G29)</f>
        <v>41900.172</v>
      </c>
      <c r="H30" s="26">
        <f>SUM(H19:H29)</f>
        <v>45581.084</v>
      </c>
      <c r="I30" s="26">
        <f>SUM(I19:I29)</f>
        <v>41405.2</v>
      </c>
      <c r="J30" s="26">
        <f>SUM(J19:J29)</f>
        <v>40443.328</v>
      </c>
      <c r="K30" s="26">
        <f>SUM(K19:K29)</f>
        <v>43937.132</v>
      </c>
      <c r="L30" s="26">
        <f>SUM(L19:L29)</f>
        <v>46798.736</v>
      </c>
      <c r="M30" s="26">
        <f>SUM(M19:M29)</f>
        <v>67541.856</v>
      </c>
      <c r="N30" s="26">
        <f>SUM(N19:N29)</f>
        <v>107531.928</v>
      </c>
      <c r="O30" s="27">
        <f>SUM(O19:O29)</f>
        <v>610785.652</v>
      </c>
      <c r="P30" s="26">
        <f>SUM(P19:P29)</f>
        <v>210558.821546667</v>
      </c>
      <c r="Q30" s="26">
        <f>SUM(Q19:Q29)</f>
        <v>236663.685546667</v>
      </c>
      <c r="R30" s="26">
        <f>SUM(R19:R29)</f>
        <v>234268.549546667</v>
      </c>
      <c r="S30" s="26">
        <f>SUM(S19:S29)</f>
        <v>239373.413546667</v>
      </c>
      <c r="T30" s="26">
        <f>SUM(T19:T29)</f>
        <v>238478.277546667</v>
      </c>
      <c r="U30" s="26">
        <f>SUM(U19:U29)</f>
        <v>266953.141546667</v>
      </c>
      <c r="V30" s="26">
        <f>SUM(V19:V29)</f>
        <v>255558.005546667</v>
      </c>
      <c r="W30" s="26">
        <f>SUM(W19:W29)</f>
        <v>256792.869546667</v>
      </c>
      <c r="X30" s="26">
        <f>SUM(X19:X29)</f>
        <v>264897.733546667</v>
      </c>
      <c r="Y30" s="26">
        <f>SUM(Y19:Y29)</f>
        <v>296617.461546667</v>
      </c>
      <c r="Z30" s="26">
        <f>SUM(Z19:Z29)</f>
        <v>293957.189546667</v>
      </c>
      <c r="AA30" s="26">
        <f>SUM(AA19:AA29)</f>
        <v>308891.917546667</v>
      </c>
      <c r="AB30" s="27">
        <f>SUM(AB19:AB29)</f>
        <v>3103011.06656</v>
      </c>
      <c r="AC30" s="28">
        <f>SUM(AC19:AC29)</f>
        <v>9343598.7026096</v>
      </c>
      <c r="AD30" s="28">
        <f>SUM(AD19:AD29)</f>
        <v>18308686.043434</v>
      </c>
      <c r="AE30" s="28">
        <f>SUM(AE19:AE29)</f>
        <v>38222595.3639206</v>
      </c>
      <c r="AF30" s="26">
        <f>SUM(AF19:AF29)</f>
        <v>69588676.8285242</v>
      </c>
    </row>
    <row r="31">
      <c r="A31" s="15" t="inlineStr">
        <is>
          <t>개발비 자본화액(판관비에서 제외, 무형자산 계상)</t>
        </is>
      </c>
      <c r="B31" s="7" t="inlineStr">
        <is>
          <t>급여·퇴직·복리 총액 × 자본화율</t>
        </is>
      </c>
      <c r="C31" s="18">
        <f>C61*(1+'8_가정'!$C$97)*C11</f>
        <v>19384.824</v>
      </c>
      <c r="D31" s="18">
        <f>D61*(1+'8_가정'!$C$97)*D11</f>
        <v>19384.824</v>
      </c>
      <c r="E31" s="18">
        <f>E61*(1+'8_가정'!$C$97)*E11</f>
        <v>19384.824</v>
      </c>
      <c r="F31" s="18">
        <f>F61*(1+'8_가정'!$C$97)*F11</f>
        <v>19384.824</v>
      </c>
      <c r="G31" s="18">
        <f>G61*(1+'8_가정'!$C$97)*G11</f>
        <v>19384.824</v>
      </c>
      <c r="H31" s="18">
        <f>H61*(1+'8_가정'!$C$97)*H11</f>
        <v>19384.824</v>
      </c>
      <c r="I31" s="18">
        <f>I61*(1+'8_가정'!$C$97)*I11</f>
        <v>19384.824</v>
      </c>
      <c r="J31" s="18">
        <f>J61*(1+'8_가정'!$C$97)*J11</f>
        <v>19384.824</v>
      </c>
      <c r="K31" s="18">
        <f>K61*(1+'8_가정'!$C$97)*K11</f>
        <v>19384.824</v>
      </c>
      <c r="L31" s="18">
        <f>L61*(1+'8_가정'!$C$97)*L11</f>
        <v>19384.824</v>
      </c>
      <c r="M31" s="18">
        <f>M61*(1+'8_가정'!$C$97)*M11</f>
        <v>19384.824</v>
      </c>
      <c r="N31" s="18">
        <f>N61*(1+'8_가정'!$C$97)*N11</f>
        <v>19384.824</v>
      </c>
      <c r="O31" s="23">
        <f>SUM(C31:N31)</f>
        <v>232617.888</v>
      </c>
      <c r="P31" s="18">
        <f>P61*(1+'8_가정'!$C$97)*P11</f>
        <v>11195.78872</v>
      </c>
      <c r="Q31" s="18">
        <f>Q61*(1+'8_가정'!$C$97)*Q11</f>
        <v>12254.50472</v>
      </c>
      <c r="R31" s="18">
        <f>R61*(1+'8_가정'!$C$97)*R11</f>
        <v>13313.22072</v>
      </c>
      <c r="S31" s="18">
        <f>S61*(1+'8_가정'!$C$97)*S11</f>
        <v>14371.93672</v>
      </c>
      <c r="T31" s="18">
        <f>T61*(1+'8_가정'!$C$97)*T11</f>
        <v>15430.65272</v>
      </c>
      <c r="U31" s="18">
        <f>U61*(1+'8_가정'!$C$97)*U11</f>
        <v>16489.36872</v>
      </c>
      <c r="V31" s="18">
        <f>V61*(1+'8_가정'!$C$97)*V11</f>
        <v>17548.08472</v>
      </c>
      <c r="W31" s="18">
        <f>W61*(1+'8_가정'!$C$97)*W11</f>
        <v>18606.80072</v>
      </c>
      <c r="X31" s="18">
        <f>X61*(1+'8_가정'!$C$97)*X11</f>
        <v>19665.51672</v>
      </c>
      <c r="Y31" s="18">
        <f>Y61*(1+'8_가정'!$C$97)*Y11</f>
        <v>21782.94872</v>
      </c>
      <c r="Z31" s="18">
        <f>Z61*(1+'8_가정'!$C$97)*Z11</f>
        <v>23900.38072</v>
      </c>
      <c r="AA31" s="18">
        <f>AA61*(1+'8_가정'!$C$97)*AA11</f>
        <v>26017.81272</v>
      </c>
      <c r="AB31" s="23">
        <f>SUM(P31:AA31)</f>
        <v>210577.01664</v>
      </c>
      <c r="AC31" s="24">
        <f>AC61*(1+'8_가정'!$C$97)*AC11</f>
        <v>359058.9221424</v>
      </c>
      <c r="AD31" s="24">
        <f>AD61*(1+'8_가정'!$C$97)*AD11</f>
        <v>352568.729246184</v>
      </c>
      <c r="AE31" s="24">
        <f>AE61*(1+'8_가정'!$C$97)*AE11</f>
        <v>632115.864753417</v>
      </c>
      <c r="AF31" s="25">
        <f>O31+AB31+AC31+AD31+AE31</f>
        <v>1786938.420782</v>
      </c>
    </row>
    <row r="32">
      <c r="A32" s="3" t="inlineStr">
        <is>
          <t>D. 영업외손익</t>
        </is>
      </c>
    </row>
    <row r="33">
      <c r="A33" s="15" t="inlineStr">
        <is>
          <t>정부보조금수익</t>
        </is>
      </c>
      <c r="B33" s="7" t="inlineStr">
        <is>
          <t>8_가정</t>
        </is>
      </c>
      <c r="C33" s="18">
        <f>'8_가정'!$C$114/12</f>
        <v>6634.38125</v>
      </c>
      <c r="D33" s="18">
        <f>'8_가정'!$C$114/12</f>
        <v>6634.38125</v>
      </c>
      <c r="E33" s="18">
        <f>'8_가정'!$C$114/12</f>
        <v>6634.38125</v>
      </c>
      <c r="F33" s="18">
        <f>'8_가정'!$C$114/12</f>
        <v>6634.38125</v>
      </c>
      <c r="G33" s="18">
        <f>'8_가정'!$C$114/12</f>
        <v>6634.38125</v>
      </c>
      <c r="H33" s="18">
        <f>'8_가정'!$C$114/12</f>
        <v>6634.38125</v>
      </c>
      <c r="I33" s="18">
        <f>'8_가정'!$C$114/12</f>
        <v>6634.38125</v>
      </c>
      <c r="J33" s="18">
        <f>'8_가정'!$C$114/12</f>
        <v>6634.38125</v>
      </c>
      <c r="K33" s="18">
        <f>'8_가정'!$C$114/12</f>
        <v>6634.38125</v>
      </c>
      <c r="L33" s="18">
        <f>'8_가정'!$C$114/12</f>
        <v>6634.38125</v>
      </c>
      <c r="M33" s="18">
        <f>'8_가정'!$C$114/12</f>
        <v>6634.38125</v>
      </c>
      <c r="N33" s="18">
        <f>'8_가정'!$C$114/12</f>
        <v>6634.38125</v>
      </c>
      <c r="O33" s="23">
        <f>SUM(C33:N33)</f>
        <v>79612.575</v>
      </c>
      <c r="P33" s="18">
        <f>'8_가정'!$D$114/12</f>
        <v>25000</v>
      </c>
      <c r="Q33" s="18">
        <f>'8_가정'!$D$114/12</f>
        <v>25000</v>
      </c>
      <c r="R33" s="18">
        <f>'8_가정'!$D$114/12</f>
        <v>25000</v>
      </c>
      <c r="S33" s="18">
        <f>'8_가정'!$D$114/12</f>
        <v>25000</v>
      </c>
      <c r="T33" s="18">
        <f>'8_가정'!$D$114/12</f>
        <v>25000</v>
      </c>
      <c r="U33" s="18">
        <f>'8_가정'!$D$114/12</f>
        <v>25000</v>
      </c>
      <c r="V33" s="18">
        <f>'8_가정'!$D$114/12</f>
        <v>25000</v>
      </c>
      <c r="W33" s="18">
        <f>'8_가정'!$D$114/12</f>
        <v>25000</v>
      </c>
      <c r="X33" s="18">
        <f>'8_가정'!$D$114/12</f>
        <v>25000</v>
      </c>
      <c r="Y33" s="18">
        <f>'8_가정'!$D$114/12</f>
        <v>25000</v>
      </c>
      <c r="Z33" s="18">
        <f>'8_가정'!$D$114/12</f>
        <v>25000</v>
      </c>
      <c r="AA33" s="18">
        <f>'8_가정'!$D$114/12</f>
        <v>25000</v>
      </c>
      <c r="AB33" s="23">
        <f>SUM(P33:AA33)</f>
        <v>300000</v>
      </c>
      <c r="AC33" s="24">
        <f>'8_가정'!$E$114</f>
        <v>100000</v>
      </c>
      <c r="AD33" s="24">
        <f>'8_가정'!$F$114</f>
        <v>100000</v>
      </c>
      <c r="AE33" s="24">
        <f>'8_가정'!$G$114</f>
        <v>100000</v>
      </c>
      <c r="AF33" s="25">
        <f>O33+AB33+AC33+AD33+AE33</f>
        <v>679612.575</v>
      </c>
    </row>
    <row r="34">
      <c r="A34" s="15" t="inlineStr">
        <is>
          <t>이자비용</t>
        </is>
      </c>
      <c r="B34" s="7" t="inlineStr">
        <is>
          <t>평균 차입금 × 이자율</t>
        </is>
      </c>
      <c r="C34" s="43">
        <f>O37/12</f>
        <v>4799.086</v>
      </c>
      <c r="D34" s="43">
        <f>O37/12</f>
        <v>4799.086</v>
      </c>
      <c r="E34" s="43">
        <f>O37/12</f>
        <v>4799.086</v>
      </c>
      <c r="F34" s="43">
        <f>O37/12</f>
        <v>4799.086</v>
      </c>
      <c r="G34" s="43">
        <f>O37/12</f>
        <v>4799.086</v>
      </c>
      <c r="H34" s="43">
        <f>O37/12</f>
        <v>4799.086</v>
      </c>
      <c r="I34" s="43">
        <f>O37/12</f>
        <v>4799.086</v>
      </c>
      <c r="J34" s="43">
        <f>O37/12</f>
        <v>4799.086</v>
      </c>
      <c r="K34" s="43">
        <f>O37/12</f>
        <v>4799.086</v>
      </c>
      <c r="L34" s="43">
        <f>O37/12</f>
        <v>4799.086</v>
      </c>
      <c r="M34" s="43">
        <f>O37/12</f>
        <v>4799.086</v>
      </c>
      <c r="N34" s="43">
        <f>O37/12</f>
        <v>4799.086</v>
      </c>
      <c r="O34" s="23">
        <f>SUM(C34:N34)</f>
        <v>57589.032</v>
      </c>
      <c r="P34" s="43">
        <f>AB37/12</f>
        <v>6400</v>
      </c>
      <c r="Q34" s="43">
        <f>AB37/12</f>
        <v>6400</v>
      </c>
      <c r="R34" s="43">
        <f>AB37/12</f>
        <v>6400</v>
      </c>
      <c r="S34" s="43">
        <f>AB37/12</f>
        <v>6400</v>
      </c>
      <c r="T34" s="43">
        <f>AB37/12</f>
        <v>6400</v>
      </c>
      <c r="U34" s="43">
        <f>AB37/12</f>
        <v>6400</v>
      </c>
      <c r="V34" s="43">
        <f>AB37/12</f>
        <v>6400</v>
      </c>
      <c r="W34" s="43">
        <f>AB37/12</f>
        <v>6400</v>
      </c>
      <c r="X34" s="43">
        <f>AB37/12</f>
        <v>6400</v>
      </c>
      <c r="Y34" s="43">
        <f>AB37/12</f>
        <v>6400</v>
      </c>
      <c r="Z34" s="43">
        <f>AB37/12</f>
        <v>6400</v>
      </c>
      <c r="AA34" s="43">
        <f>AB37/12</f>
        <v>6400</v>
      </c>
      <c r="AB34" s="23">
        <f>SUM(P34:AA34)</f>
        <v>76800</v>
      </c>
      <c r="AC34" s="45">
        <f>AC37</f>
        <v>192000</v>
      </c>
      <c r="AD34" s="45">
        <f>AD37</f>
        <v>384000</v>
      </c>
      <c r="AE34" s="45">
        <f>AE37</f>
        <v>528000</v>
      </c>
      <c r="AF34" s="25">
        <f>O34+AB34+AC34+AD34+AE34</f>
        <v>1238389.032</v>
      </c>
    </row>
    <row r="35">
      <c r="A35" s="15" t="inlineStr">
        <is>
          <t>차입금 기말 잔액(입력)</t>
        </is>
      </c>
      <c r="B35" s="7" t="inlineStr">
        <is>
          <t>파란색 입력</t>
        </is>
      </c>
      <c r="O35" s="67" t="n">
        <v>1200000</v>
      </c>
      <c r="AB35" s="67" t="n">
        <v>2000000</v>
      </c>
      <c r="AC35" s="67" t="n">
        <v>6000000</v>
      </c>
      <c r="AD35" s="67" t="n">
        <v>10000000</v>
      </c>
      <c r="AE35" s="67" t="n">
        <v>12000000</v>
      </c>
    </row>
    <row r="36">
      <c r="A36" s="15" t="inlineStr">
        <is>
          <t>평균 차입금</t>
        </is>
      </c>
      <c r="B36" s="7" t="inlineStr"/>
      <c r="O36" s="48">
        <f>AVERAGE('8_가정'!$C$112,O35)</f>
        <v>1199771.5</v>
      </c>
      <c r="AB36" s="44">
        <f>AVERAGE(O35,AB35)</f>
        <v>1600000</v>
      </c>
      <c r="AC36" s="45">
        <f>AVERAGE(AB35,AC35)</f>
        <v>4000000</v>
      </c>
      <c r="AD36" s="45">
        <f>AVERAGE(AC35,AD35)</f>
        <v>8000000</v>
      </c>
      <c r="AE36" s="45">
        <f>AVERAGE(AD35,AE35)</f>
        <v>11000000</v>
      </c>
    </row>
    <row r="37">
      <c r="A37" s="15" t="inlineStr">
        <is>
          <t>연 이자비용(산출)</t>
        </is>
      </c>
      <c r="B37" s="7" t="inlineStr"/>
      <c r="O37" s="48">
        <f>O36*'8_가정'!$C$113</f>
        <v>57589.032</v>
      </c>
      <c r="AB37" s="48">
        <f>AB36*'8_가정'!$D$113</f>
        <v>76800</v>
      </c>
      <c r="AC37" s="24">
        <f>AC36*'8_가정'!$E$113</f>
        <v>192000</v>
      </c>
      <c r="AD37" s="24">
        <f>AD36*'8_가정'!$F$113</f>
        <v>384000</v>
      </c>
      <c r="AE37" s="24">
        <f>AE36*'8_가정'!$G$113</f>
        <v>528000</v>
      </c>
    </row>
    <row r="39">
      <c r="A39" s="3" t="inlineStr">
        <is>
          <t>E. 법인세 산출(연간) 및 월 배분</t>
        </is>
      </c>
    </row>
    <row r="40">
      <c r="A40" s="15" t="inlineStr">
        <is>
          <t>법인세차감전순이익</t>
        </is>
      </c>
      <c r="O40" s="48">
        <f>'2_손익계산서'!O50</f>
        <v>44165.7949000002</v>
      </c>
      <c r="AB40" s="48">
        <f>'2_손익계산서'!AB50</f>
        <v>1096290.60344</v>
      </c>
      <c r="AC40" s="24">
        <f>'2_손익계산서'!AC50</f>
        <v>3642769.5555904</v>
      </c>
      <c r="AD40" s="24">
        <f>'2_손익계산서'!AD50</f>
        <v>9340360.59920603</v>
      </c>
      <c r="AE40" s="24">
        <f>'2_손익계산서'!AE50</f>
        <v>25101840.0652198</v>
      </c>
    </row>
    <row r="41">
      <c r="A41" s="15" t="inlineStr">
        <is>
          <t>이월결손금 기초</t>
        </is>
      </c>
      <c r="O41" s="48">
        <f>'8_가정'!$C$118</f>
        <v>3032082</v>
      </c>
      <c r="AB41" s="44">
        <f>O44</f>
        <v>2987916.2051</v>
      </c>
      <c r="AC41" s="45">
        <f>AB44</f>
        <v>1891625.60166</v>
      </c>
      <c r="AD41" s="45">
        <f>AC44</f>
        <v>0</v>
      </c>
      <c r="AE41" s="45">
        <f>AD44</f>
        <v>0</v>
      </c>
    </row>
    <row r="42">
      <c r="A42" s="15" t="inlineStr">
        <is>
          <t>이월결손금 공제</t>
        </is>
      </c>
      <c r="O42" s="48">
        <f>MIN(O41,MAX(0,O40)*'8_가정'!$C$119)</f>
        <v>44165.7949000002</v>
      </c>
      <c r="AB42" s="48">
        <f>MIN(AB41,MAX(0,AB40)*'8_가정'!$C$119)</f>
        <v>1096290.60344</v>
      </c>
      <c r="AC42" s="24">
        <f>MIN(AC41,MAX(0,AC40)*'8_가정'!$C$119)</f>
        <v>1891625.60166</v>
      </c>
      <c r="AD42" s="24">
        <f>MIN(AD41,MAX(0,AD40)*'8_가정'!$C$119)</f>
        <v>0</v>
      </c>
      <c r="AE42" s="24">
        <f>MIN(AE41,MAX(0,AE40)*'8_가정'!$C$119)</f>
        <v>0</v>
      </c>
    </row>
    <row r="43">
      <c r="A43" s="15" t="inlineStr">
        <is>
          <t>당기 결손 발생(가산)</t>
        </is>
      </c>
      <c r="O43" s="44">
        <f>MAX(0,-O40)</f>
        <v>0</v>
      </c>
      <c r="AB43" s="44">
        <f>MAX(0,-AB40)</f>
        <v>0</v>
      </c>
      <c r="AC43" s="45">
        <f>MAX(0,-AC40)</f>
        <v>0</v>
      </c>
      <c r="AD43" s="45">
        <f>MAX(0,-AD40)</f>
        <v>0</v>
      </c>
      <c r="AE43" s="45">
        <f>MAX(0,-AE40)</f>
        <v>0</v>
      </c>
    </row>
    <row r="44">
      <c r="A44" s="15" t="inlineStr">
        <is>
          <t>이월결손금 기말</t>
        </is>
      </c>
      <c r="O44" s="44">
        <f>O41-O42+O43</f>
        <v>2987916.2051</v>
      </c>
      <c r="AB44" s="44">
        <f>AB41-AB42+AB43</f>
        <v>1891625.60166</v>
      </c>
      <c r="AC44" s="45">
        <f>AC41-AC42+AC43</f>
        <v>0</v>
      </c>
      <c r="AD44" s="45">
        <f>AD41-AD42+AD43</f>
        <v>0</v>
      </c>
      <c r="AE44" s="45">
        <f>AE41-AE42+AE43</f>
        <v>0</v>
      </c>
    </row>
    <row r="45">
      <c r="A45" s="15" t="inlineStr">
        <is>
          <t>과세표준</t>
        </is>
      </c>
      <c r="O45" s="44">
        <f>MAX(0,O40)-O42</f>
        <v>0</v>
      </c>
      <c r="AB45" s="44">
        <f>MAX(0,AB40)-AB42</f>
        <v>0</v>
      </c>
      <c r="AC45" s="45">
        <f>MAX(0,AC40)-AC42</f>
        <v>1751143.9539304</v>
      </c>
      <c r="AD45" s="45">
        <f>MAX(0,AD40)-AD42</f>
        <v>9340360.59920603</v>
      </c>
      <c r="AE45" s="45">
        <f>MAX(0,AE40)-AE42</f>
        <v>25101840.0652198</v>
      </c>
    </row>
    <row r="46">
      <c r="A46" s="15" t="inlineStr">
        <is>
          <t>산출세액(누진세율)</t>
        </is>
      </c>
      <c r="O46" s="48">
        <f>MIN(O45,'8_가정'!$C$120)*'8_가정'!$C$121+MAX(0,MIN(O45,'8_가정'!$D$120)-'8_가정'!$C$120)*'8_가정'!$D$121+MAX(0,MIN(O45,'8_가정'!$E$120)-'8_가정'!$D$120)*'8_가정'!$E$121+MAX(0,O45-'8_가정'!$E$120)*'8_가정'!$F$121</f>
        <v>0</v>
      </c>
      <c r="AB46" s="48">
        <f>MIN(AB45,'8_가정'!$C$120)*'8_가정'!$C$121+MAX(0,MIN(AB45,'8_가정'!$D$120)-'8_가정'!$C$120)*'8_가정'!$D$121+MAX(0,MIN(AB45,'8_가정'!$E$120)-'8_가정'!$D$120)*'8_가정'!$E$121+MAX(0,AB45-'8_가정'!$E$120)*'8_가정'!$F$121</f>
        <v>0</v>
      </c>
      <c r="AC46" s="24">
        <f>MIN(AC45,'8_가정'!$C$120)*'8_가정'!$C$121+MAX(0,MIN(AC45,'8_가정'!$D$120)-'8_가정'!$C$120)*'8_가정'!$D$121+MAX(0,MIN(AC45,'8_가정'!$E$120)-'8_가정'!$D$120)*'8_가정'!$E$121+MAX(0,AC45-'8_가정'!$E$120)*'8_가정'!$F$121</f>
        <v>330228.79078608</v>
      </c>
      <c r="AD46" s="24">
        <f>MIN(AD45,'8_가정'!$C$120)*'8_가정'!$C$121+MAX(0,MIN(AD45,'8_가정'!$D$120)-'8_가정'!$C$120)*'8_가정'!$D$121+MAX(0,MIN(AD45,'8_가정'!$E$120)-'8_가정'!$D$120)*'8_가정'!$E$121+MAX(0,AD45-'8_가정'!$E$120)*'8_가정'!$F$121</f>
        <v>1848072.11984121</v>
      </c>
      <c r="AE46" s="24">
        <f>MIN(AE45,'8_가정'!$C$120)*'8_가정'!$C$121+MAX(0,MIN(AE45,'8_가정'!$D$120)-'8_가정'!$C$120)*'8_가정'!$D$121+MAX(0,MIN(AE45,'8_가정'!$E$120)-'8_가정'!$D$120)*'8_가정'!$E$121+MAX(0,AE45-'8_가정'!$E$120)*'8_가정'!$F$121</f>
        <v>5102404.81434835</v>
      </c>
    </row>
    <row r="47">
      <c r="A47" s="15" t="inlineStr">
        <is>
          <t>지방소득세</t>
        </is>
      </c>
      <c r="O47" s="48">
        <f>O46*'8_가정'!$C$122</f>
        <v>0</v>
      </c>
      <c r="AB47" s="48">
        <f>AB46*'8_가정'!$C$122</f>
        <v>0</v>
      </c>
      <c r="AC47" s="24">
        <f>AC46*'8_가정'!$C$122</f>
        <v>33022.879078608</v>
      </c>
      <c r="AD47" s="24">
        <f>AD46*'8_가정'!$C$122</f>
        <v>184807.211984121</v>
      </c>
      <c r="AE47" s="24">
        <f>AE46*'8_가정'!$C$122</f>
        <v>510240.481434835</v>
      </c>
    </row>
    <row r="48">
      <c r="A48" s="12" t="inlineStr">
        <is>
          <t>법인세등</t>
        </is>
      </c>
      <c r="O48" s="23">
        <f>O46+O47</f>
        <v>0</v>
      </c>
      <c r="AB48" s="23">
        <f>AB46+AB47</f>
        <v>0</v>
      </c>
      <c r="AC48" s="34">
        <f>AC46+AC47</f>
        <v>363251.669864688</v>
      </c>
      <c r="AD48" s="34">
        <f>AD46+AD47</f>
        <v>2032879.33182533</v>
      </c>
      <c r="AE48" s="34">
        <f>AE46+AE47</f>
        <v>5612645.29578318</v>
      </c>
    </row>
    <row r="49">
      <c r="A49" s="15" t="inlineStr">
        <is>
          <t>법인세등(월 배분: 매출 비중)</t>
        </is>
      </c>
      <c r="C49" s="18">
        <f>IFERROR(O48*'2_손익계산서'!C14/'2_손익계산서'!O14,0)</f>
        <v>0</v>
      </c>
      <c r="D49" s="18">
        <f>IFERROR(O48*'2_손익계산서'!D14/'2_손익계산서'!O14,0)</f>
        <v>0</v>
      </c>
      <c r="E49" s="18">
        <f>IFERROR(O48*'2_손익계산서'!E14/'2_손익계산서'!O14,0)</f>
        <v>0</v>
      </c>
      <c r="F49" s="18">
        <f>IFERROR(O48*'2_손익계산서'!F14/'2_손익계산서'!O14,0)</f>
        <v>0</v>
      </c>
      <c r="G49" s="18">
        <f>IFERROR(O48*'2_손익계산서'!G14/'2_손익계산서'!O14,0)</f>
        <v>0</v>
      </c>
      <c r="H49" s="18">
        <f>IFERROR(O48*'2_손익계산서'!H14/'2_손익계산서'!O14,0)</f>
        <v>0</v>
      </c>
      <c r="I49" s="18">
        <f>IFERROR(O48*'2_손익계산서'!I14/'2_손익계산서'!O14,0)</f>
        <v>0</v>
      </c>
      <c r="J49" s="18">
        <f>IFERROR(O48*'2_손익계산서'!J14/'2_손익계산서'!O14,0)</f>
        <v>0</v>
      </c>
      <c r="K49" s="18">
        <f>IFERROR(O48*'2_손익계산서'!K14/'2_손익계산서'!O14,0)</f>
        <v>0</v>
      </c>
      <c r="L49" s="18">
        <f>IFERROR(O48*'2_손익계산서'!L14/'2_손익계산서'!O14,0)</f>
        <v>0</v>
      </c>
      <c r="M49" s="18">
        <f>IFERROR(O48*'2_손익계산서'!M14/'2_손익계산서'!O14,0)</f>
        <v>0</v>
      </c>
      <c r="N49" s="18">
        <f>IFERROR(O48*'2_손익계산서'!N14/'2_손익계산서'!O14,0)</f>
        <v>0</v>
      </c>
      <c r="O49" s="23">
        <f>SUM(C49:N49)</f>
        <v>0</v>
      </c>
      <c r="P49" s="18">
        <f>IFERROR(AB48*'2_손익계산서'!P14/'2_손익계산서'!AB14,0)</f>
        <v>0</v>
      </c>
      <c r="Q49" s="18">
        <f>IFERROR(AB48*'2_손익계산서'!Q14/'2_손익계산서'!AB14,0)</f>
        <v>0</v>
      </c>
      <c r="R49" s="18">
        <f>IFERROR(AB48*'2_손익계산서'!R14/'2_손익계산서'!AB14,0)</f>
        <v>0</v>
      </c>
      <c r="S49" s="18">
        <f>IFERROR(AB48*'2_손익계산서'!S14/'2_손익계산서'!AB14,0)</f>
        <v>0</v>
      </c>
      <c r="T49" s="18">
        <f>IFERROR(AB48*'2_손익계산서'!T14/'2_손익계산서'!AB14,0)</f>
        <v>0</v>
      </c>
      <c r="U49" s="18">
        <f>IFERROR(AB48*'2_손익계산서'!U14/'2_손익계산서'!AB14,0)</f>
        <v>0</v>
      </c>
      <c r="V49" s="18">
        <f>IFERROR(AB48*'2_손익계산서'!V14/'2_손익계산서'!AB14,0)</f>
        <v>0</v>
      </c>
      <c r="W49" s="18">
        <f>IFERROR(AB48*'2_손익계산서'!W14/'2_손익계산서'!AB14,0)</f>
        <v>0</v>
      </c>
      <c r="X49" s="18">
        <f>IFERROR(AB48*'2_손익계산서'!X14/'2_손익계산서'!AB14,0)</f>
        <v>0</v>
      </c>
      <c r="Y49" s="18">
        <f>IFERROR(AB48*'2_손익계산서'!Y14/'2_손익계산서'!AB14,0)</f>
        <v>0</v>
      </c>
      <c r="Z49" s="18">
        <f>IFERROR(AB48*'2_손익계산서'!Z14/'2_손익계산서'!AB14,0)</f>
        <v>0</v>
      </c>
      <c r="AA49" s="18">
        <f>IFERROR(AB48*'2_손익계산서'!AA14/'2_손익계산서'!AB14,0)</f>
        <v>0</v>
      </c>
      <c r="AB49" s="23">
        <f>SUM(P49:AA49)</f>
        <v>0</v>
      </c>
      <c r="AC49" s="45">
        <f>AC48</f>
        <v>363251.669864688</v>
      </c>
      <c r="AD49" s="45">
        <f>AD48</f>
        <v>2032879.33182533</v>
      </c>
      <c r="AE49" s="45">
        <f>AE48</f>
        <v>5612645.29578318</v>
      </c>
      <c r="AF49" s="25">
        <f>O49+AB49+AC49+AD49+AE49</f>
        <v>8008776.2974732</v>
      </c>
    </row>
    <row r="51">
      <c r="A51" s="52" t="inlineStr">
        <is>
          <t>※ 법인세는 연간 세전이익 기준으로 산출하고(이월결손금 공제 후 누진세율 + 지방소득세) 월별로는 매출 비중으로 배분합니다. 세액공제·최저한세·이연법인세는 미반영.</t>
        </is>
      </c>
    </row>
    <row r="53">
      <c r="A53" s="15" t="inlineStr">
        <is>
          <t>매출채권(매출 × 회전일수/365)</t>
        </is>
      </c>
      <c r="O53" s="48">
        <f>O8*'8_가정'!$C$123/365</f>
        <v>209530.684931507</v>
      </c>
      <c r="AB53" s="48">
        <f>AB8*'8_가정'!$C$123/365</f>
        <v>1644657.53424658</v>
      </c>
      <c r="AC53" s="24">
        <f>AC8*'8_가정'!$C$123/365</f>
        <v>5424657.53424658</v>
      </c>
      <c r="AD53" s="24">
        <f>AD8*'8_가정'!$C$123/365</f>
        <v>11506849.3150685</v>
      </c>
      <c r="AE53" s="24">
        <f>AE8*'8_가정'!$C$123/365</f>
        <v>25643835.6164384</v>
      </c>
    </row>
    <row r="54">
      <c r="A54" s="15" t="inlineStr">
        <is>
          <t>재고자산(매출원가 × 회전일수/365)</t>
        </is>
      </c>
      <c r="O54" s="48">
        <f>'2_손익계산서'!O25*'8_가정'!$C$124/365</f>
        <v>105487.741824658</v>
      </c>
      <c r="AB54" s="48">
        <f>'2_손익계산서'!AB25*'8_가정'!$C$124/365</f>
        <v>991051.780273973</v>
      </c>
      <c r="AC54" s="24">
        <f>'2_손익계산서'!AC25*'8_가정'!$C$124/365</f>
        <v>3274788.77947397</v>
      </c>
      <c r="AD54" s="24">
        <f>'2_손익계산서'!AD25*'8_가정'!$C$124/365</f>
        <v>6915115.62038794</v>
      </c>
      <c r="AE54" s="24">
        <f>'2_손익계산서'!AE25*'8_가정'!$C$124/365</f>
        <v>15163983.2171276</v>
      </c>
    </row>
    <row r="55">
      <c r="A55" s="15" t="inlineStr">
        <is>
          <t>매입채무(매출원가 × 회전일수/365)</t>
        </is>
      </c>
      <c r="O55" s="48">
        <f>'2_손익계산서'!O25*'8_가정'!$C$125/365</f>
        <v>79115.8063684932</v>
      </c>
      <c r="AB55" s="48">
        <f>'2_손익계산서'!AB25*'8_가정'!$C$125/365</f>
        <v>743288.83520548</v>
      </c>
      <c r="AC55" s="24">
        <f>'2_손익계산서'!AC25*'8_가정'!$C$125/365</f>
        <v>2456091.58460548</v>
      </c>
      <c r="AD55" s="24">
        <f>'2_손익계산서'!AD25*'8_가정'!$C$125/365</f>
        <v>5186336.71529096</v>
      </c>
      <c r="AE55" s="24">
        <f>'2_손익계산서'!AE25*'8_가정'!$C$125/365</f>
        <v>11372987.4128457</v>
      </c>
    </row>
    <row r="56">
      <c r="A56" s="12" t="inlineStr">
        <is>
          <t>순운전자본(매출채권 + 재고 − 매입채무)</t>
        </is>
      </c>
      <c r="O56" s="27">
        <f>O53+O54-O55</f>
        <v>235902.620387671</v>
      </c>
      <c r="AB56" s="27">
        <f>AB53+AB54-AB55</f>
        <v>1892420.47931507</v>
      </c>
      <c r="AC56" s="28">
        <f>AC53+AC54-AC55</f>
        <v>6243354.72911507</v>
      </c>
      <c r="AD56" s="28">
        <f>AD53+AD54-AD55</f>
        <v>13235628.2201655</v>
      </c>
      <c r="AE56" s="28">
        <f>AE53+AE54-AE55</f>
        <v>29434831.4207203</v>
      </c>
    </row>
    <row r="57">
      <c r="A57" s="15" t="inlineStr">
        <is>
          <t>순운전자본 증가(현금 유출)</t>
        </is>
      </c>
      <c r="O57" s="48">
        <f>O56-('3_연간손익'!$C$7*'8_가정'!$C$123/365+'3_연간손익'!$C$9*('8_가정'!$C$124-'8_가정'!$C$125)/365)</f>
        <v>79023.9874561644</v>
      </c>
      <c r="AB57" s="44">
        <f>AB56-O56</f>
        <v>1656517.8589274</v>
      </c>
      <c r="AC57" s="45">
        <f>AC56-AB56</f>
        <v>4350934.2498</v>
      </c>
      <c r="AD57" s="45">
        <f>AD56-AC56</f>
        <v>6992273.49105041</v>
      </c>
      <c r="AE57" s="45">
        <f>AE56-AD56</f>
        <v>16199203.2005548</v>
      </c>
    </row>
    <row r="58">
      <c r="A58" s="15" t="inlineStr">
        <is>
          <t>차입금 기말 ÷ 순운전자본</t>
        </is>
      </c>
      <c r="O58" s="82">
        <f>IFERROR(O35/O56,0)</f>
        <v>5.08684472443747</v>
      </c>
      <c r="AB58" s="82">
        <f>IFERROR(AB35/AB56,0)</f>
        <v>1.05684757793568</v>
      </c>
      <c r="AC58" s="83">
        <f>IFERROR(AC35/AC56,0)</f>
        <v>0.961021800030004</v>
      </c>
      <c r="AD58" s="83">
        <f>IFERROR(AD35/AD56,0)</f>
        <v>0.755536483320395</v>
      </c>
      <c r="AE58" s="83">
        <f>IFERROR(AE35/AE56,0)</f>
        <v>0.407680269286433</v>
      </c>
    </row>
    <row r="59">
      <c r="A59" s="52" t="inlineStr">
        <is>
          <t>※ 운전자본은 손익계산서 범위 밖의 참고 추정입니다. 순운전자본 증가분은 영업이익·차입·증자로 조달해야 하며, 차입금 가정(위 D절)이 이를 충분히 덮는지 점검하세요.</t>
        </is>
      </c>
    </row>
    <row r="60">
      <c r="A60" s="15" t="inlineStr">
        <is>
          <t>평균 월 급여(대표 포함 블렌드, 천원)</t>
        </is>
      </c>
      <c r="B60" s="7" t="inlineStr">
        <is>
          <t>급여 총액 ÷ 비용 산정 인원</t>
        </is>
      </c>
      <c r="C60" s="84">
        <f>IFERROR(C61/C15/1,0)</f>
        <v>5674.71428571428</v>
      </c>
      <c r="D60" s="84">
        <f>IFERROR(D61/D15/1,0)</f>
        <v>5674.71428571428</v>
      </c>
      <c r="E60" s="84">
        <f>IFERROR(E61/E15/1,0)</f>
        <v>5674.71428571428</v>
      </c>
      <c r="F60" s="84">
        <f>IFERROR(F61/F15/1,0)</f>
        <v>5674.71428571428</v>
      </c>
      <c r="G60" s="84">
        <f>IFERROR(G61/G15/1,0)</f>
        <v>5674.71428571428</v>
      </c>
      <c r="H60" s="84">
        <f>IFERROR(H61/H15/1,0)</f>
        <v>5674.71428571428</v>
      </c>
      <c r="I60" s="84">
        <f>IFERROR(I61/I15/1,0)</f>
        <v>5674.71428571428</v>
      </c>
      <c r="J60" s="84">
        <f>IFERROR(J61/J15/1,0)</f>
        <v>5674.71428571428</v>
      </c>
      <c r="K60" s="84">
        <f>IFERROR(K61/K15/1,0)</f>
        <v>5674.71428571428</v>
      </c>
      <c r="L60" s="84">
        <f>IFERROR(L61/L15/1,0)</f>
        <v>5674.71428571428</v>
      </c>
      <c r="M60" s="84">
        <f>IFERROR(M61/M15/1,0)</f>
        <v>5674.71428571428</v>
      </c>
      <c r="N60" s="84">
        <f>IFERROR(N61/N15/1,0)</f>
        <v>5674.71428571428</v>
      </c>
      <c r="O60" s="85">
        <f>IFERROR(O61/O15/12,0)</f>
        <v>5674.71428571428</v>
      </c>
      <c r="P60" s="84">
        <f>IFERROR(P61/P15/1,0)</f>
        <v>5735.5475</v>
      </c>
      <c r="Q60" s="84">
        <f>IFERROR(Q61/Q15/1,0)</f>
        <v>5580.37555555556</v>
      </c>
      <c r="R60" s="84">
        <f>IFERROR(R61/R15/1,0)</f>
        <v>5456.238</v>
      </c>
      <c r="S60" s="84">
        <f>IFERROR(S61/S15/1,0)</f>
        <v>5354.67090909091</v>
      </c>
      <c r="T60" s="84">
        <f>IFERROR(T61/T15/1,0)</f>
        <v>5270.03166666667</v>
      </c>
      <c r="U60" s="84">
        <f>IFERROR(U61/U15/1,0)</f>
        <v>5198.41384615385</v>
      </c>
      <c r="V60" s="84">
        <f>IFERROR(V61/V15/1,0)</f>
        <v>5137.02714285714</v>
      </c>
      <c r="W60" s="84">
        <f>IFERROR(W61/W15/1,0)</f>
        <v>5083.82533333333</v>
      </c>
      <c r="X60" s="84">
        <f>IFERROR(X61/X15/1,0)</f>
        <v>5037.27375</v>
      </c>
      <c r="Y60" s="84">
        <f>IFERROR(Y61/Y15/1,0)</f>
        <v>4959.68777777778</v>
      </c>
      <c r="Z60" s="84">
        <f>IFERROR(Z61/Z15/1,0)</f>
        <v>4897.619</v>
      </c>
      <c r="AA60" s="84">
        <f>IFERROR(AA61/AA15/1,0)</f>
        <v>4846.83545454546</v>
      </c>
      <c r="AB60" s="85">
        <f>IFERROR(AB61/AB15/12,0)</f>
        <v>5137.02714285714</v>
      </c>
      <c r="AC60" s="86">
        <f>IFERROR(AC61/AC15/12,0)</f>
        <v>4584.27713271028</v>
      </c>
      <c r="AD60" s="86">
        <f>IFERROR(AD61/AD15/12,0)</f>
        <v>4480.47692522791</v>
      </c>
      <c r="AE60" s="86">
        <f>IFERROR(AE61/AE15/12,0)</f>
        <v>4428.44237602226</v>
      </c>
    </row>
    <row r="61">
      <c r="A61" s="15" t="inlineStr">
        <is>
          <t>급여 총액(자본화 전, 천원)</t>
        </is>
      </c>
      <c r="B61" s="7" t="inlineStr">
        <is>
          <t>대표 고정 + 직원·신규 채용</t>
        </is>
      </c>
      <c r="C61" s="18">
        <f>('8_가정'!$C$92+MIN(MAX(C15-1,0),'8_가정'!$C$96-1)*C16+MAX(0,C15-'8_가정'!$C$96)*C17)</f>
        <v>39723</v>
      </c>
      <c r="D61" s="18">
        <f>('8_가정'!$C$92+MIN(MAX(D15-1,0),'8_가정'!$C$96-1)*D16+MAX(0,D15-'8_가정'!$C$96)*D17)</f>
        <v>39723</v>
      </c>
      <c r="E61" s="18">
        <f>('8_가정'!$C$92+MIN(MAX(E15-1,0),'8_가정'!$C$96-1)*E16+MAX(0,E15-'8_가정'!$C$96)*E17)</f>
        <v>39723</v>
      </c>
      <c r="F61" s="18">
        <f>('8_가정'!$C$92+MIN(MAX(F15-1,0),'8_가정'!$C$96-1)*F16+MAX(0,F15-'8_가정'!$C$96)*F17)</f>
        <v>39723</v>
      </c>
      <c r="G61" s="18">
        <f>('8_가정'!$C$92+MIN(MAX(G15-1,0),'8_가정'!$C$96-1)*G16+MAX(0,G15-'8_가정'!$C$96)*G17)</f>
        <v>39723</v>
      </c>
      <c r="H61" s="18">
        <f>('8_가정'!$C$92+MIN(MAX(H15-1,0),'8_가정'!$C$96-1)*H16+MAX(0,H15-'8_가정'!$C$96)*H17)</f>
        <v>39723</v>
      </c>
      <c r="I61" s="18">
        <f>('8_가정'!$C$92+MIN(MAX(I15-1,0),'8_가정'!$C$96-1)*I16+MAX(0,I15-'8_가정'!$C$96)*I17)</f>
        <v>39723</v>
      </c>
      <c r="J61" s="18">
        <f>('8_가정'!$C$92+MIN(MAX(J15-1,0),'8_가정'!$C$96-1)*J16+MAX(0,J15-'8_가정'!$C$96)*J17)</f>
        <v>39723</v>
      </c>
      <c r="K61" s="18">
        <f>('8_가정'!$C$92+MIN(MAX(K15-1,0),'8_가정'!$C$96-1)*K16+MAX(0,K15-'8_가정'!$C$96)*K17)</f>
        <v>39723</v>
      </c>
      <c r="L61" s="18">
        <f>('8_가정'!$C$92+MIN(MAX(L15-1,0),'8_가정'!$C$96-1)*L16+MAX(0,L15-'8_가정'!$C$96)*L17)</f>
        <v>39723</v>
      </c>
      <c r="M61" s="18">
        <f>('8_가정'!$C$92+MIN(MAX(M15-1,0),'8_가정'!$C$96-1)*M16+MAX(0,M15-'8_가정'!$C$96)*M17)</f>
        <v>39723</v>
      </c>
      <c r="N61" s="18">
        <f>('8_가정'!$C$92+MIN(MAX(N15-1,0),'8_가정'!$C$96-1)*N16+MAX(0,N15-'8_가정'!$C$96)*N17)</f>
        <v>39723</v>
      </c>
      <c r="O61" s="23">
        <f>SUM(C61:N61)</f>
        <v>476676</v>
      </c>
      <c r="P61" s="18">
        <f>('8_가정'!$C$92+MIN(MAX(P15-1,0),'8_가정'!$C$96-1)*P16+MAX(0,P15-'8_가정'!$C$96)*P17)</f>
        <v>45884.38</v>
      </c>
      <c r="Q61" s="18">
        <f>('8_가정'!$C$92+MIN(MAX(Q15-1,0),'8_가정'!$C$96-1)*Q16+MAX(0,Q15-'8_가정'!$C$96)*Q17)</f>
        <v>50223.38</v>
      </c>
      <c r="R61" s="18">
        <f>('8_가정'!$C$92+MIN(MAX(R15-1,0),'8_가정'!$C$96-1)*R16+MAX(0,R15-'8_가정'!$C$96)*R17)</f>
        <v>54562.38</v>
      </c>
      <c r="S61" s="18">
        <f>('8_가정'!$C$92+MIN(MAX(S15-1,0),'8_가정'!$C$96-1)*S16+MAX(0,S15-'8_가정'!$C$96)*S17)</f>
        <v>58901.38</v>
      </c>
      <c r="T61" s="18">
        <f>('8_가정'!$C$92+MIN(MAX(T15-1,0),'8_가정'!$C$96-1)*T16+MAX(0,T15-'8_가정'!$C$96)*T17)</f>
        <v>63240.38</v>
      </c>
      <c r="U61" s="18">
        <f>('8_가정'!$C$92+MIN(MAX(U15-1,0),'8_가정'!$C$96-1)*U16+MAX(0,U15-'8_가정'!$C$96)*U17)</f>
        <v>67579.38</v>
      </c>
      <c r="V61" s="18">
        <f>('8_가정'!$C$92+MIN(MAX(V15-1,0),'8_가정'!$C$96-1)*V16+MAX(0,V15-'8_가정'!$C$96)*V17)</f>
        <v>71918.38</v>
      </c>
      <c r="W61" s="18">
        <f>('8_가정'!$C$92+MIN(MAX(W15-1,0),'8_가정'!$C$96-1)*W16+MAX(0,W15-'8_가정'!$C$96)*W17)</f>
        <v>76257.38</v>
      </c>
      <c r="X61" s="18">
        <f>('8_가정'!$C$92+MIN(MAX(X15-1,0),'8_가정'!$C$96-1)*X16+MAX(0,X15-'8_가정'!$C$96)*X17)</f>
        <v>80596.38</v>
      </c>
      <c r="Y61" s="18">
        <f>('8_가정'!$C$92+MIN(MAX(Y15-1,0),'8_가정'!$C$96-1)*Y16+MAX(0,Y15-'8_가정'!$C$96)*Y17)</f>
        <v>89274.38</v>
      </c>
      <c r="Z61" s="18">
        <f>('8_가정'!$C$92+MIN(MAX(Z15-1,0),'8_가정'!$C$96-1)*Z16+MAX(0,Z15-'8_가정'!$C$96)*Z17)</f>
        <v>97952.38</v>
      </c>
      <c r="AA61" s="18">
        <f>('8_가정'!$C$92+MIN(MAX(AA15-1,0),'8_가정'!$C$96-1)*AA16+MAX(0,AA15-'8_가정'!$C$96)*AA17)</f>
        <v>106630.38</v>
      </c>
      <c r="AB61" s="23">
        <f>SUM(P61:AA61)</f>
        <v>863020.56</v>
      </c>
      <c r="AC61" s="24">
        <f>('8_가정'!$C$92+MIN(MAX(AC15-1,0),'8_가정'!$C$96-1)*AC16+MAX(0,AC15-'8_가정'!$C$96)*AC17)*12</f>
        <v>2943105.9192</v>
      </c>
      <c r="AD61" s="24">
        <f>('8_가정'!$C$92+MIN(MAX(AD15-1,0),'8_가정'!$C$96-1)*AD16+MAX(0,AD15-'8_가정'!$C$96)*AD17)*12</f>
        <v>5779815.233544</v>
      </c>
      <c r="AE61" s="24">
        <f>('8_가정'!$C$92+MIN(MAX(AE15-1,0),'8_가정'!$C$96-1)*AE16+MAX(0,AE15-'8_가정'!$C$96)*AE17)*12</f>
        <v>10362555.1598921</v>
      </c>
      <c r="AF61" s="25">
        <f>O61+AB61+AC61+AD61+AE61</f>
        <v>20425172.8726361</v>
      </c>
    </row>
  </sheetData>
  <pageMargins left="0.75" right="0.75" top="1" bottom="1" header="0.5" footer="0.5"/>
  <pageSetup orientation="landscape" fitToHeight="0" fitToWidth="1"/>
</worksheet>
</file>

<file path=xl/worksheets/sheet8.xml><?xml version="1.0" encoding="utf-8"?>
<worksheet xmlns="http://schemas.openxmlformats.org/spreadsheetml/2006/main">
  <sheetPr>
    <tabColor rgb="00BF9000"/>
    <outlinePr summaryBelow="1" summaryRight="1"/>
    <pageSetUpPr fitToPage="1"/>
  </sheetPr>
  <dimension ref="A1:I137"/>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0" customWidth="1" min="1" max="1"/>
    <col width="44" customWidth="1" min="2" max="2"/>
    <col width="12" customWidth="1" min="3" max="3"/>
    <col width="12" customWidth="1" min="4" max="4"/>
    <col width="12" customWidth="1" min="5" max="5"/>
    <col width="12" customWidth="1" min="6" max="6"/>
    <col width="12" customWidth="1" min="7" max="7"/>
    <col width="12" customWidth="1" min="8" max="8"/>
    <col width="70" customWidth="1" min="9" max="9"/>
  </cols>
  <sheetData>
    <row r="1">
      <c r="A1" s="1" t="inlineStr">
        <is>
          <t>8_가정 — 모델 가정</t>
        </is>
      </c>
    </row>
    <row r="2">
      <c r="A2" s="2" t="inlineStr">
        <is>
          <t>파란색 = 입력값 · 노란 배경 = 핵심 가정 · 검정/초록 = 수식. 단위: 천원(별도 표기 제외). 시나리오 선택은 1_요약!C4</t>
        </is>
      </c>
    </row>
    <row r="4">
      <c r="A4" s="87" t="inlineStr">
        <is>
          <t>1. IR 목표 · 환율 · 이용자 지표</t>
        </is>
      </c>
      <c r="B4" s="88" t="n"/>
      <c r="C4" s="88" t="n"/>
      <c r="D4" s="88" t="n"/>
      <c r="E4" s="88" t="n"/>
      <c r="F4" s="88" t="n"/>
      <c r="G4" s="88" t="n"/>
      <c r="H4" s="88" t="n"/>
      <c r="I4" s="88" t="n"/>
    </row>
    <row r="5">
      <c r="A5" s="22" t="inlineStr">
        <is>
          <t>구분</t>
        </is>
      </c>
      <c r="B5" s="22" t="inlineStr">
        <is>
          <t>설명</t>
        </is>
      </c>
      <c r="C5" s="22" t="n">
        <v>2026</v>
      </c>
      <c r="D5" s="22" t="n">
        <v>2027</v>
      </c>
      <c r="E5" s="22" t="n">
        <v>2028</v>
      </c>
      <c r="F5" s="22" t="n">
        <v>2029</v>
      </c>
      <c r="G5" s="22" t="n">
        <v>2030</v>
      </c>
      <c r="H5" s="22" t="inlineStr"/>
      <c r="I5" s="22" t="inlineStr">
        <is>
          <t>근거 · 비고</t>
        </is>
      </c>
    </row>
    <row r="6">
      <c r="A6" s="12" t="inlineStr">
        <is>
          <t>IR 매출 목표(천원)</t>
        </is>
      </c>
      <c r="B6" s="15" t="inlineStr">
        <is>
          <t>IR p.24 "2026–2030 글로벌 매출 전망"(백만원 → 천원)</t>
        </is>
      </c>
      <c r="C6" s="67" t="n">
        <v>1200000</v>
      </c>
      <c r="D6" s="67" t="n">
        <v>10005000</v>
      </c>
      <c r="E6" s="67" t="n">
        <v>33000000</v>
      </c>
      <c r="F6" s="67" t="n">
        <v>70000000</v>
      </c>
      <c r="G6" s="67" t="n">
        <v>156000000</v>
      </c>
      <c r="I6" s="89" t="inlineStr">
        <is>
          <t>IR 라벨 1,200 / 10,005 / 33,000 / 70,000 / 156,000을 백만원 단위로 해석. 2027 표(p.25) 합계는 10,302,040천원이며 차트(10,005)와의 차이 ≈ Sunway PoC 3.0억</t>
        </is>
      </c>
    </row>
    <row r="7">
      <c r="A7" s="15" t="inlineStr">
        <is>
          <t>USD/KRW</t>
        </is>
      </c>
      <c r="C7" s="90" t="n">
        <v>1400</v>
      </c>
      <c r="I7" s="89" t="inlineStr">
        <is>
          <t>IR p.35 고정 환율 1,400원/달러(2026-10-02 서울 종가 1,350.60). 참고용(계약 통화 환산 비교)</t>
        </is>
      </c>
    </row>
    <row r="8">
      <c r="A8" s="15" t="inlineStr">
        <is>
          <t>SGD/KRW</t>
        </is>
      </c>
      <c r="C8" s="90" t="n">
        <v>1096</v>
      </c>
      <c r="I8" s="89" t="inlineStr">
        <is>
          <t>1,400원/달러 기준 교차환율(USD/SGD 1.277). 현물 약 1,057~1,060</t>
        </is>
      </c>
    </row>
    <row r="9">
      <c r="A9" s="15" t="inlineStr">
        <is>
          <t>JPY 100엔/KRW</t>
        </is>
      </c>
      <c r="C9" s="90" t="n">
        <v>888</v>
      </c>
      <c r="I9" s="89" t="inlineStr">
        <is>
          <t>1,400원/달러 기준(USD/JPY 157.6). 현물 856.76(2026-10-02)</t>
        </is>
      </c>
    </row>
    <row r="10">
      <c r="A10" s="15" t="inlineStr">
        <is>
          <t>EUR/KRW</t>
        </is>
      </c>
      <c r="C10" s="90" t="n">
        <v>1576</v>
      </c>
      <c r="I10" s="89" t="inlineStr">
        <is>
          <t>1,400원/달러 기준(EUR/USD 1.126). 현물 1,520.64(2026-10-02)</t>
        </is>
      </c>
    </row>
    <row r="11">
      <c r="A11" s="15" t="inlineStr">
        <is>
          <t>ARPU(천원/인/년)</t>
        </is>
      </c>
      <c r="B11" s="15" t="inlineStr">
        <is>
          <t>IR p.36: 기저귀 8만원 + 센서·모니터링 2만원 = 월 10만원</t>
        </is>
      </c>
      <c r="C11" s="67" t="n">
        <v>1200</v>
      </c>
    </row>
    <row r="12">
      <c r="A12" s="15" t="inlineStr">
        <is>
          <t>시설당 유료 이용자(명)</t>
        </is>
      </c>
      <c r="B12" s="15" t="inlineStr">
        <is>
          <t>IR p.36 시설 공급: 시설당 150명</t>
        </is>
      </c>
      <c r="C12" s="67" t="n">
        <v>150</v>
      </c>
    </row>
    <row r="13">
      <c r="A13" s="15" t="inlineStr">
        <is>
          <t>IR SOM 유료 이용자(명) / 도입 시설(곳)</t>
        </is>
      </c>
      <c r="B13" s="15" t="inlineStr">
        <is>
          <t>IR p.3·36: 25만 명(시설 1,000개×150 + 재가·유통 20채널×5,000)</t>
        </is>
      </c>
      <c r="C13" s="55" t="n">
        <v>250000</v>
      </c>
      <c r="D13" s="55" t="n">
        <v>1000</v>
      </c>
    </row>
    <row r="15">
      <c r="A15" s="87" t="inlineStr">
        <is>
          <t>2. 시나리오 정의 — 단계별 확률 · 지연(개월)</t>
        </is>
      </c>
      <c r="B15" s="88" t="n"/>
      <c r="C15" s="88" t="n"/>
      <c r="D15" s="88" t="n"/>
      <c r="E15" s="88" t="n"/>
      <c r="F15" s="88" t="n"/>
      <c r="G15" s="88" t="n"/>
      <c r="H15" s="88" t="n"/>
      <c r="I15" s="88" t="n"/>
    </row>
    <row r="16">
      <c r="A16" s="22" t="inlineStr">
        <is>
          <t>단계 키</t>
        </is>
      </c>
      <c r="B16" s="22" t="inlineStr">
        <is>
          <t>설명</t>
        </is>
      </c>
      <c r="C16" s="22" t="inlineStr">
        <is>
          <t>확률 S1</t>
        </is>
      </c>
      <c r="D16" s="22" t="inlineStr">
        <is>
          <t>확률 S2</t>
        </is>
      </c>
      <c r="E16" s="22" t="inlineStr">
        <is>
          <t>확률 S3</t>
        </is>
      </c>
      <c r="F16" s="22" t="inlineStr">
        <is>
          <t>지연 S1</t>
        </is>
      </c>
      <c r="G16" s="22" t="inlineStr">
        <is>
          <t>지연 S2</t>
        </is>
      </c>
      <c r="H16" s="22" t="inlineStr">
        <is>
          <t>지연 S3</t>
        </is>
      </c>
    </row>
    <row r="17">
      <c r="A17" s="12" t="inlineStr">
        <is>
          <t>계약</t>
        </is>
      </c>
      <c r="B17" s="15" t="inlineStr">
        <is>
          <t>IR 단계 "계약" — 계약서/주문 확인</t>
        </is>
      </c>
      <c r="C17" s="91" t="n">
        <v>1</v>
      </c>
      <c r="D17" s="91" t="n">
        <v>0.9</v>
      </c>
      <c r="E17" s="91" t="n">
        <v>0.75</v>
      </c>
      <c r="F17" s="92" t="n">
        <v>0</v>
      </c>
      <c r="G17" s="92" t="n">
        <v>2</v>
      </c>
      <c r="H17" s="92" t="n">
        <v>4</v>
      </c>
      <c r="I17" s="89" t="inlineStr">
        <is>
          <t>확률 = 해당 단계 거래처 매출의 반영률, 지연 = 매출 개시를 늦추는 개월 수(램프 전체를 평행 이동). 기존 거래(HeartKium·Intega)는 지연 미적용</t>
        </is>
      </c>
    </row>
    <row r="18">
      <c r="A18" s="12" t="inlineStr">
        <is>
          <t>등록완료</t>
        </is>
      </c>
      <c r="B18" s="15" t="inlineStr">
        <is>
          <t>제도 등록 완료(NHIS·TAIS), 매출 미개시</t>
        </is>
      </c>
      <c r="C18" s="91" t="n">
        <v>1</v>
      </c>
      <c r="D18" s="91" t="n">
        <v>0.5</v>
      </c>
      <c r="E18" s="91" t="n">
        <v>0.3</v>
      </c>
      <c r="F18" s="92" t="n">
        <v>0</v>
      </c>
      <c r="G18" s="92" t="n">
        <v>3</v>
      </c>
      <c r="H18" s="92" t="n">
        <v>6</v>
      </c>
    </row>
    <row r="19">
      <c r="A19" s="12" t="inlineStr">
        <is>
          <t>입찰</t>
        </is>
      </c>
      <c r="B19" s="15" t="inlineStr">
        <is>
          <t>입찰 제안서 제출·LOA 대기(NHG)</t>
        </is>
      </c>
      <c r="C19" s="91" t="n">
        <v>1</v>
      </c>
      <c r="D19" s="91" t="n">
        <v>0.5</v>
      </c>
      <c r="E19" s="91" t="n">
        <v>0.3</v>
      </c>
      <c r="F19" s="92" t="n">
        <v>0</v>
      </c>
      <c r="G19" s="92" t="n">
        <v>3</v>
      </c>
      <c r="H19" s="92" t="n">
        <v>6</v>
      </c>
    </row>
    <row r="20">
      <c r="A20" s="12" t="inlineStr">
        <is>
          <t>진행중</t>
        </is>
      </c>
      <c r="B20" s="15" t="inlineStr">
        <is>
          <t>IR 단계 "진행 중" — 협의 단계</t>
        </is>
      </c>
      <c r="C20" s="91" t="n">
        <v>1</v>
      </c>
      <c r="D20" s="91" t="n">
        <v>0.3</v>
      </c>
      <c r="E20" s="91" t="n">
        <v>0.15</v>
      </c>
      <c r="F20" s="92" t="n">
        <v>0</v>
      </c>
      <c r="G20" s="92" t="n">
        <v>3</v>
      </c>
      <c r="H20" s="92" t="n">
        <v>6</v>
      </c>
    </row>
    <row r="21">
      <c r="A21" s="12" t="inlineStr">
        <is>
          <t>접촉</t>
        </is>
      </c>
      <c r="B21" s="15" t="inlineStr">
        <is>
          <t>IR 단계 "접촉" — 초기 접촉</t>
        </is>
      </c>
      <c r="C21" s="91" t="n">
        <v>1</v>
      </c>
      <c r="D21" s="91" t="n">
        <v>0.15</v>
      </c>
      <c r="E21" s="91" t="n">
        <v>0</v>
      </c>
      <c r="F21" s="92" t="n">
        <v>0</v>
      </c>
      <c r="G21" s="92" t="n">
        <v>3</v>
      </c>
      <c r="H21" s="92" t="n">
        <v>6</v>
      </c>
    </row>
    <row r="22">
      <c r="A22" s="12" t="inlineStr">
        <is>
          <t>PoC</t>
        </is>
      </c>
      <c r="B22" s="15" t="inlineStr">
        <is>
          <t>PoC/R&amp;D 단계 — 모든 시나리오에서 매출 미반영(상방)</t>
        </is>
      </c>
      <c r="C22" s="91" t="n">
        <v>0</v>
      </c>
      <c r="D22" s="91" t="n">
        <v>0</v>
      </c>
      <c r="E22" s="91" t="n">
        <v>0</v>
      </c>
      <c r="F22" s="92" t="n">
        <v>0</v>
      </c>
      <c r="G22" s="92" t="n">
        <v>0</v>
      </c>
      <c r="H22" s="92" t="n">
        <v>0</v>
      </c>
    </row>
    <row r="23">
      <c r="A23" s="12" t="inlineStr">
        <is>
          <t>기존</t>
        </is>
      </c>
      <c r="B23" s="15" t="inlineStr">
        <is>
          <t>기존 소액 거래처·기타(2025 매출 기반)</t>
        </is>
      </c>
      <c r="C23" s="91" t="n">
        <v>1</v>
      </c>
      <c r="D23" s="91" t="n">
        <v>0.85</v>
      </c>
      <c r="E23" s="91" t="n">
        <v>0.7</v>
      </c>
      <c r="F23" s="92" t="n">
        <v>0</v>
      </c>
      <c r="G23" s="92" t="n">
        <v>0</v>
      </c>
      <c r="H23" s="92" t="n">
        <v>0</v>
      </c>
    </row>
    <row r="24">
      <c r="A24" s="12" t="inlineStr">
        <is>
          <t>신규</t>
        </is>
      </c>
      <c r="B24" s="15" t="inlineStr">
        <is>
          <t>신규 파이프라인 코호트(별도 달성률 적용)</t>
        </is>
      </c>
      <c r="C24" s="91" t="n">
        <v>1</v>
      </c>
      <c r="D24" s="91" t="n">
        <v>1</v>
      </c>
      <c r="E24" s="91" t="n">
        <v>1</v>
      </c>
      <c r="F24" s="92" t="n">
        <v>0</v>
      </c>
      <c r="G24" s="92" t="n">
        <v>0</v>
      </c>
      <c r="H24" s="92" t="n">
        <v>0</v>
      </c>
    </row>
    <row r="26">
      <c r="A26" s="22" t="inlineStr">
        <is>
          <t>시나리오 계수</t>
        </is>
      </c>
      <c r="B26" s="22" t="inlineStr">
        <is>
          <t>설명</t>
        </is>
      </c>
      <c r="C26" s="22" t="inlineStr">
        <is>
          <t>S1 경영계획(IR 정합)</t>
        </is>
      </c>
      <c r="D26" s="22" t="inlineStr">
        <is>
          <t>S2 기준(확률가중)</t>
        </is>
      </c>
      <c r="E26" s="22" t="inlineStr">
        <is>
          <t>S3 보수</t>
        </is>
      </c>
      <c r="G26" s="22" t="inlineStr">
        <is>
          <t>선택값</t>
        </is>
      </c>
    </row>
    <row r="27">
      <c r="A27" s="15" t="inlineStr">
        <is>
          <t>기존 거래처 확장 성장 배수</t>
        </is>
      </c>
      <c r="B27" s="15" t="inlineStr">
        <is>
          <t>지정 거래처 2028~30 성장률(양수)에 곱함</t>
        </is>
      </c>
      <c r="C27" s="91" t="n">
        <v>1</v>
      </c>
      <c r="D27" s="91" t="n">
        <v>0.7</v>
      </c>
      <c r="E27" s="91" t="n">
        <v>0.4</v>
      </c>
      <c r="G27" s="93">
        <f>INDEX(C27:E27,'1_요약'!$C$5)</f>
        <v>1</v>
      </c>
    </row>
    <row r="28">
      <c r="A28" s="15" t="inlineStr">
        <is>
          <t>신규 파이프라인 달성률 2028</t>
        </is>
      </c>
      <c r="B28" s="15" t="inlineStr">
        <is>
          <t>코호트·삼성채널 S1 매출 대비 반영률</t>
        </is>
      </c>
      <c r="C28" s="91" t="n">
        <v>1</v>
      </c>
      <c r="D28" s="91" t="n">
        <v>0.6</v>
      </c>
      <c r="E28" s="91" t="n">
        <v>0.35</v>
      </c>
      <c r="G28" s="93">
        <f>INDEX(C28:E28,'1_요약'!$C$5)</f>
        <v>1</v>
      </c>
    </row>
    <row r="29">
      <c r="A29" s="15" t="inlineStr">
        <is>
          <t>신규 파이프라인 달성률 2029</t>
        </is>
      </c>
      <c r="B29" s="15" t="inlineStr">
        <is>
          <t>코호트·삼성채널 S1 매출 대비 반영률</t>
        </is>
      </c>
      <c r="C29" s="91" t="n">
        <v>1</v>
      </c>
      <c r="D29" s="91" t="n">
        <v>0.45</v>
      </c>
      <c r="E29" s="91" t="n">
        <v>0.2</v>
      </c>
      <c r="G29" s="93">
        <f>INDEX(C29:E29,'1_요약'!$C$5)</f>
        <v>1</v>
      </c>
    </row>
    <row r="30">
      <c r="A30" s="15" t="inlineStr">
        <is>
          <t>신규 파이프라인 달성률 2030</t>
        </is>
      </c>
      <c r="B30" s="15" t="inlineStr">
        <is>
          <t>코호트·삼성채널 S1 매출 대비 반영률</t>
        </is>
      </c>
      <c r="C30" s="91" t="n">
        <v>1</v>
      </c>
      <c r="D30" s="91" t="n">
        <v>0.35</v>
      </c>
      <c r="E30" s="91" t="n">
        <v>0.12</v>
      </c>
      <c r="G30" s="93">
        <f>INDEX(C30:E30,'1_요약'!$C$5)</f>
        <v>1</v>
      </c>
    </row>
    <row r="31">
      <c r="A31" s="15" t="inlineStr">
        <is>
          <t>인건비 탄력도(매출 연동 비율)</t>
        </is>
      </c>
      <c r="B31" s="15" t="inlineStr">
        <is>
          <t>인원 = S1 인원 × (1 − 탄력도 + 탄력도 × 매출달성률)</t>
        </is>
      </c>
      <c r="C31" s="91" t="n">
        <v>0.75</v>
      </c>
    </row>
    <row r="32">
      <c r="A32" s="15" t="inlineStr">
        <is>
          <t>실적 확정 마지막 월(2026, 월 번호)</t>
        </is>
      </c>
      <c r="B32" s="15" t="inlineStr">
        <is>
          <t>이 월까지는 시나리오 확률·지연을 적용하지 않고 실적 그대로 반영</t>
        </is>
      </c>
      <c r="C32" s="92" t="n">
        <v>9</v>
      </c>
    </row>
    <row r="34">
      <c r="A34" s="87" t="inlineStr">
        <is>
          <t>3. 제품별 매출원가율(매출 대비)</t>
        </is>
      </c>
      <c r="B34" s="88" t="n"/>
      <c r="C34" s="88" t="n"/>
      <c r="D34" s="88" t="n"/>
      <c r="E34" s="88" t="n"/>
      <c r="F34" s="88" t="n"/>
      <c r="G34" s="88" t="n"/>
      <c r="H34" s="88" t="n"/>
      <c r="I34" s="88" t="n"/>
    </row>
    <row r="35">
      <c r="A35" s="22" t="inlineStr">
        <is>
          <t>제품</t>
        </is>
      </c>
      <c r="B35" s="22" t="inlineStr">
        <is>
          <t>코드</t>
        </is>
      </c>
      <c r="C35" s="22" t="n">
        <v>2026</v>
      </c>
      <c r="D35" s="22" t="n">
        <v>2027</v>
      </c>
      <c r="E35" s="22" t="n">
        <v>2028</v>
      </c>
      <c r="F35" s="22" t="n">
        <v>2029</v>
      </c>
      <c r="G35" s="22" t="n">
        <v>2030</v>
      </c>
      <c r="H35" s="22" t="inlineStr"/>
      <c r="I35" s="22" t="inlineStr">
        <is>
          <t>근거 · 비고</t>
        </is>
      </c>
    </row>
    <row r="36">
      <c r="A36" s="15" t="inlineStr">
        <is>
          <t>스마트 기저귀(전용 기저귀·패드, 소모품)</t>
        </is>
      </c>
      <c r="B36" s="15" t="inlineStr">
        <is>
          <t>P1</t>
        </is>
      </c>
      <c r="C36" s="94" t="n">
        <v>0.54</v>
      </c>
      <c r="D36" s="94" t="n">
        <v>0.63</v>
      </c>
      <c r="E36" s="94" t="n">
        <v>0.635</v>
      </c>
      <c r="F36" s="94" t="n">
        <v>0.635</v>
      </c>
      <c r="G36" s="94" t="n">
        <v>0.635</v>
      </c>
      <c r="I36" s="89" t="inlineStr">
        <is>
          <t>2025 실적 GM 53%(매출총이익 4.53억/매출 8.54억). 소모품(기저귀) 비중 확대에 따라 2027~ 41% 내외로 보수적 설정. Hansoms 현물출자(최대 USD 448k 상당 제품 납품) 효과는 미반영</t>
        </is>
      </c>
    </row>
    <row r="37">
      <c r="A37" s="15" t="inlineStr">
        <is>
          <t>센서·BLE 게이트웨이(하드웨어)</t>
        </is>
      </c>
      <c r="B37" s="15" t="inlineStr">
        <is>
          <t>P2</t>
        </is>
      </c>
      <c r="C37" s="94" t="n">
        <v>0.46</v>
      </c>
      <c r="D37" s="94" t="n">
        <v>0.57</v>
      </c>
      <c r="E37" s="94" t="n">
        <v>0.5600000000000001</v>
      </c>
      <c r="F37" s="94" t="n">
        <v>0.55</v>
      </c>
      <c r="G37" s="94" t="n">
        <v>0.54</v>
      </c>
    </row>
    <row r="38">
      <c r="A38" s="15" t="inlineStr">
        <is>
          <t>앱·웹 모니터링 구독(SW·AI)</t>
        </is>
      </c>
      <c r="B38" s="15" t="inlineStr">
        <is>
          <t>P3</t>
        </is>
      </c>
      <c r="C38" s="94" t="n">
        <v>0.2</v>
      </c>
      <c r="D38" s="94" t="n">
        <v>0.24</v>
      </c>
      <c r="E38" s="94" t="n">
        <v>0.23</v>
      </c>
      <c r="F38" s="94" t="n">
        <v>0.22</v>
      </c>
      <c r="G38" s="94" t="n">
        <v>0.21</v>
      </c>
    </row>
    <row r="39">
      <c r="A39" s="15" t="inlineStr">
        <is>
          <t>바이탈 모니터링 센서(60GHz, 2026 Q4 출시)</t>
        </is>
      </c>
      <c r="B39" s="15" t="inlineStr">
        <is>
          <t>P4</t>
        </is>
      </c>
      <c r="C39" s="94" t="n">
        <v>0.6</v>
      </c>
      <c r="D39" s="94" t="n">
        <v>0.6</v>
      </c>
      <c r="E39" s="94" t="n">
        <v>0.58</v>
      </c>
      <c r="F39" s="94" t="n">
        <v>0.5600000000000001</v>
      </c>
      <c r="G39" s="94" t="n">
        <v>0.54</v>
      </c>
    </row>
    <row r="40">
      <c r="A40" s="15" t="inlineStr">
        <is>
          <t>스마트 욕창 케어(2027 Q4 출시)</t>
        </is>
      </c>
      <c r="B40" s="15" t="inlineStr">
        <is>
          <t>P5</t>
        </is>
      </c>
      <c r="C40" s="94" t="n">
        <v>0.6</v>
      </c>
      <c r="D40" s="94" t="n">
        <v>0.58</v>
      </c>
      <c r="E40" s="94" t="n">
        <v>0.57</v>
      </c>
      <c r="F40" s="94" t="n">
        <v>0.55</v>
      </c>
      <c r="G40" s="94" t="n">
        <v>0.53</v>
      </c>
    </row>
    <row r="41">
      <c r="A41" s="15" t="inlineStr">
        <is>
          <t>R&amp;D·PoC 용역</t>
        </is>
      </c>
      <c r="B41" s="15" t="inlineStr">
        <is>
          <t>P6</t>
        </is>
      </c>
      <c r="C41" s="94" t="n">
        <v>0.55</v>
      </c>
      <c r="D41" s="94" t="n">
        <v>0.55</v>
      </c>
      <c r="E41" s="94" t="n">
        <v>0.55</v>
      </c>
      <c r="F41" s="94" t="n">
        <v>0.55</v>
      </c>
      <c r="G41" s="94" t="n">
        <v>0.55</v>
      </c>
    </row>
    <row r="42">
      <c r="A42" s="15" t="inlineStr">
        <is>
          <t>운영성 매출원가(물류·관세·보증·클라우드)</t>
        </is>
      </c>
      <c r="B42" s="15" t="inlineStr">
        <is>
          <t>전체 매출 대비</t>
        </is>
      </c>
      <c r="C42" s="94" t="n">
        <v>0.015</v>
      </c>
      <c r="D42" s="94" t="n">
        <v>0.025</v>
      </c>
      <c r="E42" s="94" t="n">
        <v>0.03</v>
      </c>
      <c r="F42" s="94" t="n">
        <v>0.035</v>
      </c>
      <c r="G42" s="94" t="n">
        <v>0.035</v>
      </c>
    </row>
    <row r="44">
      <c r="A44" s="87" t="inlineStr">
        <is>
          <t>4. 거래처 유형별 제품 믹스(매출 대비 %, 프로파일 × 제품 × 연도)</t>
        </is>
      </c>
      <c r="B44" s="88" t="n"/>
      <c r="C44" s="88" t="n"/>
      <c r="D44" s="88" t="n"/>
      <c r="E44" s="88" t="n"/>
      <c r="F44" s="88" t="n"/>
      <c r="G44" s="88" t="n"/>
      <c r="H44" s="88" t="n"/>
      <c r="I44" s="88" t="n"/>
    </row>
    <row r="45">
      <c r="A45" s="22" t="inlineStr">
        <is>
          <t>프로파일|제품</t>
        </is>
      </c>
      <c r="B45" s="22" t="inlineStr">
        <is>
          <t>설명</t>
        </is>
      </c>
      <c r="C45" s="22" t="n">
        <v>2026</v>
      </c>
      <c r="D45" s="22" t="n">
        <v>2027</v>
      </c>
      <c r="E45" s="22" t="n">
        <v>2028</v>
      </c>
      <c r="F45" s="22" t="n">
        <v>2029</v>
      </c>
      <c r="G45" s="22" t="n">
        <v>2030</v>
      </c>
      <c r="H45" s="22" t="inlineStr"/>
      <c r="I45" s="22" t="inlineStr">
        <is>
          <t>근거 · 비고</t>
        </is>
      </c>
    </row>
    <row r="46">
      <c r="A46" s="15" t="inlineStr">
        <is>
          <t>SUB|P1</t>
        </is>
      </c>
      <c r="B46" s="15" t="inlineStr">
        <is>
          <t>정액 구독형(시설·정부·기관) — 스마트 기저귀(전용 기저귀·패드, 소모품)</t>
        </is>
      </c>
      <c r="C46" s="64" t="n">
        <v>0.8</v>
      </c>
      <c r="D46" s="64" t="n">
        <v>0.78</v>
      </c>
      <c r="E46" s="64" t="n">
        <v>0.74</v>
      </c>
      <c r="F46" s="64" t="n">
        <v>0.7</v>
      </c>
      <c r="G46" s="64" t="n">
        <v>0.67</v>
      </c>
    </row>
    <row r="47">
      <c r="A47" s="15" t="inlineStr">
        <is>
          <t>SUB|P2</t>
        </is>
      </c>
      <c r="B47" s="15" t="inlineStr">
        <is>
          <t>정액 구독형(시설·정부·기관) — 센서·BLE 게이트웨이(하드웨어)</t>
        </is>
      </c>
      <c r="C47" s="64" t="n">
        <v>0.08</v>
      </c>
      <c r="D47" s="64" t="n">
        <v>0.08</v>
      </c>
      <c r="E47" s="64" t="n">
        <v>0.08</v>
      </c>
      <c r="F47" s="64" t="n">
        <v>0.08</v>
      </c>
      <c r="G47" s="64" t="n">
        <v>0.08</v>
      </c>
    </row>
    <row r="48">
      <c r="A48" s="15" t="inlineStr">
        <is>
          <t>SUB|P3</t>
        </is>
      </c>
      <c r="B48" s="15" t="inlineStr">
        <is>
          <t>정액 구독형(시설·정부·기관) — 앱·웹 모니터링 구독(SW·AI)</t>
        </is>
      </c>
      <c r="C48" s="64" t="n">
        <v>0.12</v>
      </c>
      <c r="D48" s="64" t="n">
        <v>0.11</v>
      </c>
      <c r="E48" s="64" t="n">
        <v>0.12</v>
      </c>
      <c r="F48" s="64" t="n">
        <v>0.12</v>
      </c>
      <c r="G48" s="64" t="n">
        <v>0.12</v>
      </c>
    </row>
    <row r="49">
      <c r="A49" s="15" t="inlineStr">
        <is>
          <t>SUB|P4</t>
        </is>
      </c>
      <c r="B49" s="15" t="inlineStr">
        <is>
          <t>정액 구독형(시설·정부·기관) — 바이탈 모니터링 센서(60GHz, 2026 Q4 출시)</t>
        </is>
      </c>
      <c r="C49" s="64" t="n">
        <v>0</v>
      </c>
      <c r="D49" s="64" t="n">
        <v>0.03</v>
      </c>
      <c r="E49" s="64" t="n">
        <v>0.05</v>
      </c>
      <c r="F49" s="64" t="n">
        <v>0.07000000000000001</v>
      </c>
      <c r="G49" s="64" t="n">
        <v>0.09</v>
      </c>
    </row>
    <row r="50">
      <c r="A50" s="15" t="inlineStr">
        <is>
          <t>SUB|P5</t>
        </is>
      </c>
      <c r="B50" s="15" t="inlineStr">
        <is>
          <t>정액 구독형(시설·정부·기관) — 스마트 욕창 케어(2027 Q4 출시)</t>
        </is>
      </c>
      <c r="C50" s="64" t="n">
        <v>0</v>
      </c>
      <c r="D50" s="64" t="n">
        <v>0</v>
      </c>
      <c r="E50" s="64" t="n">
        <v>0.01</v>
      </c>
      <c r="F50" s="64" t="n">
        <v>0.03</v>
      </c>
      <c r="G50" s="64" t="n">
        <v>0.04</v>
      </c>
    </row>
    <row r="51">
      <c r="A51" s="15" t="inlineStr">
        <is>
          <t>SUB|P6</t>
        </is>
      </c>
      <c r="B51" s="15" t="inlineStr">
        <is>
          <t>정액 구독형(시설·정부·기관) — R&amp;D·PoC 용역</t>
        </is>
      </c>
      <c r="C51" s="64" t="n">
        <v>0</v>
      </c>
      <c r="D51" s="64" t="n">
        <v>0</v>
      </c>
      <c r="E51" s="64" t="n">
        <v>0</v>
      </c>
      <c r="F51" s="64" t="n">
        <v>0</v>
      </c>
      <c r="G51" s="64" t="n">
        <v>0</v>
      </c>
    </row>
    <row r="52">
      <c r="A52" s="15" t="inlineStr">
        <is>
          <t>NHIS|P1</t>
        </is>
      </c>
      <c r="B52" s="15" t="inlineStr">
        <is>
          <t>복지용구(기저귀센서 급여) — 센서·스티커 중심 — 스마트 기저귀(전용 기저귀·패드, 소모품)</t>
        </is>
      </c>
      <c r="C52" s="64" t="n">
        <v>0.35</v>
      </c>
      <c r="D52" s="64" t="n">
        <v>0.35</v>
      </c>
      <c r="E52" s="64" t="n">
        <v>0.33</v>
      </c>
      <c r="F52" s="64" t="n">
        <v>0.31</v>
      </c>
      <c r="G52" s="64" t="n">
        <v>0.3</v>
      </c>
    </row>
    <row r="53">
      <c r="A53" s="15" t="inlineStr">
        <is>
          <t>NHIS|P2</t>
        </is>
      </c>
      <c r="B53" s="15" t="inlineStr">
        <is>
          <t>복지용구(기저귀센서 급여) — 센서·스티커 중심 — 센서·BLE 게이트웨이(하드웨어)</t>
        </is>
      </c>
      <c r="C53" s="64" t="n">
        <v>0.5</v>
      </c>
      <c r="D53" s="64" t="n">
        <v>0.5</v>
      </c>
      <c r="E53" s="64" t="n">
        <v>0.48</v>
      </c>
      <c r="F53" s="64" t="n">
        <v>0.46</v>
      </c>
      <c r="G53" s="64" t="n">
        <v>0.45</v>
      </c>
    </row>
    <row r="54">
      <c r="A54" s="15" t="inlineStr">
        <is>
          <t>NHIS|P3</t>
        </is>
      </c>
      <c r="B54" s="15" t="inlineStr">
        <is>
          <t>복지용구(기저귀센서 급여) — 센서·스티커 중심 — 앱·웹 모니터링 구독(SW·AI)</t>
        </is>
      </c>
      <c r="C54" s="64" t="n">
        <v>0.15</v>
      </c>
      <c r="D54" s="64" t="n">
        <v>0.15</v>
      </c>
      <c r="E54" s="64" t="n">
        <v>0.15</v>
      </c>
      <c r="F54" s="64" t="n">
        <v>0.15</v>
      </c>
      <c r="G54" s="64" t="n">
        <v>0.15</v>
      </c>
    </row>
    <row r="55">
      <c r="A55" s="15" t="inlineStr">
        <is>
          <t>NHIS|P4</t>
        </is>
      </c>
      <c r="B55" s="15" t="inlineStr">
        <is>
          <t>복지용구(기저귀센서 급여) — 센서·스티커 중심 — 바이탈 모니터링 센서(60GHz, 2026 Q4 출시)</t>
        </is>
      </c>
      <c r="C55" s="64" t="n">
        <v>0</v>
      </c>
      <c r="D55" s="64" t="n">
        <v>0</v>
      </c>
      <c r="E55" s="64" t="n">
        <v>0.02</v>
      </c>
      <c r="F55" s="64" t="n">
        <v>0.04</v>
      </c>
      <c r="G55" s="64" t="n">
        <v>0.05</v>
      </c>
    </row>
    <row r="56">
      <c r="A56" s="15" t="inlineStr">
        <is>
          <t>NHIS|P5</t>
        </is>
      </c>
      <c r="B56" s="15" t="inlineStr">
        <is>
          <t>복지용구(기저귀센서 급여) — 센서·스티커 중심 — 스마트 욕창 케어(2027 Q4 출시)</t>
        </is>
      </c>
      <c r="C56" s="64" t="n">
        <v>0</v>
      </c>
      <c r="D56" s="64" t="n">
        <v>0</v>
      </c>
      <c r="E56" s="64" t="n">
        <v>0.02</v>
      </c>
      <c r="F56" s="64" t="n">
        <v>0.04</v>
      </c>
      <c r="G56" s="64" t="n">
        <v>0.05</v>
      </c>
    </row>
    <row r="57">
      <c r="A57" s="15" t="inlineStr">
        <is>
          <t>NHIS|P6</t>
        </is>
      </c>
      <c r="B57" s="15" t="inlineStr">
        <is>
          <t>복지용구(기저귀센서 급여) — 센서·스티커 중심 — R&amp;D·PoC 용역</t>
        </is>
      </c>
      <c r="C57" s="64" t="n">
        <v>0</v>
      </c>
      <c r="D57" s="64" t="n">
        <v>0</v>
      </c>
      <c r="E57" s="64" t="n">
        <v>0</v>
      </c>
      <c r="F57" s="64" t="n">
        <v>0</v>
      </c>
      <c r="G57" s="64" t="n">
        <v>0</v>
      </c>
    </row>
    <row r="58">
      <c r="A58" s="15" t="inlineStr">
        <is>
          <t>DIST|P1</t>
        </is>
      </c>
      <c r="B58" s="15" t="inlineStr">
        <is>
          <t>총판 공급형(소모품+센서) — 스마트 기저귀(전용 기저귀·패드, 소모품)</t>
        </is>
      </c>
      <c r="C58" s="64" t="n">
        <v>0.62</v>
      </c>
      <c r="D58" s="64" t="n">
        <v>0.62</v>
      </c>
      <c r="E58" s="64" t="n">
        <v>0.6</v>
      </c>
      <c r="F58" s="64" t="n">
        <v>0.58</v>
      </c>
      <c r="G58" s="64" t="n">
        <v>0.5600000000000001</v>
      </c>
    </row>
    <row r="59">
      <c r="A59" s="15" t="inlineStr">
        <is>
          <t>DIST|P2</t>
        </is>
      </c>
      <c r="B59" s="15" t="inlineStr">
        <is>
          <t>총판 공급형(소모품+센서) — 센서·BLE 게이트웨이(하드웨어)</t>
        </is>
      </c>
      <c r="C59" s="64" t="n">
        <v>0.28</v>
      </c>
      <c r="D59" s="64" t="n">
        <v>0.26</v>
      </c>
      <c r="E59" s="64" t="n">
        <v>0.24</v>
      </c>
      <c r="F59" s="64" t="n">
        <v>0.22</v>
      </c>
      <c r="G59" s="64" t="n">
        <v>0.2</v>
      </c>
    </row>
    <row r="60">
      <c r="A60" s="15" t="inlineStr">
        <is>
          <t>DIST|P3</t>
        </is>
      </c>
      <c r="B60" s="15" t="inlineStr">
        <is>
          <t>총판 공급형(소모품+센서) — 앱·웹 모니터링 구독(SW·AI)</t>
        </is>
      </c>
      <c r="C60" s="64" t="n">
        <v>0.1</v>
      </c>
      <c r="D60" s="64" t="n">
        <v>0.09</v>
      </c>
      <c r="E60" s="64" t="n">
        <v>0.1</v>
      </c>
      <c r="F60" s="64" t="n">
        <v>0.1</v>
      </c>
      <c r="G60" s="64" t="n">
        <v>0.1</v>
      </c>
    </row>
    <row r="61">
      <c r="A61" s="15" t="inlineStr">
        <is>
          <t>DIST|P4</t>
        </is>
      </c>
      <c r="B61" s="15" t="inlineStr">
        <is>
          <t>총판 공급형(소모품+센서) — 바이탈 모니터링 센서(60GHz, 2026 Q4 출시)</t>
        </is>
      </c>
      <c r="C61" s="64" t="n">
        <v>0</v>
      </c>
      <c r="D61" s="64" t="n">
        <v>0.03</v>
      </c>
      <c r="E61" s="64" t="n">
        <v>0.05</v>
      </c>
      <c r="F61" s="64" t="n">
        <v>0.07000000000000001</v>
      </c>
      <c r="G61" s="64" t="n">
        <v>0.09</v>
      </c>
    </row>
    <row r="62">
      <c r="A62" s="15" t="inlineStr">
        <is>
          <t>DIST|P5</t>
        </is>
      </c>
      <c r="B62" s="15" t="inlineStr">
        <is>
          <t>총판 공급형(소모품+센서) — 스마트 욕창 케어(2027 Q4 출시)</t>
        </is>
      </c>
      <c r="C62" s="64" t="n">
        <v>0</v>
      </c>
      <c r="D62" s="64" t="n">
        <v>0</v>
      </c>
      <c r="E62" s="64" t="n">
        <v>0.01</v>
      </c>
      <c r="F62" s="64" t="n">
        <v>0.03</v>
      </c>
      <c r="G62" s="64" t="n">
        <v>0.05</v>
      </c>
    </row>
    <row r="63">
      <c r="A63" s="15" t="inlineStr">
        <is>
          <t>DIST|P6</t>
        </is>
      </c>
      <c r="B63" s="15" t="inlineStr">
        <is>
          <t>총판 공급형(소모품+센서) — R&amp;D·PoC 용역</t>
        </is>
      </c>
      <c r="C63" s="64" t="n">
        <v>0</v>
      </c>
      <c r="D63" s="64" t="n">
        <v>0</v>
      </c>
      <c r="E63" s="64" t="n">
        <v>0</v>
      </c>
      <c r="F63" s="64" t="n">
        <v>0</v>
      </c>
      <c r="G63" s="64" t="n">
        <v>0</v>
      </c>
    </row>
    <row r="64">
      <c r="A64" s="15" t="inlineStr">
        <is>
          <t>BABY|P1</t>
        </is>
      </c>
      <c r="B64" s="15" t="inlineStr">
        <is>
          <t>베이비 B2C 구독 — 스마트 기저귀(전용 기저귀·패드, 소모품)</t>
        </is>
      </c>
      <c r="C64" s="64" t="n">
        <v>0.85</v>
      </c>
      <c r="D64" s="64" t="n">
        <v>0.85</v>
      </c>
      <c r="E64" s="64" t="n">
        <v>0.85</v>
      </c>
      <c r="F64" s="64" t="n">
        <v>0.85</v>
      </c>
      <c r="G64" s="64" t="n">
        <v>0.85</v>
      </c>
    </row>
    <row r="65">
      <c r="A65" s="15" t="inlineStr">
        <is>
          <t>BABY|P2</t>
        </is>
      </c>
      <c r="B65" s="15" t="inlineStr">
        <is>
          <t>베이비 B2C 구독 — 센서·BLE 게이트웨이(하드웨어)</t>
        </is>
      </c>
      <c r="C65" s="64" t="n">
        <v>0.05</v>
      </c>
      <c r="D65" s="64" t="n">
        <v>0.05</v>
      </c>
      <c r="E65" s="64" t="n">
        <v>0.05</v>
      </c>
      <c r="F65" s="64" t="n">
        <v>0.05</v>
      </c>
      <c r="G65" s="64" t="n">
        <v>0.05</v>
      </c>
    </row>
    <row r="66">
      <c r="A66" s="15" t="inlineStr">
        <is>
          <t>BABY|P3</t>
        </is>
      </c>
      <c r="B66" s="15" t="inlineStr">
        <is>
          <t>베이비 B2C 구독 — 앱·웹 모니터링 구독(SW·AI)</t>
        </is>
      </c>
      <c r="C66" s="64" t="n">
        <v>0.1</v>
      </c>
      <c r="D66" s="64" t="n">
        <v>0.1</v>
      </c>
      <c r="E66" s="64" t="n">
        <v>0.1</v>
      </c>
      <c r="F66" s="64" t="n">
        <v>0.1</v>
      </c>
      <c r="G66" s="64" t="n">
        <v>0.1</v>
      </c>
    </row>
    <row r="67">
      <c r="A67" s="15" t="inlineStr">
        <is>
          <t>BABY|P4</t>
        </is>
      </c>
      <c r="B67" s="15" t="inlineStr">
        <is>
          <t>베이비 B2C 구독 — 바이탈 모니터링 센서(60GHz, 2026 Q4 출시)</t>
        </is>
      </c>
      <c r="C67" s="64" t="n">
        <v>0</v>
      </c>
      <c r="D67" s="64" t="n">
        <v>0</v>
      </c>
      <c r="E67" s="64" t="n">
        <v>0</v>
      </c>
      <c r="F67" s="64" t="n">
        <v>0</v>
      </c>
      <c r="G67" s="64" t="n">
        <v>0</v>
      </c>
    </row>
    <row r="68">
      <c r="A68" s="15" t="inlineStr">
        <is>
          <t>BABY|P5</t>
        </is>
      </c>
      <c r="B68" s="15" t="inlineStr">
        <is>
          <t>베이비 B2C 구독 — 스마트 욕창 케어(2027 Q4 출시)</t>
        </is>
      </c>
      <c r="C68" s="64" t="n">
        <v>0</v>
      </c>
      <c r="D68" s="64" t="n">
        <v>0</v>
      </c>
      <c r="E68" s="64" t="n">
        <v>0</v>
      </c>
      <c r="F68" s="64" t="n">
        <v>0</v>
      </c>
      <c r="G68" s="64" t="n">
        <v>0</v>
      </c>
    </row>
    <row r="69">
      <c r="A69" s="15" t="inlineStr">
        <is>
          <t>BABY|P6</t>
        </is>
      </c>
      <c r="B69" s="15" t="inlineStr">
        <is>
          <t>베이비 B2C 구독 — R&amp;D·PoC 용역</t>
        </is>
      </c>
      <c r="C69" s="64" t="n">
        <v>0</v>
      </c>
      <c r="D69" s="64" t="n">
        <v>0</v>
      </c>
      <c r="E69" s="64" t="n">
        <v>0</v>
      </c>
      <c r="F69" s="64" t="n">
        <v>0</v>
      </c>
      <c r="G69" s="64" t="n">
        <v>0</v>
      </c>
    </row>
    <row r="70">
      <c r="A70" s="15" t="inlineStr">
        <is>
          <t>HWPROJ|P1</t>
        </is>
      </c>
      <c r="B70" s="15" t="inlineStr">
        <is>
          <t>병원 하드웨어 프로젝트(NHG) — 스마트 기저귀(전용 기저귀·패드, 소모품)</t>
        </is>
      </c>
      <c r="C70" s="64" t="n">
        <v>0</v>
      </c>
      <c r="D70" s="64" t="n">
        <v>0</v>
      </c>
      <c r="E70" s="64" t="n">
        <v>0</v>
      </c>
      <c r="F70" s="64" t="n">
        <v>0</v>
      </c>
      <c r="G70" s="64" t="n">
        <v>0</v>
      </c>
    </row>
    <row r="71">
      <c r="A71" s="15" t="inlineStr">
        <is>
          <t>HWPROJ|P2</t>
        </is>
      </c>
      <c r="B71" s="15" t="inlineStr">
        <is>
          <t>병원 하드웨어 프로젝트(NHG) — 센서·BLE 게이트웨이(하드웨어)</t>
        </is>
      </c>
      <c r="C71" s="64" t="n">
        <v>0.7</v>
      </c>
      <c r="D71" s="64" t="n">
        <v>0.7</v>
      </c>
      <c r="E71" s="64" t="n">
        <v>0.7</v>
      </c>
      <c r="F71" s="64" t="n">
        <v>0.7</v>
      </c>
      <c r="G71" s="64" t="n">
        <v>0.7</v>
      </c>
    </row>
    <row r="72">
      <c r="A72" s="15" t="inlineStr">
        <is>
          <t>HWPROJ|P3</t>
        </is>
      </c>
      <c r="B72" s="15" t="inlineStr">
        <is>
          <t>병원 하드웨어 프로젝트(NHG) — 앱·웹 모니터링 구독(SW·AI)</t>
        </is>
      </c>
      <c r="C72" s="64" t="n">
        <v>0.15</v>
      </c>
      <c r="D72" s="64" t="n">
        <v>0.15</v>
      </c>
      <c r="E72" s="64" t="n">
        <v>0.15</v>
      </c>
      <c r="F72" s="64" t="n">
        <v>0.15</v>
      </c>
      <c r="G72" s="64" t="n">
        <v>0.15</v>
      </c>
    </row>
    <row r="73">
      <c r="A73" s="15" t="inlineStr">
        <is>
          <t>HWPROJ|P4</t>
        </is>
      </c>
      <c r="B73" s="15" t="inlineStr">
        <is>
          <t>병원 하드웨어 프로젝트(NHG) — 바이탈 모니터링 센서(60GHz, 2026 Q4 출시)</t>
        </is>
      </c>
      <c r="C73" s="64" t="n">
        <v>0</v>
      </c>
      <c r="D73" s="64" t="n">
        <v>0</v>
      </c>
      <c r="E73" s="64" t="n">
        <v>0</v>
      </c>
      <c r="F73" s="64" t="n">
        <v>0</v>
      </c>
      <c r="G73" s="64" t="n">
        <v>0</v>
      </c>
    </row>
    <row r="74">
      <c r="A74" s="15" t="inlineStr">
        <is>
          <t>HWPROJ|P5</t>
        </is>
      </c>
      <c r="B74" s="15" t="inlineStr">
        <is>
          <t>병원 하드웨어 프로젝트(NHG) — 스마트 욕창 케어(2027 Q4 출시)</t>
        </is>
      </c>
      <c r="C74" s="64" t="n">
        <v>0</v>
      </c>
      <c r="D74" s="64" t="n">
        <v>0</v>
      </c>
      <c r="E74" s="64" t="n">
        <v>0</v>
      </c>
      <c r="F74" s="64" t="n">
        <v>0</v>
      </c>
      <c r="G74" s="64" t="n">
        <v>0</v>
      </c>
    </row>
    <row r="75">
      <c r="A75" s="15" t="inlineStr">
        <is>
          <t>HWPROJ|P6</t>
        </is>
      </c>
      <c r="B75" s="15" t="inlineStr">
        <is>
          <t>병원 하드웨어 프로젝트(NHG) — R&amp;D·PoC 용역</t>
        </is>
      </c>
      <c r="C75" s="64" t="n">
        <v>0.15</v>
      </c>
      <c r="D75" s="64" t="n">
        <v>0.15</v>
      </c>
      <c r="E75" s="64" t="n">
        <v>0.15</v>
      </c>
      <c r="F75" s="64" t="n">
        <v>0.15</v>
      </c>
      <c r="G75" s="64" t="n">
        <v>0.15</v>
      </c>
    </row>
    <row r="76">
      <c r="A76" s="15" t="inlineStr">
        <is>
          <t>RND|P1</t>
        </is>
      </c>
      <c r="B76" s="15" t="inlineStr">
        <is>
          <t>R&amp;D·PoC 용역 — 스마트 기저귀(전용 기저귀·패드, 소모품)</t>
        </is>
      </c>
      <c r="C76" s="64" t="n">
        <v>0</v>
      </c>
      <c r="D76" s="64" t="n">
        <v>0</v>
      </c>
      <c r="E76" s="64" t="n">
        <v>0</v>
      </c>
      <c r="F76" s="64" t="n">
        <v>0</v>
      </c>
      <c r="G76" s="64" t="n">
        <v>0</v>
      </c>
    </row>
    <row r="77">
      <c r="A77" s="15" t="inlineStr">
        <is>
          <t>RND|P2</t>
        </is>
      </c>
      <c r="B77" s="15" t="inlineStr">
        <is>
          <t>R&amp;D·PoC 용역 — 센서·BLE 게이트웨이(하드웨어)</t>
        </is>
      </c>
      <c r="C77" s="64" t="n">
        <v>0</v>
      </c>
      <c r="D77" s="64" t="n">
        <v>0</v>
      </c>
      <c r="E77" s="64" t="n">
        <v>0</v>
      </c>
      <c r="F77" s="64" t="n">
        <v>0</v>
      </c>
      <c r="G77" s="64" t="n">
        <v>0</v>
      </c>
    </row>
    <row r="78">
      <c r="A78" s="15" t="inlineStr">
        <is>
          <t>RND|P3</t>
        </is>
      </c>
      <c r="B78" s="15" t="inlineStr">
        <is>
          <t>R&amp;D·PoC 용역 — 앱·웹 모니터링 구독(SW·AI)</t>
        </is>
      </c>
      <c r="C78" s="64" t="n">
        <v>0</v>
      </c>
      <c r="D78" s="64" t="n">
        <v>0</v>
      </c>
      <c r="E78" s="64" t="n">
        <v>0</v>
      </c>
      <c r="F78" s="64" t="n">
        <v>0</v>
      </c>
      <c r="G78" s="64" t="n">
        <v>0</v>
      </c>
    </row>
    <row r="79">
      <c r="A79" s="15" t="inlineStr">
        <is>
          <t>RND|P4</t>
        </is>
      </c>
      <c r="B79" s="15" t="inlineStr">
        <is>
          <t>R&amp;D·PoC 용역 — 바이탈 모니터링 센서(60GHz, 2026 Q4 출시)</t>
        </is>
      </c>
      <c r="C79" s="64" t="n">
        <v>0</v>
      </c>
      <c r="D79" s="64" t="n">
        <v>0</v>
      </c>
      <c r="E79" s="64" t="n">
        <v>0</v>
      </c>
      <c r="F79" s="64" t="n">
        <v>0</v>
      </c>
      <c r="G79" s="64" t="n">
        <v>0</v>
      </c>
    </row>
    <row r="80">
      <c r="A80" s="15" t="inlineStr">
        <is>
          <t>RND|P5</t>
        </is>
      </c>
      <c r="B80" s="15" t="inlineStr">
        <is>
          <t>R&amp;D·PoC 용역 — 스마트 욕창 케어(2027 Q4 출시)</t>
        </is>
      </c>
      <c r="C80" s="64" t="n">
        <v>0</v>
      </c>
      <c r="D80" s="64" t="n">
        <v>0</v>
      </c>
      <c r="E80" s="64" t="n">
        <v>0</v>
      </c>
      <c r="F80" s="64" t="n">
        <v>0</v>
      </c>
      <c r="G80" s="64" t="n">
        <v>0</v>
      </c>
    </row>
    <row r="81">
      <c r="A81" s="15" t="inlineStr">
        <is>
          <t>RND|P6</t>
        </is>
      </c>
      <c r="B81" s="15" t="inlineStr">
        <is>
          <t>R&amp;D·PoC 용역 — R&amp;D·PoC 용역</t>
        </is>
      </c>
      <c r="C81" s="64" t="n">
        <v>1</v>
      </c>
      <c r="D81" s="64" t="n">
        <v>1</v>
      </c>
      <c r="E81" s="64" t="n">
        <v>1</v>
      </c>
      <c r="F81" s="64" t="n">
        <v>1</v>
      </c>
      <c r="G81" s="64" t="n">
        <v>1</v>
      </c>
    </row>
    <row r="82">
      <c r="A82" s="15" t="inlineStr">
        <is>
          <t>COH|P1</t>
        </is>
      </c>
      <c r="B82" s="15" t="inlineStr">
        <is>
          <t>신규 파이프라인(신제품 비중 확대) — 스마트 기저귀(전용 기저귀·패드, 소모품)</t>
        </is>
      </c>
      <c r="C82" s="64" t="n">
        <v>0.66</v>
      </c>
      <c r="D82" s="64" t="n">
        <v>0.66</v>
      </c>
      <c r="E82" s="64" t="n">
        <v>0.66</v>
      </c>
      <c r="F82" s="64" t="n">
        <v>0.6</v>
      </c>
      <c r="G82" s="64" t="n">
        <v>0.5600000000000001</v>
      </c>
    </row>
    <row r="83">
      <c r="A83" s="15" t="inlineStr">
        <is>
          <t>COH|P2</t>
        </is>
      </c>
      <c r="B83" s="15" t="inlineStr">
        <is>
          <t>신규 파이프라인(신제품 비중 확대) — 센서·BLE 게이트웨이(하드웨어)</t>
        </is>
      </c>
      <c r="C83" s="64" t="n">
        <v>0.1</v>
      </c>
      <c r="D83" s="64" t="n">
        <v>0.1</v>
      </c>
      <c r="E83" s="64" t="n">
        <v>0.1</v>
      </c>
      <c r="F83" s="64" t="n">
        <v>0.11</v>
      </c>
      <c r="G83" s="64" t="n">
        <v>0.11</v>
      </c>
    </row>
    <row r="84">
      <c r="A84" s="15" t="inlineStr">
        <is>
          <t>COH|P3</t>
        </is>
      </c>
      <c r="B84" s="15" t="inlineStr">
        <is>
          <t>신규 파이프라인(신제품 비중 확대) — 앱·웹 모니터링 구독(SW·AI)</t>
        </is>
      </c>
      <c r="C84" s="64" t="n">
        <v>0.12</v>
      </c>
      <c r="D84" s="64" t="n">
        <v>0.12</v>
      </c>
      <c r="E84" s="64" t="n">
        <v>0.12</v>
      </c>
      <c r="F84" s="64" t="n">
        <v>0.12</v>
      </c>
      <c r="G84" s="64" t="n">
        <v>0.12</v>
      </c>
    </row>
    <row r="85">
      <c r="A85" s="15" t="inlineStr">
        <is>
          <t>COH|P4</t>
        </is>
      </c>
      <c r="B85" s="15" t="inlineStr">
        <is>
          <t>신규 파이프라인(신제품 비중 확대) — 바이탈 모니터링 센서(60GHz, 2026 Q4 출시)</t>
        </is>
      </c>
      <c r="C85" s="64" t="n">
        <v>0.08</v>
      </c>
      <c r="D85" s="64" t="n">
        <v>0.08</v>
      </c>
      <c r="E85" s="64" t="n">
        <v>0.08</v>
      </c>
      <c r="F85" s="64" t="n">
        <v>0.11</v>
      </c>
      <c r="G85" s="64" t="n">
        <v>0.13</v>
      </c>
    </row>
    <row r="86">
      <c r="A86" s="15" t="inlineStr">
        <is>
          <t>COH|P5</t>
        </is>
      </c>
      <c r="B86" s="15" t="inlineStr">
        <is>
          <t>신규 파이프라인(신제품 비중 확대) — 스마트 욕창 케어(2027 Q4 출시)</t>
        </is>
      </c>
      <c r="C86" s="64" t="n">
        <v>0.02</v>
      </c>
      <c r="D86" s="64" t="n">
        <v>0.02</v>
      </c>
      <c r="E86" s="64" t="n">
        <v>0.02</v>
      </c>
      <c r="F86" s="64" t="n">
        <v>0.04</v>
      </c>
      <c r="G86" s="64" t="n">
        <v>0.06</v>
      </c>
    </row>
    <row r="87">
      <c r="A87" s="15" t="inlineStr">
        <is>
          <t>COH|P6</t>
        </is>
      </c>
      <c r="B87" s="15" t="inlineStr">
        <is>
          <t>신규 파이프라인(신제품 비중 확대) — R&amp;D·PoC 용역</t>
        </is>
      </c>
      <c r="C87" s="64" t="n">
        <v>0.02</v>
      </c>
      <c r="D87" s="64" t="n">
        <v>0.02</v>
      </c>
      <c r="E87" s="64" t="n">
        <v>0.02</v>
      </c>
      <c r="F87" s="64" t="n">
        <v>0.02</v>
      </c>
      <c r="G87" s="64" t="n">
        <v>0.02</v>
      </c>
    </row>
    <row r="88">
      <c r="A88" s="12" t="inlineStr">
        <is>
          <t>믹스 합계 점검(각 프로파일·연도 100%)</t>
        </is>
      </c>
      <c r="C88" s="12" t="str">
        <f>IF(AND(ABS(SUM(C46:C51)-1)&lt;0.0001,ABS(SUM(D46:D51)-1)&lt;0.0001,ABS(SUM(E46:E51)-1)&lt;0.0001,ABS(SUM(F46:F51)-1)&lt;0.0001,ABS(SUM(G46:G51)-1)&lt;0.0001,ABS(SUM(C52:C57)-1)&lt;0.0001,ABS(SUM(D52:D57)-1)&lt;0.0001,ABS(SUM(E52:E57)-1)&lt;0.0001,ABS(SUM(F52:F57)-1)&lt;0.0001,ABS(SUM(G52:G57)-1)&lt;0.0001,ABS(SUM(C58:C63)-1)&lt;0.0001,ABS(SUM(D58:D63)-1)&lt;0.0001,ABS(SUM(E58:E63)-1)&lt;0.0001,ABS(SUM(F58:F63)-1)&lt;0.0001,ABS(SUM(G58:G63)-1)&lt;0.0001,ABS(SUM(C64:C69)-1)&lt;0.0001,ABS(SUM(D64:D69)-1)&lt;0.0001,ABS(SUM(E64:E69)-1)&lt;0.0001,ABS(SUM(F64:F69)-1)&lt;0.0001,ABS(SUM(G64:G69)-1)&lt;0.0001,ABS(SUM(C70:C75)-1)&lt;0.0001,ABS(SUM(D70:D75)-1)&lt;0.0001,ABS(SUM(E70:E75)-1)&lt;0.0001,ABS(SUM(F70:F75)-1)&lt;0.0001,ABS(SUM(G70:G75)-1)&lt;0.0001,ABS(SUM(C76:C81)-1)&lt;0.0001,ABS(SUM(D76:D81)-1)&lt;0.0001,ABS(SUM(E76:E81)-1)&lt;0.0001,ABS(SUM(F76:F81)-1)&lt;0.0001,ABS(SUM(G76:G81)-1)&lt;0.0001,ABS(SUM(C82:C87)-1)&lt;0.0001,ABS(SUM(D82:D87)-1)&lt;0.0001,ABS(SUM(E82:E87)-1)&lt;0.0001,ABS(SUM(F82:F87)-1)&lt;0.0001,ABS(SUM(G82:G87)-1)&lt;0.0001),"OK","확인")</f>
        <v>OK</v>
      </c>
    </row>
    <row r="90">
      <c r="A90" s="87" t="inlineStr">
        <is>
          <t>5. 판매비와관리비 가정</t>
        </is>
      </c>
      <c r="B90" s="88" t="n"/>
      <c r="C90" s="88" t="n"/>
      <c r="D90" s="88" t="n"/>
      <c r="E90" s="88" t="n"/>
      <c r="F90" s="88" t="n"/>
      <c r="G90" s="88" t="n"/>
      <c r="H90" s="88" t="n"/>
      <c r="I90" s="88" t="n"/>
    </row>
    <row r="91">
      <c r="A91" s="22" t="inlineStr">
        <is>
          <t>구분</t>
        </is>
      </c>
      <c r="B91" s="22" t="inlineStr">
        <is>
          <t>설명</t>
        </is>
      </c>
      <c r="C91" s="22" t="n">
        <v>2026</v>
      </c>
      <c r="D91" s="22" t="n">
        <v>2027</v>
      </c>
      <c r="E91" s="22" t="n">
        <v>2028</v>
      </c>
      <c r="F91" s="22" t="n">
        <v>2029</v>
      </c>
      <c r="G91" s="22" t="n">
        <v>2030</v>
      </c>
      <c r="H91" s="22" t="inlineStr"/>
      <c r="I91" s="95" t="inlineStr">
        <is>
          <t>급상여대장 2026-09: 7명, 지급합계 39,688,891원(대표 13,688,890원 + 직원 6명 26,000,001원)</t>
        </is>
      </c>
    </row>
    <row r="92">
      <c r="A92" s="15" t="inlineStr">
        <is>
          <t>대표이사 월 급여(천원, 고정)</t>
        </is>
      </c>
      <c r="B92" s="15" t="inlineStr">
        <is>
          <t>2026-09 급상여대장 지급합계, 인상률 미적용(전 기간 동일)</t>
        </is>
      </c>
      <c r="C92" s="67" t="n">
        <v>13689</v>
      </c>
    </row>
    <row r="93">
      <c r="A93" s="15" t="inlineStr">
        <is>
          <t>직원 1인당 월 급여(천원) — 기존 6명</t>
        </is>
      </c>
      <c r="B93" s="15" t="inlineStr">
        <is>
          <t>2026 = 급상여대장 대표 제외 평균, 2027~ = 전년 × (1+인상률)</t>
        </is>
      </c>
      <c r="C93" s="67" t="n">
        <v>4339</v>
      </c>
      <c r="D93" s="43">
        <f>C93*(1+$C$94)</f>
        <v>4642.73</v>
      </c>
      <c r="E93" s="43">
        <f>D93*(1+$C$94)</f>
        <v>4967.7211</v>
      </c>
      <c r="F93" s="43">
        <f>E93*(1+$C$94)</f>
        <v>5315.461577</v>
      </c>
      <c r="G93" s="43">
        <f>F93*(1+$C$94)</f>
        <v>5687.54388739</v>
      </c>
    </row>
    <row r="94">
      <c r="A94" s="15" t="inlineStr">
        <is>
          <t>기존 직원 연간 급여 인상률(2027~)</t>
        </is>
      </c>
      <c r="C94" s="94" t="n">
        <v>0.07000000000000001</v>
      </c>
    </row>
    <row r="95">
      <c r="A95" s="15" t="inlineStr">
        <is>
          <t>신규 채용 1인당 월 급여(천원, 인상률 미적용)</t>
        </is>
      </c>
      <c r="B95" s="15" t="inlineStr">
        <is>
          <t>추가 인력 급여 — 2026~2030 동일</t>
        </is>
      </c>
      <c r="C95" s="67" t="n">
        <v>4339</v>
      </c>
    </row>
    <row r="96">
      <c r="A96" s="15" t="inlineStr">
        <is>
          <t>기존 인력 수(대표 포함, 명)</t>
        </is>
      </c>
      <c r="C96" s="67" t="n">
        <v>7</v>
      </c>
    </row>
    <row r="97">
      <c r="A97" s="15" t="inlineStr">
        <is>
          <t>퇴직급여·4대보험·복리후생 비율(급여 대비)</t>
        </is>
      </c>
      <c r="C97" s="91" t="n">
        <v>0.22</v>
      </c>
    </row>
    <row r="98" ht="48" customHeight="1">
      <c r="A98" s="15" t="inlineStr">
        <is>
          <t>개발비 자본화율(급여·퇴직·복리 대비)</t>
        </is>
      </c>
      <c r="B98" s="15" t="inlineStr">
        <is>
          <t>개발 단계 연구 인력 인건비 중 무형자산(개발비) 처리 비율</t>
        </is>
      </c>
      <c r="C98" s="91" t="n">
        <v>0.4</v>
      </c>
      <c r="D98" s="91" t="n">
        <v>0.2</v>
      </c>
      <c r="E98" s="91" t="n">
        <v>0.1</v>
      </c>
      <c r="F98" s="91" t="n">
        <v>0.05</v>
      </c>
      <c r="G98" s="91" t="n">
        <v>0.05</v>
      </c>
      <c r="I98" s="89" t="inlineStr">
        <is>
          <t>2025 판관비 4.27억은 7명 급여 총액(약 5억 안팎)보다 낮아 연구 인력 인건비 일부가 개발비(자산 19.8억)로 자본화된 구조와 일관. 자산화 요건(기술적 실현가능성·판매 의도·미래 경제적 효익 등) 충족과 감사인 수용 여부 확인 필요. 자본화분은 2027-01부터 상각(개발비 상각 행)</t>
        </is>
      </c>
    </row>
    <row r="99">
      <c r="A99" s="15" t="inlineStr">
        <is>
          <t>마케팅·광고선전비(매출 %)</t>
        </is>
      </c>
      <c r="B99" s="15" t="inlineStr">
        <is>
          <t>전시회·해외 마케팅·샘플</t>
        </is>
      </c>
      <c r="C99" s="94" t="n">
        <v>0.015</v>
      </c>
      <c r="D99" s="94" t="n">
        <v>0.025</v>
      </c>
      <c r="E99" s="94" t="n">
        <v>0.028</v>
      </c>
      <c r="F99" s="94" t="n">
        <v>0.026</v>
      </c>
      <c r="G99" s="94" t="n">
        <v>0.03</v>
      </c>
    </row>
    <row r="100">
      <c r="A100" s="15" t="inlineStr">
        <is>
          <t>지급수수료(매출 %)</t>
        </is>
      </c>
      <c r="B100" s="15" t="inlineStr">
        <is>
          <t>총판 수수료·법무·회계·컨설팅·플랫폼</t>
        </is>
      </c>
      <c r="C100" s="94" t="n">
        <v>0.012</v>
      </c>
      <c r="D100" s="94" t="n">
        <v>0.02</v>
      </c>
      <c r="E100" s="94" t="n">
        <v>0.022</v>
      </c>
      <c r="F100" s="94" t="n">
        <v>0.022</v>
      </c>
      <c r="G100" s="94" t="n">
        <v>0.022</v>
      </c>
    </row>
    <row r="101">
      <c r="A101" s="15" t="inlineStr">
        <is>
          <t>판매물류·CS비(매출 %)</t>
        </is>
      </c>
      <c r="B101" s="15" t="inlineStr">
        <is>
          <t>출고·설치·고객지원</t>
        </is>
      </c>
      <c r="C101" s="94" t="n">
        <v>0.025</v>
      </c>
      <c r="D101" s="94" t="n">
        <v>0.035</v>
      </c>
      <c r="E101" s="94" t="n">
        <v>0.035</v>
      </c>
      <c r="F101" s="94" t="n">
        <v>0.032</v>
      </c>
      <c r="G101" s="94" t="n">
        <v>0.035</v>
      </c>
    </row>
    <row r="102">
      <c r="A102" s="15" t="inlineStr">
        <is>
          <t>연구개발비-경상(매출 %)</t>
        </is>
      </c>
      <c r="B102" s="15" t="inlineStr">
        <is>
          <t>인증(CE-MDR·FDA·KC·PMDA)·시험·외주</t>
        </is>
      </c>
      <c r="C102" s="94" t="n">
        <v>0.035</v>
      </c>
      <c r="D102" s="94" t="n">
        <v>0.035</v>
      </c>
      <c r="E102" s="94" t="n">
        <v>0.032</v>
      </c>
      <c r="F102" s="94" t="n">
        <v>0.029</v>
      </c>
      <c r="G102" s="94" t="n">
        <v>0.031</v>
      </c>
      <c r="I102" s="89" t="inlineStr">
        <is>
          <t>개발비 자본화(BS 개발비 19.8억)는 별도. 신규 자본화·상각 증가분은 미반영(보수적 가정은 상각에서 반영)</t>
        </is>
      </c>
    </row>
    <row r="103">
      <c r="A103" s="15" t="inlineStr">
        <is>
          <t>대손상각비(매출 %)</t>
        </is>
      </c>
      <c r="B103" s="15" t="inlineStr"/>
      <c r="C103" s="94" t="n">
        <v>0.004</v>
      </c>
      <c r="D103" s="94" t="n">
        <v>0.005</v>
      </c>
      <c r="E103" s="94" t="n">
        <v>0.005</v>
      </c>
      <c r="F103" s="94" t="n">
        <v>0.005</v>
      </c>
      <c r="G103" s="94" t="n">
        <v>0.005</v>
      </c>
    </row>
    <row r="104">
      <c r="A104" s="15" t="inlineStr">
        <is>
          <t>기타 판관비(매출 %)</t>
        </is>
      </c>
      <c r="B104" s="15" t="inlineStr">
        <is>
          <t>보험·세금과공과·소모품·복리 외</t>
        </is>
      </c>
      <c r="C104" s="94" t="n">
        <v>0.025</v>
      </c>
      <c r="D104" s="94" t="n">
        <v>0.03</v>
      </c>
      <c r="E104" s="94" t="n">
        <v>0.026</v>
      </c>
      <c r="F104" s="94" t="n">
        <v>0.022</v>
      </c>
      <c r="G104" s="94" t="n">
        <v>0.024</v>
      </c>
    </row>
    <row r="105">
      <c r="A105" s="15" t="inlineStr">
        <is>
          <t>임차·운영비(연, 천원)</t>
        </is>
      </c>
      <c r="B105" s="15" t="inlineStr">
        <is>
          <t>본사·해외 거점(일본·싱가포르·미국)</t>
        </is>
      </c>
      <c r="C105" s="67" t="n">
        <v>36000</v>
      </c>
      <c r="D105" s="67" t="n">
        <v>144000</v>
      </c>
      <c r="E105" s="67" t="n">
        <v>300000</v>
      </c>
      <c r="F105" s="67" t="n">
        <v>600000</v>
      </c>
      <c r="G105" s="67" t="n">
        <v>1000000</v>
      </c>
    </row>
    <row r="106">
      <c r="A106" s="15" t="inlineStr">
        <is>
          <t>해외영업·출장비(연, 천원)</t>
        </is>
      </c>
      <c r="B106" s="15" t="inlineStr"/>
      <c r="C106" s="67" t="n">
        <v>60000</v>
      </c>
      <c r="D106" s="67" t="n">
        <v>180000</v>
      </c>
      <c r="E106" s="67" t="n">
        <v>400000</v>
      </c>
      <c r="F106" s="67" t="n">
        <v>800000</v>
      </c>
      <c r="G106" s="67" t="n">
        <v>1400000</v>
      </c>
    </row>
    <row r="107">
      <c r="A107" s="15" t="inlineStr">
        <is>
          <t>감가상각비-유형(연, 천원)</t>
        </is>
      </c>
      <c r="B107" s="15" t="inlineStr">
        <is>
          <t>설비·금형·사무기기</t>
        </is>
      </c>
      <c r="C107" s="67" t="n">
        <v>18000</v>
      </c>
      <c r="D107" s="67" t="n">
        <v>40000</v>
      </c>
      <c r="E107" s="67" t="n">
        <v>90000</v>
      </c>
      <c r="F107" s="67" t="n">
        <v>180000</v>
      </c>
      <c r="G107" s="67" t="n">
        <v>300000</v>
      </c>
    </row>
    <row r="108" ht="50" customHeight="1">
      <c r="A108" s="15" t="inlineStr">
        <is>
          <t>개발비 무형자산상각(연, 천원)</t>
        </is>
      </c>
      <c r="B108" s="15" t="inlineStr">
        <is>
          <t>2025.12 개발비 잔액 19.8억을 5년 정액 상각, 2027-01 개시(신규 자본화는 미반영)</t>
        </is>
      </c>
      <c r="C108" s="67" t="n">
        <v>0</v>
      </c>
      <c r="D108" s="67" t="n">
        <v>395953</v>
      </c>
      <c r="E108" s="96">
        <f>395953+('7_비용인력'!$AB$31)/5</f>
        <v>438068.403328</v>
      </c>
      <c r="F108" s="96">
        <f>395953+('7_비용인력'!$AB$31+'7_비용인력'!$AC$31)/5</f>
        <v>509880.18775648</v>
      </c>
      <c r="G108" s="96">
        <f>395953+('7_비용인력'!$AB$31+'7_비용인력'!$AC$31+'7_비용인력'!$AD$31)/5</f>
        <v>580393.933605717</v>
      </c>
      <c r="I108" s="89" t="inlineStr">
        <is>
          <t>2027~ 기존 개발비 잔액 상각(연 395,953천원) + 2027년 이후 신규 자본화분의 5년 정액 상각을 다음 해부터 가산. 2026 자본화분(약 2.3억)은 정부과제 대응 자산차감분과 상계되는 것으로 보아 별도 가산하지 않음(보수 여지)</t>
        </is>
      </c>
    </row>
    <row r="110">
      <c r="A110" s="87" t="inlineStr">
        <is>
          <t>6. 영업외손익 · 법인세</t>
        </is>
      </c>
      <c r="B110" s="88" t="n"/>
      <c r="C110" s="88" t="n"/>
      <c r="D110" s="88" t="n"/>
      <c r="E110" s="88" t="n"/>
      <c r="F110" s="88" t="n"/>
      <c r="G110" s="88" t="n"/>
      <c r="H110" s="88" t="n"/>
      <c r="I110" s="88" t="n"/>
    </row>
    <row r="111">
      <c r="A111" s="22" t="inlineStr">
        <is>
          <t>구분</t>
        </is>
      </c>
      <c r="B111" s="22" t="inlineStr">
        <is>
          <t>설명</t>
        </is>
      </c>
      <c r="C111" s="22" t="n">
        <v>2026</v>
      </c>
      <c r="D111" s="22" t="n">
        <v>2027</v>
      </c>
      <c r="E111" s="22" t="n">
        <v>2028</v>
      </c>
      <c r="F111" s="22" t="n">
        <v>2029</v>
      </c>
      <c r="G111" s="22" t="n">
        <v>2030</v>
      </c>
      <c r="H111" s="22" t="inlineStr"/>
      <c r="I111" s="22" t="inlineStr">
        <is>
          <t>근거 · 비고</t>
        </is>
      </c>
    </row>
    <row r="112">
      <c r="A112" s="15" t="inlineStr">
        <is>
          <t>차입금 기초(2025.12, 천원)</t>
        </is>
      </c>
      <c r="B112" s="15" t="inlineStr">
        <is>
          <t>단기 1,135,833 + 장기 63,710</t>
        </is>
      </c>
      <c r="C112" s="55" t="n">
        <v>1199543</v>
      </c>
      <c r="I112" s="89" t="inlineStr">
        <is>
          <t>투자사 양식 차입금 현황(2025감사보고서 주석 5). 현재 잔액·만기 확인 필요</t>
        </is>
      </c>
    </row>
    <row r="113">
      <c r="A113" s="15" t="inlineStr">
        <is>
          <t>차입금 연 이자율</t>
        </is>
      </c>
      <c r="B113" s="15" t="inlineStr">
        <is>
          <t>2025 이자비용 0.50억/평균 차입금 ≈ 4.2% (우리 4.48~4.89%, 하나 5.00~5.58%)</t>
        </is>
      </c>
      <c r="C113" s="94" t="n">
        <v>0.048</v>
      </c>
      <c r="D113" s="94" t="n">
        <v>0.048</v>
      </c>
      <c r="E113" s="94" t="n">
        <v>0.048</v>
      </c>
      <c r="F113" s="94" t="n">
        <v>0.048</v>
      </c>
      <c r="G113" s="94" t="n">
        <v>0.048</v>
      </c>
    </row>
    <row r="114">
      <c r="A114" s="15" t="inlineStr">
        <is>
          <t>정부보조금수익(천원) — 2026은 아래 R&amp;D 과제·GDIN 합산식</t>
        </is>
      </c>
      <c r="B114" s="15" t="inlineStr">
        <is>
          <t>2027: 3억 예상, 2028~: 매년 1억(보수적)</t>
        </is>
      </c>
      <c r="C114" s="96">
        <f>MIN('8_가정'!$C$115,'7_비용인력'!$O$24+MAX(0,'8_가정'!$C$117-'8_가정'!$C$98)*'7_비용인력'!$O$61*(1+'8_가정'!$C$97))+'8_가정'!$C$116</f>
        <v>79612.575</v>
      </c>
      <c r="D114" s="67" t="n">
        <v>300000</v>
      </c>
      <c r="E114" s="67" t="n">
        <v>100000</v>
      </c>
      <c r="F114" s="67" t="n">
        <v>100000</v>
      </c>
      <c r="G114" s="67" t="n">
        <v>100000</v>
      </c>
      <c r="I114" s="89" t="inlineStr">
        <is>
          <t>2024 0.88억, 2025 0.31억 실적(영업외수익 처리 선례). 2027 3억(사용자 제공), 2028~ 연 1억 보수적 가정(과제 수행 비용 대응 한도 내 확인 필요)</t>
        </is>
      </c>
    </row>
    <row r="115">
      <c r="A115" s="15" t="inlineStr">
        <is>
          <t>정부과제(R&amp;D) 2026 수령 예상액(천원)</t>
        </is>
      </c>
      <c r="B115" s="15" t="inlineStr">
        <is>
          <t>사용자 제공: 약 2.6억원</t>
        </is>
      </c>
      <c r="C115" s="67" t="n">
        <v>260000</v>
      </c>
    </row>
    <row r="116">
      <c r="A116" s="15" t="inlineStr">
        <is>
          <t>GDIN 해외진출 지원금(천원)</t>
        </is>
      </c>
      <c r="B116" s="15" t="inlineStr">
        <is>
          <t>회사연혁 2026-09 최종 선정 3,500만원</t>
        </is>
      </c>
      <c r="C116" s="67" t="n">
        <v>35000</v>
      </c>
    </row>
    <row r="117" ht="60" customHeight="1">
      <c r="A117" s="15" t="inlineStr">
        <is>
          <t>R&amp;D 인력 인건비 비중(과제 대응 가능분)</t>
        </is>
      </c>
      <c r="B117" s="15" t="inlineStr">
        <is>
          <t>급여·퇴직·복리 중 연구개발 인력 비중(가정)</t>
        </is>
      </c>
      <c r="C117" s="91" t="n">
        <v>0.4</v>
      </c>
      <c r="I117" s="89" t="inlineStr">
        <is>
          <t>영업외수익 인식 한도 = 과제 수행으로 해당 연도에 비용 처리된 R&amp;D 비용(경상 연구개발비 + 연구 인력 인건비). 자산화(개발비)된 지출에 대응하는 보조금은 자산 차감이며 영업외수익이 아님(일반기업회계기준 17장). 수령액 중 미사용분은 선수·이연수익. 회사는 과거 정부보조금수익을 영업외수익으로 처리(2024 0.88억·2025 0.31억). 회계 담당 확인 필요</t>
        </is>
      </c>
    </row>
    <row r="118">
      <c r="A118" s="15" t="inlineStr">
        <is>
          <t>이월결손금 기초(천원)</t>
        </is>
      </c>
      <c r="B118" s="15" t="inlineStr">
        <is>
          <t>자본총계 − 자본금 − 주식발행초과금 역산(2025.12)</t>
        </is>
      </c>
      <c r="C118" s="67" t="n">
        <v>3032082</v>
      </c>
      <c r="I118" s="89" t="inlineStr">
        <is>
          <t>계산: 12.375억 − 4.276억 − 38.420억 ≈ −30.3억. 세무상 결손금과 다를 수 있음(세무사 확인)</t>
        </is>
      </c>
    </row>
    <row r="119">
      <c r="A119" s="15" t="inlineStr">
        <is>
          <t>이월결손금 공제 한도(과세소득 대비)</t>
        </is>
      </c>
      <c r="C119" s="91" t="n">
        <v>1</v>
      </c>
      <c r="I119" s="89" t="inlineStr">
        <is>
          <t>중소기업 100% (일반법인 80%). 중소기업 졸업 시 한도 80% 적용 가능 — 보수적으로 보려면 80%로 변경</t>
        </is>
      </c>
    </row>
    <row r="120">
      <c r="A120" s="15" t="inlineStr">
        <is>
          <t>법인세율 구간(과세표준 상한, 천원)</t>
        </is>
      </c>
      <c r="C120" s="55" t="n">
        <v>200000</v>
      </c>
      <c r="D120" s="55" t="n">
        <v>20000000</v>
      </c>
      <c r="E120" s="55" t="n">
        <v>300000000</v>
      </c>
    </row>
    <row r="121">
      <c r="A121" s="15" t="inlineStr">
        <is>
          <t>법인세율(구간별)</t>
        </is>
      </c>
      <c r="C121" s="97" t="n">
        <v>0.1</v>
      </c>
      <c r="D121" s="97" t="n">
        <v>0.2</v>
      </c>
      <c r="E121" s="97" t="n">
        <v>0.22</v>
      </c>
      <c r="F121" s="97" t="n">
        <v>0.25</v>
      </c>
      <c r="I121" s="89" t="inlineStr">
        <is>
          <t>2026 귀속 10%/20%/22%/25% 가정(2025 세법개정 반영 여부 8_가정 하단 출처 메모 확인). 세액공제·최저한세 미반영</t>
        </is>
      </c>
    </row>
    <row r="122">
      <c r="A122" s="15" t="inlineStr">
        <is>
          <t>지방소득세율(법인세 대비)</t>
        </is>
      </c>
      <c r="C122" s="64" t="n">
        <v>0.1</v>
      </c>
    </row>
    <row r="123">
      <c r="A123" s="15" t="inlineStr">
        <is>
          <t>매출채권 회전일수(참고)</t>
        </is>
      </c>
      <c r="C123" s="92" t="n">
        <v>60</v>
      </c>
      <c r="I123" s="89" t="inlineStr">
        <is>
          <t>손익계산서 범위 밖의 참고 지표(운전자본 소요 추정)용. 2025 BS: 매출채권 2,304만원·선급금 8,557만원. 총판 공급 비중이 커지면 회전일수가 길어질 수 있음</t>
        </is>
      </c>
    </row>
    <row r="124">
      <c r="A124" s="15" t="inlineStr">
        <is>
          <t>재고자산 회전일수(매출원가 기준, 참고)</t>
        </is>
      </c>
      <c r="C124" s="92" t="n">
        <v>60</v>
      </c>
    </row>
    <row r="125">
      <c r="A125" s="15" t="inlineStr">
        <is>
          <t>매입채무 회전일수(매출원가 기준, 참고)</t>
        </is>
      </c>
      <c r="C125" s="92" t="n">
        <v>45</v>
      </c>
    </row>
    <row r="127">
      <c r="A127" s="87" t="inlineStr">
        <is>
          <t>7. 근거 구분 범례 · 출처 메모</t>
        </is>
      </c>
      <c r="B127" s="88" t="n"/>
      <c r="C127" s="88" t="n"/>
      <c r="D127" s="88" t="n"/>
      <c r="E127" s="88" t="n"/>
      <c r="F127" s="88" t="n"/>
      <c r="G127" s="88" t="n"/>
      <c r="H127" s="88" t="n"/>
      <c r="I127" s="88" t="n"/>
    </row>
    <row r="128">
      <c r="A128" s="15" t="inlineStr">
        <is>
          <t>IR 근거 = IR 자료(2026-09-27판) 페이지 표기. 계약/등록/입찰/PoC 단계는 IR 표기에 입찰 자료(저장소)·회사연혁을 교차 반영.</t>
        </is>
      </c>
    </row>
    <row r="129">
      <c r="A129" s="15" t="inlineStr">
        <is>
          <t>가정 = IR에 없는 시작월·램프·성장률·비용률. 모두 파란색 입력이며 투자사 질의 시 근거 설명이 필요한 항목.</t>
        </is>
      </c>
    </row>
    <row r="130">
      <c r="A130" s="15" t="inlineStr">
        <is>
          <t>회사실적 = 투자사 양식 IS(2025 감사보고서 기준: 2024·2025). 2026 상반기 실적은 자료 없음 → 추정.</t>
        </is>
      </c>
    </row>
    <row r="132">
      <c r="A132" s="9" t="inlineStr">
        <is>
          <t>외부 팩트 조사 요약(출처 URL 포함)</t>
        </is>
      </c>
    </row>
    <row r="133">
      <c r="A133" s="66" t="inlineStr">
        <is>
          <t>환율: 2026-10-02 서울 종가 USD/KRW 1,350.60 · JPY 856.76/100엔 · EUR 1,520.64 (서울신문 2026/10/02, snmnews). 본 계획은 IR 고정환율 1,400원/달러 기준이며 SGD·JPY·EUR은 1,400 기준 교차환율을 사용(현물환 대비 USD 약 +3.7%).</t>
        </is>
      </c>
    </row>
    <row r="134">
      <c r="A134" s="66" t="inlineStr">
        <is>
          <t>법인세: 2026 귀속 10/20/22/25%(+1%p, 2025-12-02 국회 통과·12-23 공포), 지방소득세 1.0/2.0/2.2/2.5%(국세청 nts.go.kr, 국회예산정책처 nabo.go.kr). 결손금 15년 이월, 중소기업은 소득의 100%까지 공제, 중소기업 졸업 유예 5년, 최저한세(중소) 7%.</t>
        </is>
      </c>
    </row>
    <row r="135">
      <c r="A135" s="66" t="inlineStr">
        <is>
          <t>일본: 介護テクノロジー導入支援事業(2025년 통합) 보조율 3/4~4/5, 배설예측·검지 기기 1대당 상한 30만엔, TAIS 介護テクノロジー 선정이 보조금 신청 조건(techno-aids.or.jp). TAIS 등록 자체는 보험급여가 아님 → IR의 "TAIS 등록 완료"가 보조금 대상 선정을 뜻하는지 확인 필요. 시설 수(MHLW 2024): 특양 8,621 · 老健 4,214 · GH 14,341 · 유료노인홈 16,543.</t>
        </is>
      </c>
    </row>
    <row r="136">
      <c r="A136" s="66" t="inlineStr">
        <is>
          <t>한국: 기저귀센서는 2025-05 정규 복지용구 급여 편입(고시상 1개 제품), 재가 본인부담 15%(85% 지원)·연 한도 160만원, 성인용 기저귀 자체는 급여 품목이 아님(nhis.or.kr). 장기요양기관 29,734곳(시설 6,361·재가 23,373, 2025), 요양병원 약 1,300곳(감소 추세), 요양병원 간병비 건보 적용 2027~(보도).</t>
        </is>
      </c>
    </row>
    <row r="137">
      <c r="A137" s="66" t="inlineStr">
        <is>
          <t>동종 벤치마크: Essity FY2025 EBITA 마진 14.1%, Ontex FY2025 조정 EBITDA 마진 10.0% → 본 계획 S1의 2030 영업이익률은 약 14% 이내로 설정(상한 근거). 일부 공식 사이트 접근 제한으로 보도·2차 자료를 포함하므로 제출 전 재확인 권장.</t>
        </is>
      </c>
    </row>
  </sheetData>
  <pageMargins left="0.75" right="0.75" top="1" bottom="1" header="0.5" footer="0.5"/>
  <pageSetup orientation="landscape" fitToHeight="0" fitToWidth="1"/>
  <legacyDrawing xmlns:r="http://schemas.openxmlformats.org/officeDocument/2006/relationships" r:id="anysvml"/>
</worksheet>
</file>

<file path=xl/worksheets/sheet9.xml><?xml version="1.0" encoding="utf-8"?>
<worksheet xmlns="http://schemas.openxmlformats.org/spreadsheetml/2006/main">
  <sheetPr>
    <tabColor rgb="00548235"/>
    <outlinePr summaryBelow="1" summaryRight="1"/>
    <pageSetUpPr fitToPage="1"/>
  </sheetPr>
  <dimension ref="A1:H54"/>
  <sheetViews>
    <sheetView workbookViewId="0">
      <selection activeCell="A1" sqref="A1"/>
    </sheetView>
  </sheetViews>
  <sheetFormatPr baseColWidth="8" defaultRowHeight="15"/>
  <cols>
    <col width="34" customWidth="1" min="1" max="1"/>
    <col width="14" customWidth="1" min="2" max="2"/>
    <col width="12" customWidth="1" min="3" max="3"/>
    <col width="12" customWidth="1" min="4" max="4"/>
    <col width="12" customWidth="1" min="5" max="5"/>
    <col width="12" customWidth="1" min="6" max="6"/>
    <col width="12" customWidth="1" min="7" max="7"/>
    <col width="14" customWidth="1" min="8" max="8"/>
    <col width="60" customWidth="1" min="9" max="9"/>
  </cols>
  <sheetData>
    <row r="1">
      <c r="A1" s="1" t="inlineStr">
        <is>
          <t>9_시나리오 — S1 / S2 / S3 비교</t>
        </is>
      </c>
    </row>
    <row r="2">
      <c r="A2" s="2" t="inlineStr">
        <is>
          <t>단위: 억원. 값은 시나리오별로 재계산한 스냅샷입니다. 모델 입력을 바꾼 뒤에는 "라이브" 행과 비교해 일치 여부(점검 행)를 확인하세요.</t>
        </is>
      </c>
    </row>
    <row r="3"/>
    <row r="4">
      <c r="A4" s="3" t="inlineStr">
        <is>
          <t>S1 경영계획(IR 정합)</t>
        </is>
      </c>
    </row>
    <row r="5">
      <c r="A5" s="21" t="inlineStr">
        <is>
          <t>지표</t>
        </is>
      </c>
      <c r="B5" s="11" t="inlineStr"/>
      <c r="C5" s="11" t="n">
        <v>2026</v>
      </c>
      <c r="D5" s="11" t="n">
        <v>2027</v>
      </c>
      <c r="E5" s="11" t="n">
        <v>2028</v>
      </c>
      <c r="F5" s="11" t="n">
        <v>2029</v>
      </c>
      <c r="G5" s="11" t="n">
        <v>2030</v>
      </c>
      <c r="H5" s="11" t="inlineStr">
        <is>
          <t>CAGR('25~'30)</t>
        </is>
      </c>
    </row>
    <row r="6">
      <c r="A6" s="15" t="inlineStr">
        <is>
          <t>매출액</t>
        </is>
      </c>
      <c r="C6" s="98" t="n">
        <v>12.74645</v>
      </c>
      <c r="D6" s="98" t="n">
        <v>100.05</v>
      </c>
      <c r="E6" s="98" t="n">
        <v>330</v>
      </c>
      <c r="F6" s="98" t="n">
        <v>700</v>
      </c>
      <c r="G6" s="98" t="n">
        <v>1560</v>
      </c>
      <c r="H6" s="14">
        <f>IFERROR((G6*100000/'3_연간손익'!$C$7)^(1/5)-1,"n/a")</f>
        <v>1.83345786870168</v>
      </c>
    </row>
    <row r="7">
      <c r="A7" s="15" t="inlineStr">
        <is>
          <t>매출총이익</t>
        </is>
      </c>
      <c r="C7" s="98" t="n">
        <v>6.329279039</v>
      </c>
      <c r="D7" s="98" t="n">
        <v>39.7610167</v>
      </c>
      <c r="E7" s="98" t="n">
        <v>130.783682582</v>
      </c>
      <c r="F7" s="98" t="n">
        <v>279.3304664264</v>
      </c>
      <c r="G7" s="98" t="n">
        <v>637.5243542914039</v>
      </c>
    </row>
    <row r="8">
      <c r="A8" s="15" t="inlineStr">
        <is>
          <t>영업이익</t>
        </is>
      </c>
      <c r="C8" s="98" t="n">
        <v>0.221422519000002</v>
      </c>
      <c r="D8" s="98" t="n">
        <v>8.7309060344</v>
      </c>
      <c r="E8" s="98" t="n">
        <v>37.347695555904</v>
      </c>
      <c r="F8" s="98" t="n">
        <v>96.24360599206031</v>
      </c>
      <c r="G8" s="98" t="n">
        <v>255.298400652198</v>
      </c>
    </row>
    <row r="9">
      <c r="A9" s="15" t="inlineStr">
        <is>
          <t>영업이익률</t>
        </is>
      </c>
      <c r="C9" s="99" t="n">
        <v>0.0173713087957825</v>
      </c>
      <c r="D9" s="99" t="n">
        <v>0.0872654276301849</v>
      </c>
      <c r="E9" s="99" t="n">
        <v>0.113174835017891</v>
      </c>
      <c r="F9" s="99" t="n">
        <v>0.137490865702943</v>
      </c>
      <c r="G9" s="99" t="n">
        <v>0.163652820930896</v>
      </c>
    </row>
    <row r="10">
      <c r="A10" s="15" t="inlineStr">
        <is>
          <t>당기순이익</t>
        </is>
      </c>
      <c r="C10" s="98" t="n">
        <v>0.441657949000002</v>
      </c>
      <c r="D10" s="98" t="n">
        <v>10.9629060344</v>
      </c>
      <c r="E10" s="98" t="n">
        <v>32.7951788572571</v>
      </c>
      <c r="F10" s="98" t="n">
        <v>73.074812673807</v>
      </c>
      <c r="G10" s="98" t="n">
        <v>194.891947694366</v>
      </c>
    </row>
    <row r="11">
      <c r="A11" s="15" t="inlineStr">
        <is>
          <t>추정 유료 이용자(명)</t>
        </is>
      </c>
      <c r="C11" s="100" t="n">
        <v>970.042875</v>
      </c>
      <c r="D11" s="100" t="n">
        <v>7943.04083333333</v>
      </c>
      <c r="E11" s="100" t="n">
        <v>25179.2540666667</v>
      </c>
      <c r="F11" s="100" t="n">
        <v>50559.3370183333</v>
      </c>
      <c r="G11" s="100" t="n">
        <v>106269.147243867</v>
      </c>
    </row>
    <row r="12">
      <c r="A12" s="15" t="inlineStr">
        <is>
          <t>IR 대비 달성률</t>
        </is>
      </c>
      <c r="C12" s="99" t="n">
        <v>1.06220416666667</v>
      </c>
      <c r="D12" s="99" t="n">
        <v>1</v>
      </c>
      <c r="E12" s="99" t="n">
        <v>1</v>
      </c>
      <c r="F12" s="99" t="n">
        <v>1</v>
      </c>
      <c r="G12" s="99" t="n">
        <v>1</v>
      </c>
    </row>
    <row r="13"/>
    <row r="14"/>
    <row r="15">
      <c r="A15" s="3" t="inlineStr">
        <is>
          <t>S2 기준(확률가중)</t>
        </is>
      </c>
    </row>
    <row r="16">
      <c r="A16" s="21" t="inlineStr">
        <is>
          <t>지표</t>
        </is>
      </c>
      <c r="B16" s="11" t="inlineStr"/>
      <c r="C16" s="11" t="n">
        <v>2026</v>
      </c>
      <c r="D16" s="11" t="n">
        <v>2027</v>
      </c>
      <c r="E16" s="11" t="n">
        <v>2028</v>
      </c>
      <c r="F16" s="11" t="n">
        <v>2029</v>
      </c>
      <c r="G16" s="11" t="n">
        <v>2030</v>
      </c>
      <c r="H16" s="11" t="inlineStr">
        <is>
          <t>CAGR('25~'30)</t>
        </is>
      </c>
    </row>
    <row r="17">
      <c r="A17" s="15" t="inlineStr">
        <is>
          <t>매출액</t>
        </is>
      </c>
      <c r="C17" s="98" t="n">
        <v>4.20068</v>
      </c>
      <c r="D17" s="98" t="n">
        <v>57.86866</v>
      </c>
      <c r="E17" s="98" t="n">
        <v>175.6774672</v>
      </c>
      <c r="F17" s="98" t="n">
        <v>305.716287096</v>
      </c>
      <c r="G17" s="98" t="n">
        <v>560.416072360096</v>
      </c>
      <c r="H17" s="14">
        <f>IFERROR((G17*100000/'3_연간손익'!$C$7)^(1/5)-1,"n/a")</f>
        <v>1.30884062895111</v>
      </c>
    </row>
    <row r="18">
      <c r="A18" s="15" t="inlineStr">
        <is>
          <t>매출총이익</t>
        </is>
      </c>
      <c r="C18" s="98" t="n">
        <v>2.036946964</v>
      </c>
      <c r="D18" s="98" t="n">
        <v>22.9300207125</v>
      </c>
      <c r="E18" s="98" t="n">
        <v>69.4706016998</v>
      </c>
      <c r="F18" s="98" t="n">
        <v>121.744916441222</v>
      </c>
      <c r="G18" s="98" t="n">
        <v>228.522690251642</v>
      </c>
    </row>
    <row r="19">
      <c r="A19" s="15" t="inlineStr">
        <is>
          <t>영업이익</t>
        </is>
      </c>
      <c r="C19" s="98" t="n">
        <v>-1.73806144793</v>
      </c>
      <c r="D19" s="98" t="n">
        <v>0.484274464742658</v>
      </c>
      <c r="E19" s="98" t="n">
        <v>9.497677059162971</v>
      </c>
      <c r="F19" s="98" t="n">
        <v>18.1931115258201</v>
      </c>
      <c r="G19" s="98" t="n">
        <v>48.1228368454447</v>
      </c>
    </row>
    <row r="20">
      <c r="A20" s="15" t="inlineStr">
        <is>
          <t>영업이익률</t>
        </is>
      </c>
      <c r="C20" s="99" t="n">
        <v>-0.413757165013761</v>
      </c>
      <c r="D20" s="99" t="n">
        <v>0.008368510083742351</v>
      </c>
      <c r="E20" s="99" t="n">
        <v>0.0540631488519261</v>
      </c>
      <c r="F20" s="99" t="n">
        <v>0.0595097883028625</v>
      </c>
      <c r="G20" s="99" t="n">
        <v>0.0858698371065334</v>
      </c>
    </row>
    <row r="21">
      <c r="A21" s="15" t="inlineStr">
        <is>
          <t>당기순이익</t>
        </is>
      </c>
      <c r="C21" s="98" t="n">
        <v>-1.81692796793</v>
      </c>
      <c r="D21" s="98" t="n">
        <v>2.71627446474266</v>
      </c>
      <c r="E21" s="98" t="n">
        <v>8.577677059162971</v>
      </c>
      <c r="F21" s="98" t="n">
        <v>15.3531115258201</v>
      </c>
      <c r="G21" s="98" t="n">
        <v>35.6253634214518</v>
      </c>
    </row>
    <row r="22">
      <c r="A22" s="15" t="inlineStr">
        <is>
          <t>추정 유료 이용자(명)</t>
        </is>
      </c>
      <c r="C22" s="100" t="n">
        <v>314.619166666667</v>
      </c>
      <c r="D22" s="100" t="n">
        <v>4593.19383333333</v>
      </c>
      <c r="E22" s="100" t="n">
        <v>13426.7800706667</v>
      </c>
      <c r="F22" s="100" t="n">
        <v>22204.20639845</v>
      </c>
      <c r="G22" s="100" t="n">
        <v>38475.2056875963</v>
      </c>
    </row>
    <row r="23">
      <c r="A23" s="15" t="inlineStr">
        <is>
          <t>IR 대비 달성률</t>
        </is>
      </c>
      <c r="C23" s="99" t="n">
        <v>0.350056666666667</v>
      </c>
      <c r="D23" s="99" t="n">
        <v>0.57839740129935</v>
      </c>
      <c r="E23" s="99" t="n">
        <v>0.532355961212121</v>
      </c>
      <c r="F23" s="99" t="n">
        <v>0.436737552994286</v>
      </c>
      <c r="G23" s="99" t="n">
        <v>0.359241072025703</v>
      </c>
    </row>
    <row r="24"/>
    <row r="25"/>
    <row r="26">
      <c r="A26" s="3" t="inlineStr">
        <is>
          <t>S3 보수</t>
        </is>
      </c>
    </row>
    <row r="27">
      <c r="A27" s="21" t="inlineStr">
        <is>
          <t>지표</t>
        </is>
      </c>
      <c r="B27" s="11" t="inlineStr"/>
      <c r="C27" s="11" t="n">
        <v>2026</v>
      </c>
      <c r="D27" s="11" t="n">
        <v>2027</v>
      </c>
      <c r="E27" s="11" t="n">
        <v>2028</v>
      </c>
      <c r="F27" s="11" t="n">
        <v>2029</v>
      </c>
      <c r="G27" s="11" t="n">
        <v>2030</v>
      </c>
      <c r="H27" s="11" t="inlineStr">
        <is>
          <t>CAGR('25~'30)</t>
        </is>
      </c>
    </row>
    <row r="28">
      <c r="A28" s="15" t="inlineStr">
        <is>
          <t>매출액</t>
        </is>
      </c>
      <c r="C28" s="98" t="n">
        <v>3.56873</v>
      </c>
      <c r="D28" s="98" t="n">
        <v>38.256871</v>
      </c>
      <c r="E28" s="98" t="n">
        <v>105.2150316</v>
      </c>
      <c r="F28" s="98" t="n">
        <v>148.3747522</v>
      </c>
      <c r="G28" s="98" t="n">
        <v>217.2295715472</v>
      </c>
      <c r="H28" s="14">
        <f>IFERROR((G28*100000/'3_연간손익'!$C$7)^(1/5)-1,"n/a")</f>
        <v>0.91018587297432</v>
      </c>
    </row>
    <row r="29">
      <c r="A29" s="15" t="inlineStr">
        <is>
          <t>매출총이익</t>
        </is>
      </c>
      <c r="C29" s="98" t="n">
        <v>1.748269324</v>
      </c>
      <c r="D29" s="98" t="n">
        <v>15.1176365325</v>
      </c>
      <c r="E29" s="98" t="n">
        <v>41.52473099684</v>
      </c>
      <c r="F29" s="98" t="n">
        <v>58.910735200712</v>
      </c>
      <c r="G29" s="98" t="n">
        <v>88.20034479688431</v>
      </c>
    </row>
    <row r="30">
      <c r="A30" s="15" t="inlineStr">
        <is>
          <t>영업이익</t>
        </is>
      </c>
      <c r="C30" s="98" t="n">
        <v>-1.8542276159509</v>
      </c>
      <c r="D30" s="98" t="n">
        <v>-3.32365858710385</v>
      </c>
      <c r="E30" s="98" t="n">
        <v>-3.15102268358996</v>
      </c>
      <c r="F30" s="98" t="n">
        <v>-12.3626199299526</v>
      </c>
      <c r="G30" s="98" t="n">
        <v>-21.9215919158388</v>
      </c>
    </row>
    <row r="31">
      <c r="A31" s="15" t="inlineStr">
        <is>
          <t>영업이익률</t>
        </is>
      </c>
      <c r="C31" s="99" t="n">
        <v>-0.519576324336922</v>
      </c>
      <c r="D31" s="99" t="n">
        <v>-0.0868774288180507</v>
      </c>
      <c r="E31" s="99" t="n">
        <v>-0.0299484079002069</v>
      </c>
      <c r="F31" s="99" t="n">
        <v>-0.08332023977562281</v>
      </c>
      <c r="G31" s="99" t="n">
        <v>-0.100914400188262</v>
      </c>
    </row>
    <row r="32">
      <c r="A32" s="15" t="inlineStr">
        <is>
          <t>당기순이익</t>
        </is>
      </c>
      <c r="C32" s="98" t="n">
        <v>-1.9552123859509</v>
      </c>
      <c r="D32" s="98" t="n">
        <v>-1.09165858710385</v>
      </c>
      <c r="E32" s="98" t="n">
        <v>-4.07102268358996</v>
      </c>
      <c r="F32" s="98" t="n">
        <v>-15.2026199299526</v>
      </c>
      <c r="G32" s="98" t="n">
        <v>-26.2015919158388</v>
      </c>
    </row>
    <row r="33">
      <c r="A33" s="15" t="inlineStr">
        <is>
          <t>추정 유료 이용자(명)</t>
        </is>
      </c>
      <c r="C33" s="100" t="n">
        <v>297.394166666667</v>
      </c>
      <c r="D33" s="100" t="n">
        <v>3011.20263333333</v>
      </c>
      <c r="E33" s="100" t="n">
        <v>8047.194318</v>
      </c>
      <c r="F33" s="100" t="n">
        <v>10840.0228978667</v>
      </c>
      <c r="G33" s="100" t="n">
        <v>15095.5081595144</v>
      </c>
    </row>
    <row r="34">
      <c r="A34" s="15" t="inlineStr">
        <is>
          <t>IR 대비 달성률</t>
        </is>
      </c>
      <c r="C34" s="99" t="n">
        <v>0.297394166666667</v>
      </c>
      <c r="D34" s="99" t="n">
        <v>0.38237752123938</v>
      </c>
      <c r="E34" s="99" t="n">
        <v>0.318833429090909</v>
      </c>
      <c r="F34" s="99" t="n">
        <v>0.211963931714286</v>
      </c>
      <c r="G34" s="99" t="n">
        <v>0.139249725350769</v>
      </c>
    </row>
    <row r="35"/>
    <row r="36"/>
    <row r="37">
      <c r="A37" s="3" t="inlineStr">
        <is>
          <t>현재 선택 시나리오 (라이브)</t>
        </is>
      </c>
    </row>
    <row r="38">
      <c r="A38" s="21" t="inlineStr">
        <is>
          <t>지표</t>
        </is>
      </c>
      <c r="B38" s="11" t="inlineStr"/>
      <c r="C38" s="11" t="n">
        <v>2026</v>
      </c>
      <c r="D38" s="11" t="n">
        <v>2027</v>
      </c>
      <c r="E38" s="11" t="n">
        <v>2028</v>
      </c>
      <c r="F38" s="11" t="n">
        <v>2029</v>
      </c>
      <c r="G38" s="11" t="n">
        <v>2030</v>
      </c>
    </row>
    <row r="39">
      <c r="A39" s="15" t="inlineStr">
        <is>
          <t>매출액</t>
        </is>
      </c>
      <c r="B39" s="29" t="str">
        <f>'1_요약'!$C$4</f>
        <v>S1 경영계획(IR 정합)</v>
      </c>
      <c r="C39" s="17">
        <f>'3_연간손익'!D7/100000</f>
        <v>12.74645</v>
      </c>
      <c r="D39" s="17">
        <f>'3_연간손익'!E7/100000</f>
        <v>100.05</v>
      </c>
      <c r="E39" s="17">
        <f>'3_연간손익'!F7/100000</f>
        <v>330</v>
      </c>
      <c r="F39" s="17">
        <f>'3_연간손익'!G7/100000</f>
        <v>700</v>
      </c>
      <c r="G39" s="17">
        <f>'3_연간손익'!H7/100000</f>
        <v>1560</v>
      </c>
    </row>
    <row r="40">
      <c r="A40" s="15" t="inlineStr">
        <is>
          <t>매출총이익</t>
        </is>
      </c>
      <c r="B40" s="29" t="str">
        <f>'1_요약'!$C$4</f>
        <v>S1 경영계획(IR 정합)</v>
      </c>
      <c r="C40" s="17">
        <f>'3_연간손익'!D10/100000</f>
        <v>6.329279039</v>
      </c>
      <c r="D40" s="17">
        <f>'3_연간손익'!E10/100000</f>
        <v>39.7610167</v>
      </c>
      <c r="E40" s="17">
        <f>'3_연간손익'!F10/100000</f>
        <v>130.783682582</v>
      </c>
      <c r="F40" s="17">
        <f>'3_연간손익'!G10/100000</f>
        <v>279.3304664264</v>
      </c>
      <c r="G40" s="17">
        <f>'3_연간손익'!H10/100000</f>
        <v>637.524354291404</v>
      </c>
    </row>
    <row r="41">
      <c r="A41" s="15" t="inlineStr">
        <is>
          <t>영업이익</t>
        </is>
      </c>
      <c r="B41" s="29" t="str">
        <f>'1_요약'!$C$4</f>
        <v>S1 경영계획(IR 정합)</v>
      </c>
      <c r="C41" s="17">
        <f>'3_연간손익'!D13/100000</f>
        <v>0.221422519000001</v>
      </c>
      <c r="D41" s="17">
        <f>'3_연간손익'!E13/100000</f>
        <v>8.7309060344</v>
      </c>
      <c r="E41" s="17">
        <f>'3_연간손익'!F13/100000</f>
        <v>37.347695555904</v>
      </c>
      <c r="F41" s="17">
        <f>'3_연간손익'!G13/100000</f>
        <v>96.2436059920603</v>
      </c>
      <c r="G41" s="17">
        <f>'3_연간손익'!H13/100000</f>
        <v>255.298400652198</v>
      </c>
    </row>
    <row r="42">
      <c r="A42" s="15" t="inlineStr">
        <is>
          <t>영업이익률</t>
        </is>
      </c>
      <c r="B42" s="29" t="str">
        <f>'1_요약'!$C$4</f>
        <v>S1 경영계획(IR 정합)</v>
      </c>
      <c r="C42" s="16">
        <f>'3_연간손익'!D14</f>
        <v>0.0173713087957825</v>
      </c>
      <c r="D42" s="16">
        <f>'3_연간손익'!E14</f>
        <v>0.0872654276301849</v>
      </c>
      <c r="E42" s="16">
        <f>'3_연간손익'!F14</f>
        <v>0.113174835017891</v>
      </c>
      <c r="F42" s="16">
        <f>'3_연간손익'!G14</f>
        <v>0.137490865702943</v>
      </c>
      <c r="G42" s="16">
        <f>'3_연간손익'!H14</f>
        <v>0.163652820930896</v>
      </c>
    </row>
    <row r="43">
      <c r="A43" s="15" t="inlineStr">
        <is>
          <t>당기순이익</t>
        </is>
      </c>
      <c r="B43" s="29" t="str">
        <f>'1_요약'!$C$4</f>
        <v>S1 경영계획(IR 정합)</v>
      </c>
      <c r="C43" s="17">
        <f>'3_연간손익'!D21/100000</f>
        <v>0.441657949000002</v>
      </c>
      <c r="D43" s="17">
        <f>'3_연간손익'!E21/100000</f>
        <v>10.9629060344</v>
      </c>
      <c r="E43" s="17">
        <f>'3_연간손익'!F21/100000</f>
        <v>32.7951788572571</v>
      </c>
      <c r="F43" s="17">
        <f>'3_연간손익'!G21/100000</f>
        <v>73.074812673807</v>
      </c>
      <c r="G43" s="17">
        <f>'3_연간손익'!H21/100000</f>
        <v>194.891947694366</v>
      </c>
    </row>
    <row r="44">
      <c r="A44" s="15" t="inlineStr">
        <is>
          <t>추정 유료 이용자(명)</t>
        </is>
      </c>
      <c r="B44" s="29" t="str">
        <f>'1_요약'!$C$4</f>
        <v>S1 경영계획(IR 정합)</v>
      </c>
      <c r="C44" s="18">
        <f>'3_연간손익'!D26</f>
        <v>970.042875</v>
      </c>
      <c r="D44" s="18">
        <f>'3_연간손익'!E26</f>
        <v>7943.04083333333</v>
      </c>
      <c r="E44" s="18">
        <f>'3_연간손익'!F26</f>
        <v>25179.2540666667</v>
      </c>
      <c r="F44" s="18">
        <f>'3_연간손익'!G26</f>
        <v>50559.3370183333</v>
      </c>
      <c r="G44" s="18">
        <f>'3_연간손익'!H26</f>
        <v>106269.147243867</v>
      </c>
    </row>
    <row r="45">
      <c r="A45" s="15" t="inlineStr">
        <is>
          <t>IR 대비 달성률</t>
        </is>
      </c>
      <c r="B45" s="29" t="str">
        <f>'1_요약'!$C$4</f>
        <v>S1 경영계획(IR 정합)</v>
      </c>
      <c r="C45" s="16">
        <f>'3_연간손익'!D28</f>
        <v>1.06220416666667</v>
      </c>
      <c r="D45" s="16">
        <f>'3_연간손익'!E28</f>
        <v>1</v>
      </c>
      <c r="E45" s="16">
        <f>'3_연간손익'!F28</f>
        <v>1</v>
      </c>
      <c r="F45" s="16">
        <f>'3_연간손익'!G28</f>
        <v>1</v>
      </c>
      <c r="G45" s="16">
        <f>'3_연간손익'!H28</f>
        <v>1</v>
      </c>
    </row>
    <row r="46"/>
    <row r="47">
      <c r="A47" s="12" t="inlineStr">
        <is>
          <t>점검: 라이브 매출 = 선택 시나리오 스냅샷</t>
        </is>
      </c>
      <c r="C47" s="101" t="str">
        <f>IF(ISNUMBER(C6),IF(ABS(C39-CHOOSE('1_요약'!$C$5,C6,C17,C28))&lt;0.05,"OK","갱신 필요"),"스냅샷 없음")</f>
        <v>OK</v>
      </c>
      <c r="D47" s="101" t="str">
        <f>IF(ISNUMBER(D6),IF(ABS(D39-CHOOSE('1_요약'!$C$5,D6,D17,D28))&lt;0.05,"OK","갱신 필요"),"스냅샷 없음")</f>
        <v>OK</v>
      </c>
      <c r="E47" s="101" t="str">
        <f>IF(ISNUMBER(E6),IF(ABS(E39-CHOOSE('1_요약'!$C$5,E6,E17,E28))&lt;0.05,"OK","갱신 필요"),"스냅샷 없음")</f>
        <v>OK</v>
      </c>
      <c r="F47" s="101" t="str">
        <f>IF(ISNUMBER(F6),IF(ABS(F39-CHOOSE('1_요약'!$C$5,F6,F17,F28))&lt;0.05,"OK","갱신 필요"),"스냅샷 없음")</f>
        <v>OK</v>
      </c>
      <c r="G47" s="101" t="str">
        <f>IF(ISNUMBER(G6),IF(ABS(G39-CHOOSE('1_요약'!$C$5,G6,G17,G28))&lt;0.05,"OK","갱신 필요"),"스냅샷 없음")</f>
        <v>OK</v>
      </c>
    </row>
    <row r="48"/>
    <row r="49"/>
    <row r="50">
      <c r="A50" s="3" t="inlineStr">
        <is>
          <t>시나리오 정의</t>
        </is>
      </c>
    </row>
    <row r="51">
      <c r="A51" s="20" t="inlineStr">
        <is>
          <t>S1 경영계획(IR 정합): 모든 지정 거래처 100% 반영(Sunway PoC 제외), 신규 파이프라인 100%, 삼성 채널은 IR 목표 대비 잔여. IR 매출 목표와 일치.</t>
        </is>
      </c>
    </row>
    <row r="52">
      <c r="A52" s="20" t="inlineStr">
        <is>
          <t>S2 기준(확률가중): 계약 90%·등록완료 50%·입찰 50%·진행중 30%·접촉 15%, 개시 +2~3개월 지연, 기존 확장 성장 70%, 신규 파이프라인 60%/45%/35%(2028/29/30), 기존 소액 85%.</t>
        </is>
      </c>
    </row>
    <row r="53">
      <c r="A53" s="20" t="inlineStr">
        <is>
          <t>S3 보수: 계약 75%·등록완료 30%·입찰 30%·진행중 15%·접촉 0%, 개시 +4~6개월 지연, 기존 확장 성장 40%, 신규 파이프라인 35%/20%/12%, 기존 소액 70%.</t>
        </is>
      </c>
    </row>
    <row r="54">
      <c r="A54" s="20" t="inlineStr">
        <is>
          <t>인원은 매출 달성률에 75% 탄력적으로 연동(25%는 고정). 임차·출장·상각 등 고정비는 유지되어 규모 하락 시 이익률이 낮아집니다.</t>
        </is>
      </c>
    </row>
  </sheetData>
  <pageMargins left="0.75" right="0.75" top="1" bottom="1" header="0.5" footer="0.5"/>
  <pageSetup orientation="landscape" fitToHeight="0" fitToWidth="1"/>
</worksheet>
</file>

<file path=xl/worksheets/sheet10.xml><?xml version="1.0" encoding="utf-8"?>
<worksheet xmlns="http://schemas.openxmlformats.org/spreadsheetml/2006/main">
  <sheetPr>
    <tabColor rgb="00548235"/>
    <outlinePr summaryBelow="1" summaryRight="1"/>
    <pageSetUpPr fitToPage="1"/>
  </sheetPr>
  <dimension ref="A1:I87"/>
  <sheetViews>
    <sheetView workbookViewId="0">
      <selection activeCell="A1" sqref="A1"/>
    </sheetView>
  </sheetViews>
  <sheetFormatPr baseColWidth="8" defaultRowHeight="15"/>
  <cols>
    <col width="30" customWidth="1" min="1" max="1"/>
    <col width="40" customWidth="1" min="2" max="2"/>
    <col width="14" customWidth="1" min="3" max="3"/>
    <col width="15" customWidth="1" min="4" max="4"/>
    <col width="15" customWidth="1" min="5" max="5"/>
    <col width="15" customWidth="1" min="6" max="6"/>
    <col width="15" customWidth="1" min="7" max="7"/>
    <col width="15" customWidth="1" min="8" max="8"/>
    <col width="50" customWidth="1" min="9" max="9"/>
  </cols>
  <sheetData>
    <row r="1">
      <c r="A1" s="1" t="inlineStr">
        <is>
          <t>10_IR정합 — IR 전망 대비 모델 정합성 및 내재 KPI</t>
        </is>
      </c>
    </row>
    <row r="2">
      <c r="A2" s="2" t="inlineStr">
        <is>
          <t>단위: 천원(별도 표기 제외).</t>
        </is>
      </c>
    </row>
    <row r="3"/>
    <row r="4">
      <c r="A4" s="3" t="inlineStr">
        <is>
          <t>1. IR 매출 전망(p.24) 대비 모델</t>
        </is>
      </c>
    </row>
    <row r="5">
      <c r="A5" s="11" t="inlineStr">
        <is>
          <t>구분</t>
        </is>
      </c>
      <c r="B5" s="11" t="inlineStr"/>
      <c r="C5" s="11" t="n">
        <v>2026</v>
      </c>
      <c r="D5" s="11" t="n">
        <v>2027</v>
      </c>
      <c r="E5" s="11" t="n">
        <v>2028</v>
      </c>
      <c r="F5" s="11" t="n">
        <v>2029</v>
      </c>
      <c r="G5" s="11" t="n">
        <v>2030</v>
      </c>
    </row>
    <row r="6">
      <c r="A6" s="12" t="inlineStr">
        <is>
          <t>IR 매출 목표</t>
        </is>
      </c>
      <c r="C6" s="18">
        <f>'8_가정'!$C$6</f>
        <v>1200000</v>
      </c>
      <c r="D6" s="18">
        <f>'8_가정'!$D$6</f>
        <v>10005000</v>
      </c>
      <c r="E6" s="18">
        <f>'8_가정'!$E$6</f>
        <v>33000000</v>
      </c>
      <c r="F6" s="18">
        <f>'8_가정'!$F$6</f>
        <v>70000000</v>
      </c>
      <c r="G6" s="18">
        <f>'8_가정'!$G$6</f>
        <v>156000000</v>
      </c>
    </row>
    <row r="7" ht="36" customHeight="1">
      <c r="A7" s="12" t="inlineStr">
        <is>
          <t>S1 기준안(A블록, 확률 가중)</t>
        </is>
      </c>
      <c r="C7" s="18">
        <f>'4_매출_거래처'!AV44</f>
        <v>1274645</v>
      </c>
      <c r="D7" s="18">
        <f>'4_매출_거래처'!AW44</f>
        <v>10005000</v>
      </c>
      <c r="E7" s="18">
        <f>'4_매출_거래처'!AX44</f>
        <v>33000000</v>
      </c>
      <c r="F7" s="18">
        <f>'4_매출_거래처'!AY44</f>
        <v>70000000</v>
      </c>
      <c r="G7" s="18">
        <f>'4_매출_거래처'!AZ44</f>
        <v>156000000</v>
      </c>
      <c r="I7" s="102" t="inlineStr">
        <is>
          <t>2027은 IR p.25 표 합계에서 Sunway PoC(3.0억)를 제외한 값 ≈ IR 차트 10,005(차이 −2,960천원(약 −3백만원), 반올림 수준). 2026은 지정 거래처 + 기존 소액 조정, 2028~30은 삼성 채널 잔차로 일치</t>
        </is>
      </c>
    </row>
    <row r="8">
      <c r="A8" s="15" t="inlineStr">
        <is>
          <t>차이(S1 − IR)</t>
        </is>
      </c>
      <c r="C8" s="43">
        <f>C7-C6</f>
        <v>74645</v>
      </c>
      <c r="D8" s="43">
        <f>D7-D6</f>
        <v>0</v>
      </c>
      <c r="E8" s="43">
        <f>E7-E6</f>
        <v>0</v>
      </c>
      <c r="F8" s="43">
        <f>F7-F6</f>
        <v>0</v>
      </c>
      <c r="G8" s="43">
        <f>G7-G6</f>
        <v>0</v>
      </c>
    </row>
    <row r="9">
      <c r="A9" s="15" t="inlineStr">
        <is>
          <t>차이 %</t>
        </is>
      </c>
      <c r="C9" s="68">
        <f>IFERROR(C8/C6,0)</f>
        <v>0.0622041666666667</v>
      </c>
      <c r="D9" s="68">
        <f>IFERROR(D8/D6,0)</f>
        <v>0</v>
      </c>
      <c r="E9" s="68">
        <f>IFERROR(E8/E6,0)</f>
        <v>0</v>
      </c>
      <c r="F9" s="68">
        <f>IFERROR(F8/F6,0)</f>
        <v>0</v>
      </c>
      <c r="G9" s="68">
        <f>IFERROR(G8/G6,0)</f>
        <v>0</v>
      </c>
    </row>
    <row r="10">
      <c r="A10" s="15" t="inlineStr">
        <is>
          <t>선택 시나리오 매출(B블록)</t>
        </is>
      </c>
      <c r="C10" s="18">
        <f>'4_매출_거래처'!AV86</f>
        <v>1274645</v>
      </c>
      <c r="D10" s="18">
        <f>'4_매출_거래처'!AW86</f>
        <v>10005000</v>
      </c>
      <c r="E10" s="18">
        <f>'4_매출_거래처'!AX86</f>
        <v>33000000</v>
      </c>
      <c r="F10" s="18">
        <f>'4_매출_거래처'!AY86</f>
        <v>70000000</v>
      </c>
      <c r="G10" s="18">
        <f>'4_매출_거래처'!AZ86</f>
        <v>156000000</v>
      </c>
    </row>
    <row r="11">
      <c r="A11" s="15" t="inlineStr">
        <is>
          <t>선택 시나리오 / IR</t>
        </is>
      </c>
      <c r="C11" s="57">
        <f>IFERROR(C10/C6,0)</f>
        <v>1.06220416666667</v>
      </c>
      <c r="D11" s="57">
        <f>IFERROR(D10/D6,0)</f>
        <v>1</v>
      </c>
      <c r="E11" s="57">
        <f>IFERROR(E10/E6,0)</f>
        <v>1</v>
      </c>
      <c r="F11" s="57">
        <f>IFERROR(F10/F6,0)</f>
        <v>1</v>
      </c>
      <c r="G11" s="57">
        <f>IFERROR(G10/G6,0)</f>
        <v>1</v>
      </c>
    </row>
    <row r="12"/>
    <row r="13">
      <c r="A13" s="3" t="inlineStr">
        <is>
          <t>2. 2027 거래처 표(IR p.25) 대비 모델</t>
        </is>
      </c>
    </row>
    <row r="14">
      <c r="A14" s="11" t="inlineStr">
        <is>
          <t>국가</t>
        </is>
      </c>
      <c r="B14" s="11" t="inlineStr">
        <is>
          <t>거래처</t>
        </is>
      </c>
      <c r="C14" s="11" t="inlineStr">
        <is>
          <t>IR 단계</t>
        </is>
      </c>
      <c r="D14" s="11" t="inlineStr">
        <is>
          <t>IR 2027 매출</t>
        </is>
      </c>
      <c r="E14" s="11" t="inlineStr">
        <is>
          <t>S1 모델 2027</t>
        </is>
      </c>
      <c r="F14" s="11" t="inlineStr">
        <is>
          <t>차이</t>
        </is>
      </c>
      <c r="G14" s="11" t="inlineStr">
        <is>
          <t>선택 시나리오 2027</t>
        </is>
      </c>
      <c r="H14" s="11" t="inlineStr">
        <is>
          <t>비고</t>
        </is>
      </c>
    </row>
    <row r="15">
      <c r="A15" s="15" t="inlineStr">
        <is>
          <t>한국</t>
        </is>
      </c>
      <c r="B15" s="15" t="inlineStr">
        <is>
          <t>네이버(Bebefit/Monit) — 베이비</t>
        </is>
      </c>
      <c r="C15" s="15" t="inlineStr">
        <is>
          <t>기존</t>
        </is>
      </c>
      <c r="E15" s="18">
        <f>'4_매출_거래처'!AW10*'4_매출_거래처'!$S10</f>
        <v>240000</v>
      </c>
      <c r="G15" s="18">
        <f>'4_매출_거래처'!AW52</f>
        <v>240000</v>
      </c>
    </row>
    <row r="16">
      <c r="A16" s="15" t="inlineStr">
        <is>
          <t>한국</t>
        </is>
      </c>
      <c r="B16" s="15" t="inlineStr">
        <is>
          <t>네이버(위탁상품) — 베이비</t>
        </is>
      </c>
      <c r="C16" s="15" t="inlineStr">
        <is>
          <t>기존</t>
        </is>
      </c>
      <c r="E16" s="18">
        <f>'4_매출_거래처'!AW11*'4_매출_거래처'!$S11</f>
        <v>120000</v>
      </c>
      <c r="G16" s="18">
        <f>'4_매출_거래처'!AW53</f>
        <v>120000</v>
      </c>
    </row>
    <row r="17">
      <c r="A17" s="15" t="inlineStr">
        <is>
          <t>한국</t>
        </is>
      </c>
      <c r="B17" s="15" t="inlineStr">
        <is>
          <t>쿠팡 — 베이비</t>
        </is>
      </c>
      <c r="C17" s="15" t="inlineStr">
        <is>
          <t>기존</t>
        </is>
      </c>
      <c r="E17" s="18">
        <f>'4_매출_거래처'!AW12*'4_매출_거래처'!$S12</f>
        <v>240000</v>
      </c>
      <c r="G17" s="18">
        <f>'4_매출_거래처'!AW54</f>
        <v>240000</v>
      </c>
    </row>
    <row r="18">
      <c r="A18" s="15" t="inlineStr">
        <is>
          <t>한국</t>
        </is>
      </c>
      <c r="B18" s="15" t="inlineStr">
        <is>
          <t>기타 B2C — 베이비</t>
        </is>
      </c>
      <c r="C18" s="15" t="inlineStr">
        <is>
          <t>기존</t>
        </is>
      </c>
      <c r="E18" s="18">
        <f>'4_매출_거래처'!AW13*'4_매출_거래처'!$S13</f>
        <v>216000</v>
      </c>
      <c r="G18" s="18">
        <f>'4_매출_거래처'!AW55</f>
        <v>216000</v>
      </c>
    </row>
    <row r="19">
      <c r="A19" s="15" t="inlineStr">
        <is>
          <t>한국</t>
        </is>
      </c>
      <c r="B19" s="15" t="inlineStr">
        <is>
          <t>B2B(국내) — 베이비</t>
        </is>
      </c>
      <c r="C19" s="15" t="inlineStr">
        <is>
          <t>기존</t>
        </is>
      </c>
      <c r="E19" s="18">
        <f>'4_매출_거래처'!AW14*'4_매출_거래처'!$S14</f>
        <v>220000</v>
      </c>
      <c r="G19" s="18">
        <f>'4_매출_거래처'!AW56</f>
        <v>220000</v>
      </c>
    </row>
    <row r="20">
      <c r="A20" s="15" t="inlineStr">
        <is>
          <t>한국</t>
        </is>
      </c>
      <c r="B20" s="15" t="inlineStr">
        <is>
          <t>APP KOREA — 유아(스마트 베이비 기저귀)</t>
        </is>
      </c>
      <c r="C20" s="15" t="inlineStr">
        <is>
          <t>계약</t>
        </is>
      </c>
      <c r="D20" s="55" t="n">
        <v>1000000</v>
      </c>
      <c r="E20" s="18">
        <f>'4_매출_거래처'!AW15*'4_매출_거래처'!$S15</f>
        <v>1200000</v>
      </c>
      <c r="F20" s="43">
        <f>E20-D20</f>
        <v>200000</v>
      </c>
      <c r="G20" s="18">
        <f>'4_매출_거래처'!AW57</f>
        <v>1200000</v>
      </c>
    </row>
    <row r="21">
      <c r="A21" s="15" t="inlineStr">
        <is>
          <t>대만</t>
        </is>
      </c>
      <c r="B21" s="15" t="inlineStr">
        <is>
          <t>Little Loft(대만, 베이비)</t>
        </is>
      </c>
      <c r="C21" s="15" t="inlineStr">
        <is>
          <t>계약</t>
        </is>
      </c>
      <c r="D21" s="55" t="n">
        <v>120000</v>
      </c>
      <c r="E21" s="18">
        <f>'4_매출_거래처'!AW16*'4_매출_거래처'!$S16</f>
        <v>135000</v>
      </c>
      <c r="F21" s="43">
        <f>E21-D21</f>
        <v>15000</v>
      </c>
      <c r="G21" s="18">
        <f>'4_매출_거래처'!AW58</f>
        <v>135000</v>
      </c>
    </row>
    <row r="22">
      <c r="A22" s="15" t="inlineStr">
        <is>
          <t>태국</t>
        </is>
      </c>
      <c r="B22" s="15" t="inlineStr">
        <is>
          <t>Punnita House(태국, 베이비)</t>
        </is>
      </c>
      <c r="C22" s="15" t="inlineStr">
        <is>
          <t>계약</t>
        </is>
      </c>
      <c r="D22" s="55" t="n">
        <v>90000</v>
      </c>
      <c r="E22" s="18">
        <f>'4_매출_거래처'!AW17*'4_매출_거래처'!$S17</f>
        <v>135000</v>
      </c>
      <c r="F22" s="43">
        <f>E22-D22</f>
        <v>45000</v>
      </c>
      <c r="G22" s="18">
        <f>'4_매출_거래처'!AW59</f>
        <v>135000</v>
      </c>
    </row>
    <row r="23">
      <c r="A23" s="15" t="inlineStr">
        <is>
          <t>미정</t>
        </is>
      </c>
      <c r="B23" s="15" t="inlineStr">
        <is>
          <t>신규 거래선-1 Swara Baby(베이비)</t>
        </is>
      </c>
      <c r="C23" s="15" t="inlineStr">
        <is>
          <t>진행중</t>
        </is>
      </c>
      <c r="E23" s="18">
        <f>'4_매출_거래처'!AW18*'4_매출_거래처'!$S18</f>
        <v>135000</v>
      </c>
      <c r="G23" s="18">
        <f>'4_매출_거래처'!AW60</f>
        <v>135000</v>
      </c>
    </row>
    <row r="24">
      <c r="A24" s="15" t="inlineStr">
        <is>
          <t>미정</t>
        </is>
      </c>
      <c r="B24" s="15" t="inlineStr">
        <is>
          <t>신규 거래선-2(베이비)</t>
        </is>
      </c>
      <c r="C24" s="15" t="inlineStr">
        <is>
          <t>진행중</t>
        </is>
      </c>
      <c r="E24" s="18">
        <f>'4_매출_거래처'!AW19*'4_매출_거래처'!$S19</f>
        <v>135000</v>
      </c>
      <c r="G24" s="18">
        <f>'4_매출_거래처'!AW61</f>
        <v>135000</v>
      </c>
    </row>
    <row r="25">
      <c r="A25" s="15" t="inlineStr">
        <is>
          <t>한국</t>
        </is>
      </c>
      <c r="B25" s="15" t="inlineStr">
        <is>
          <t>삼성노블카운티</t>
        </is>
      </c>
      <c r="C25" s="15" t="inlineStr">
        <is>
          <t>계약</t>
        </is>
      </c>
      <c r="E25" s="18">
        <f>'4_매출_거래처'!AW20*'4_매출_거래처'!$S20</f>
        <v>23700</v>
      </c>
      <c r="G25" s="18">
        <f>'4_매출_거래처'!AW62</f>
        <v>23700</v>
      </c>
    </row>
    <row r="26">
      <c r="A26" s="15" t="inlineStr">
        <is>
          <t>한국</t>
        </is>
      </c>
      <c r="B26" s="15" t="inlineStr">
        <is>
          <t>국내 요양병원·시설 구독 매출</t>
        </is>
      </c>
      <c r="C26" s="15" t="inlineStr">
        <is>
          <t>진행중</t>
        </is>
      </c>
      <c r="D26" s="55" t="n">
        <v>1986200</v>
      </c>
      <c r="E26" s="18">
        <f>'4_매출_거래처'!AW21*'4_매출_거래처'!$S21</f>
        <v>2998000</v>
      </c>
      <c r="F26" s="43">
        <f>E26-D26</f>
        <v>1011800</v>
      </c>
      <c r="G26" s="18">
        <f>'4_매출_거래처'!AW63</f>
        <v>2998000</v>
      </c>
    </row>
    <row r="27">
      <c r="A27" s="15" t="inlineStr">
        <is>
          <t>한국</t>
        </is>
      </c>
      <c r="B27" s="15" t="inlineStr">
        <is>
          <t>피플앤피플 실증사업</t>
        </is>
      </c>
      <c r="C27" s="15" t="inlineStr">
        <is>
          <t>계약</t>
        </is>
      </c>
      <c r="E27" s="18">
        <f>'4_매출_거래처'!AW22*'4_매출_거래처'!$S22</f>
        <v>0</v>
      </c>
      <c r="G27" s="18">
        <f>'4_매출_거래처'!AW64</f>
        <v>0</v>
      </c>
    </row>
    <row r="28">
      <c r="A28" s="15" t="inlineStr">
        <is>
          <t>한국</t>
        </is>
      </c>
      <c r="B28" s="15" t="inlineStr">
        <is>
          <t>네이버 — 엘더리</t>
        </is>
      </c>
      <c r="C28" s="15" t="inlineStr">
        <is>
          <t>기존</t>
        </is>
      </c>
      <c r="E28" s="18">
        <f>'4_매출_거래처'!AW23*'4_매출_거래처'!$S23</f>
        <v>0</v>
      </c>
      <c r="G28" s="18">
        <f>'4_매출_거래처'!AW65</f>
        <v>0</v>
      </c>
    </row>
    <row r="29">
      <c r="A29" s="15" t="inlineStr">
        <is>
          <t>한국</t>
        </is>
      </c>
      <c r="B29" s="15" t="inlineStr">
        <is>
          <t>쿠팡 — 엘더리</t>
        </is>
      </c>
      <c r="C29" s="15" t="inlineStr">
        <is>
          <t>기존</t>
        </is>
      </c>
      <c r="E29" s="18">
        <f>'4_매출_거래처'!AW24*'4_매출_거래처'!$S24</f>
        <v>240000</v>
      </c>
      <c r="G29" s="18">
        <f>'4_매출_거래처'!AW66</f>
        <v>240000</v>
      </c>
    </row>
    <row r="30">
      <c r="A30" s="15" t="inlineStr">
        <is>
          <t>한국</t>
        </is>
      </c>
      <c r="B30" s="15" t="inlineStr">
        <is>
          <t>복지용구(NHIS 급여, 기저귀센서)</t>
        </is>
      </c>
      <c r="C30" s="15" t="inlineStr">
        <is>
          <t>등록완료</t>
        </is>
      </c>
      <c r="D30" s="55" t="n">
        <v>500000</v>
      </c>
      <c r="E30" s="18">
        <f>'4_매출_거래처'!AW25*'4_매출_거래처'!$S25</f>
        <v>487300</v>
      </c>
      <c r="F30" s="43">
        <f>E30-D30</f>
        <v>-12700</v>
      </c>
      <c r="G30" s="18">
        <f>'4_매출_거래처'!AW67</f>
        <v>487300</v>
      </c>
    </row>
    <row r="31">
      <c r="A31" s="15" t="inlineStr">
        <is>
          <t>한국</t>
        </is>
      </c>
      <c r="B31" s="15" t="inlineStr">
        <is>
          <t>국내 B2B 기타</t>
        </is>
      </c>
      <c r="C31" s="15" t="inlineStr">
        <is>
          <t>기존</t>
        </is>
      </c>
      <c r="E31" s="18">
        <f>'4_매출_거래처'!AW26*'4_매출_거래처'!$S26</f>
        <v>0</v>
      </c>
      <c r="G31" s="18">
        <f>'4_매출_거래처'!AW68</f>
        <v>0</v>
      </c>
    </row>
    <row r="32">
      <c r="A32" s="15" t="inlineStr">
        <is>
          <t>한국</t>
        </is>
      </c>
      <c r="B32" s="15" t="inlineStr">
        <is>
          <t>APP KOREA — 성인(키퍼스 시니어 팬티형)</t>
        </is>
      </c>
      <c r="C32" s="15" t="inlineStr">
        <is>
          <t>계약</t>
        </is>
      </c>
      <c r="D32" s="55" t="n">
        <v>1500000</v>
      </c>
      <c r="E32" s="18">
        <f>'4_매출_거래처'!AW27*'4_매출_거래처'!$S27</f>
        <v>1200000</v>
      </c>
      <c r="F32" s="43">
        <f>E32-D32</f>
        <v>-300000</v>
      </c>
      <c r="G32" s="18">
        <f>'4_매출_거래처'!AW69</f>
        <v>1200000</v>
      </c>
    </row>
    <row r="33">
      <c r="A33" s="15" t="inlineStr">
        <is>
          <t>일본</t>
        </is>
      </c>
      <c r="B33" s="15" t="inlineStr">
        <is>
          <t>일본 하트키움(HEARTCARE 오사카 요양시설)</t>
        </is>
      </c>
      <c r="C33" s="15" t="inlineStr">
        <is>
          <t>계약</t>
        </is>
      </c>
      <c r="D33" s="55" t="n">
        <v>1600000</v>
      </c>
      <c r="E33" s="18">
        <f>'4_매출_거래처'!AW28*'4_매출_거래처'!$S28</f>
        <v>360000</v>
      </c>
      <c r="F33" s="43">
        <f>E33-D33</f>
        <v>-1240000</v>
      </c>
      <c r="G33" s="18">
        <f>'4_매출_거래처'!AW70</f>
        <v>360000</v>
      </c>
    </row>
    <row r="34">
      <c r="A34" s="15" t="inlineStr">
        <is>
          <t>일본</t>
        </is>
      </c>
      <c r="B34" s="15" t="inlineStr">
        <is>
          <t>일본 TAIS by JAIS</t>
        </is>
      </c>
      <c r="C34" s="15" t="inlineStr">
        <is>
          <t>등록완료</t>
        </is>
      </c>
      <c r="D34" s="55" t="n">
        <v>2000000</v>
      </c>
      <c r="E34" s="18">
        <f>'4_매출_거래처'!AW29*'4_매출_거래처'!$S29</f>
        <v>240000</v>
      </c>
      <c r="F34" s="43">
        <f>E34-D34</f>
        <v>-1760000</v>
      </c>
      <c r="G34" s="18">
        <f>'4_매출_거래처'!AW71</f>
        <v>240000</v>
      </c>
    </row>
    <row r="35">
      <c r="A35" s="15" t="inlineStr">
        <is>
          <t>해외</t>
        </is>
      </c>
      <c r="B35" s="15" t="inlineStr">
        <is>
          <t>해외 샘플</t>
        </is>
      </c>
      <c r="C35" s="15" t="inlineStr">
        <is>
          <t>기존</t>
        </is>
      </c>
      <c r="E35" s="18">
        <f>'4_매출_거래처'!AW30*'4_매출_거래처'!$S30</f>
        <v>0</v>
      </c>
      <c r="G35" s="18">
        <f>'4_매출_거래처'!AW72</f>
        <v>0</v>
      </c>
    </row>
    <row r="36">
      <c r="A36" s="15" t="inlineStr">
        <is>
          <t>네덜란드</t>
        </is>
      </c>
      <c r="B36" s="15" t="inlineStr">
        <is>
          <t>Green Initiative(GIV, 네덜란드·룩셈부르크·독일·폴란드)</t>
        </is>
      </c>
      <c r="C36" s="15" t="inlineStr">
        <is>
          <t>계약</t>
        </is>
      </c>
      <c r="D36" s="55" t="n">
        <v>100000</v>
      </c>
      <c r="E36" s="18">
        <f>'4_매출_거래처'!AW31*'4_매출_거래처'!$S31</f>
        <v>150000</v>
      </c>
      <c r="F36" s="43">
        <f>E36-D36</f>
        <v>50000</v>
      </c>
      <c r="G36" s="18">
        <f>'4_매출_거래처'!AW73</f>
        <v>150000</v>
      </c>
    </row>
    <row r="37">
      <c r="A37" s="15" t="inlineStr">
        <is>
          <t>폴란드</t>
        </is>
      </c>
      <c r="B37" s="15" t="inlineStr">
        <is>
          <t>NEUCA(폴란드)</t>
        </is>
      </c>
      <c r="C37" s="15" t="inlineStr">
        <is>
          <t>접촉</t>
        </is>
      </c>
      <c r="D37" s="55" t="n">
        <v>100000</v>
      </c>
      <c r="E37" s="18">
        <f>'4_매출_거래처'!AW32*'4_매출_거래처'!$S32</f>
        <v>150000</v>
      </c>
      <c r="F37" s="43">
        <f>E37-D37</f>
        <v>50000</v>
      </c>
      <c r="G37" s="18">
        <f>'4_매출_거래처'!AW74</f>
        <v>150000</v>
      </c>
    </row>
    <row r="38">
      <c r="A38" s="15" t="inlineStr">
        <is>
          <t>독일</t>
        </is>
      </c>
      <c r="B38" s="15" t="inlineStr">
        <is>
          <t>독일 총판</t>
        </is>
      </c>
      <c r="C38" s="15" t="inlineStr">
        <is>
          <t>진행중</t>
        </is>
      </c>
      <c r="E38" s="18">
        <f>'4_매출_거래처'!AW33*'4_매출_거래처'!$S33</f>
        <v>150000</v>
      </c>
      <c r="G38" s="18">
        <f>'4_매출_거래처'!AW75</f>
        <v>150000</v>
      </c>
    </row>
    <row r="39">
      <c r="A39" s="15" t="inlineStr">
        <is>
          <t>싱가포르</t>
        </is>
      </c>
      <c r="B39" s="15" t="inlineStr">
        <is>
          <t>INTEGA(싱가포르·말레이시아·태국 총판)</t>
        </is>
      </c>
      <c r="C39" s="15" t="inlineStr">
        <is>
          <t>계약</t>
        </is>
      </c>
      <c r="D39" s="55" t="n">
        <v>300000</v>
      </c>
      <c r="E39" s="18">
        <f>'4_매출_거래처'!AW34*'4_매출_거래처'!$S34</f>
        <v>300000</v>
      </c>
      <c r="F39" s="43">
        <f>E39-D39</f>
        <v>0</v>
      </c>
      <c r="G39" s="18">
        <f>'4_매출_거래처'!AW76</f>
        <v>300000</v>
      </c>
    </row>
    <row r="40">
      <c r="A40" s="15" t="inlineStr">
        <is>
          <t>말레이시아</t>
        </is>
      </c>
      <c r="B40" s="15" t="inlineStr">
        <is>
          <t>Sunway Sanctuary(말레이시아)</t>
        </is>
      </c>
      <c r="C40" s="15" t="inlineStr">
        <is>
          <t>접촉</t>
        </is>
      </c>
      <c r="D40" s="55" t="n">
        <v>300000</v>
      </c>
      <c r="E40" s="18">
        <f>'4_매출_거래처'!AW35*'4_매출_거래처'!$S35</f>
        <v>50000</v>
      </c>
      <c r="F40" s="43">
        <f>E40-D40</f>
        <v>-250000</v>
      </c>
      <c r="G40" s="18">
        <f>'4_매출_거래처'!AW77</f>
        <v>50000</v>
      </c>
    </row>
    <row r="41">
      <c r="A41" s="15" t="inlineStr">
        <is>
          <t>싱가포르</t>
        </is>
      </c>
      <c r="B41" s="15" t="inlineStr">
        <is>
          <t>NHG(KTPH·TTSH·Woodlands) 스마트 병동</t>
        </is>
      </c>
      <c r="C41" s="15" t="inlineStr">
        <is>
          <t>입찰</t>
        </is>
      </c>
      <c r="D41" s="55" t="n">
        <v>180000</v>
      </c>
      <c r="E41" s="18">
        <f>'4_매출_거래처'!AW36*'4_매출_거래처'!$S36</f>
        <v>400000</v>
      </c>
      <c r="F41" s="43">
        <f>E41-D41</f>
        <v>220000</v>
      </c>
      <c r="G41" s="18">
        <f>'4_매출_거래처'!AW78</f>
        <v>400000</v>
      </c>
    </row>
    <row r="42">
      <c r="A42" s="15" t="inlineStr">
        <is>
          <t>싱가포르</t>
        </is>
      </c>
      <c r="B42" s="15" t="inlineStr">
        <is>
          <t>IMH 스마트 욕창 케어 R&amp;D</t>
        </is>
      </c>
      <c r="C42" s="15" t="inlineStr">
        <is>
          <t>계약</t>
        </is>
      </c>
      <c r="D42" s="55" t="n">
        <v>120000</v>
      </c>
      <c r="E42" s="18">
        <f>'4_매출_거래처'!AW37*'4_매출_거래처'!$S37</f>
        <v>180000</v>
      </c>
      <c r="F42" s="43">
        <f>E42-D42</f>
        <v>60000</v>
      </c>
      <c r="G42" s="18">
        <f>'4_매출_거래처'!AW79</f>
        <v>180000</v>
      </c>
    </row>
    <row r="43">
      <c r="A43" s="15" t="inlineStr">
        <is>
          <t>호주</t>
        </is>
      </c>
      <c r="B43" s="15" t="inlineStr">
        <is>
          <t>Healthbeats(호주·뉴질랜드)</t>
        </is>
      </c>
      <c r="C43" s="15" t="inlineStr">
        <is>
          <t>계약</t>
        </is>
      </c>
      <c r="D43" s="55" t="n">
        <v>120000</v>
      </c>
      <c r="E43" s="18">
        <f>'4_매출_거래처'!AW38*'4_매출_거래처'!$S38</f>
        <v>300000</v>
      </c>
      <c r="F43" s="43">
        <f>E43-D43</f>
        <v>180000</v>
      </c>
      <c r="G43" s="18">
        <f>'4_매출_거래처'!AW80</f>
        <v>300000</v>
      </c>
    </row>
    <row r="44">
      <c r="B44" s="12" t="inlineStr">
        <is>
          <t>합계(2026-10-05 매출표 기준)</t>
        </is>
      </c>
      <c r="D44" s="26">
        <f>SUM(D15:D43)</f>
        <v>10016200</v>
      </c>
      <c r="E44" s="26">
        <f>SUM(E15:E43)</f>
        <v>10005000</v>
      </c>
      <c r="G44" s="26">
        <f>SUM(G15:G43)</f>
        <v>10005000</v>
      </c>
      <c r="H44" s="102" t="inlineStr">
        <is>
          <t>2027 합계 = IR 차트 10,005,000. D열은 IR p.25 표와 대응되는 항목만 표기(표 합계 10,302,040 중 일부, 금액 미정 4건 제외)</t>
        </is>
      </c>
    </row>
    <row r="45">
      <c r="B45" s="103" t="inlineStr">
        <is>
          <t>※ 매출표는 IR p.25와 거래처 구성이 다름(국내 온라인·APP 확대, 일본 하트키움 3.6억 등). 2027 총액만 IR 차트와 일치</t>
        </is>
      </c>
    </row>
    <row r="46"/>
    <row r="47"/>
    <row r="48">
      <c r="A48" s="3" t="inlineStr">
        <is>
          <t>3. IR p.25 표의 단계 구성(IR 자료 기준, Sunway 포함 전체 10,302,040천원)</t>
        </is>
      </c>
    </row>
    <row r="49">
      <c r="A49" s="11" t="inlineStr">
        <is>
          <t>단계</t>
        </is>
      </c>
      <c r="B49" s="11" t="inlineStr"/>
      <c r="C49" s="11" t="inlineStr">
        <is>
          <t>금액</t>
        </is>
      </c>
      <c r="D49" s="11" t="inlineStr">
        <is>
          <t>비중</t>
        </is>
      </c>
    </row>
    <row r="50">
      <c r="A50" s="15" t="inlineStr">
        <is>
          <t>계약</t>
        </is>
      </c>
      <c r="C50" s="55" t="n">
        <v>5415840</v>
      </c>
      <c r="D50" s="57">
        <f>IFERROR(C50/SUM($C$50:$C$54),0)</f>
        <v>0.525705588407733</v>
      </c>
      <c r="E50" s="103" t="inlineStr">
        <is>
          <t>※ NHG는 IR에 "계약"이나 입찰자료상 LOA 미확인(★확인사항).</t>
        </is>
      </c>
    </row>
    <row r="51">
      <c r="A51" s="15" t="inlineStr">
        <is>
          <t>등록 완료</t>
        </is>
      </c>
      <c r="C51" s="55" t="n">
        <v>2500000</v>
      </c>
      <c r="D51" s="57">
        <f>IFERROR(C51/SUM($C$50:$C$54),0)</f>
        <v>0.242670383729824</v>
      </c>
    </row>
    <row r="52">
      <c r="A52" s="15" t="inlineStr">
        <is>
          <t>진행 중</t>
        </is>
      </c>
      <c r="C52" s="55" t="n">
        <v>1986200</v>
      </c>
      <c r="D52" s="57">
        <f>IFERROR(C52/SUM($C$50:$C$54),0)</f>
        <v>0.192796766465671</v>
      </c>
    </row>
    <row r="53">
      <c r="A53" s="15" t="inlineStr">
        <is>
          <t>PoC / R&amp;D</t>
        </is>
      </c>
      <c r="C53" s="55" t="n">
        <v>300000</v>
      </c>
      <c r="D53" s="57">
        <f>IFERROR(C53/SUM($C$50:$C$54),0)</f>
        <v>0.0291204460475789</v>
      </c>
    </row>
    <row r="54">
      <c r="A54" s="15" t="inlineStr">
        <is>
          <t>접촉</t>
        </is>
      </c>
      <c r="C54" s="55" t="n">
        <v>100000</v>
      </c>
      <c r="D54" s="57">
        <f>IFERROR(C54/SUM($C$50:$C$54),0)</f>
        <v>0.00970681534919298</v>
      </c>
    </row>
    <row r="55">
      <c r="A55" s="12" t="inlineStr">
        <is>
          <t>합계</t>
        </is>
      </c>
      <c r="C55" s="26">
        <f>SUM(C50:C54)</f>
        <v>10302040</v>
      </c>
      <c r="D55" s="104">
        <f>SUM(D50:D54)</f>
        <v>1</v>
      </c>
    </row>
    <row r="56"/>
    <row r="57"/>
    <row r="58">
      <c r="A58" s="3" t="inlineStr">
        <is>
          <t>4. 내재 KPI — IR 목표가 요구하는 이용자·시설 수 vs IR SOM</t>
        </is>
      </c>
    </row>
    <row r="59">
      <c r="A59" s="11" t="inlineStr">
        <is>
          <t>지표</t>
        </is>
      </c>
      <c r="B59" s="11" t="inlineStr"/>
      <c r="C59" s="11" t="n">
        <v>2026</v>
      </c>
      <c r="D59" s="11" t="n">
        <v>2027</v>
      </c>
      <c r="E59" s="11" t="n">
        <v>2028</v>
      </c>
      <c r="F59" s="11" t="n">
        <v>2029</v>
      </c>
      <c r="G59" s="11" t="n">
        <v>2030</v>
      </c>
    </row>
    <row r="60">
      <c r="A60" s="15" t="inlineStr">
        <is>
          <t>IR 목표가 요구하는 평균 유료 이용자(명)</t>
        </is>
      </c>
      <c r="C60" s="18">
        <f>C6/'8_가정'!$C$11</f>
        <v>1000</v>
      </c>
      <c r="D60" s="18">
        <f>D6/'8_가정'!$C$11</f>
        <v>8337.5</v>
      </c>
      <c r="E60" s="18">
        <f>E6/'8_가정'!$C$11</f>
        <v>27500</v>
      </c>
      <c r="F60" s="18">
        <f>F6/'8_가정'!$C$11</f>
        <v>58333.3333333333</v>
      </c>
      <c r="G60" s="18">
        <f>G6/'8_가정'!$C$11</f>
        <v>130000</v>
      </c>
      <c r="H60" s="103" t="inlineStr">
        <is>
          <t>IR 매출 ÷ ARPU(120만원)</t>
        </is>
      </c>
    </row>
    <row r="61">
      <c r="A61" s="15" t="inlineStr">
        <is>
          <t>선택 시나리오 추정 유료 이용자(명)</t>
        </is>
      </c>
      <c r="C61" s="18">
        <f>'3_연간손익'!D26</f>
        <v>970.042875</v>
      </c>
      <c r="D61" s="18">
        <f>'3_연간손익'!E26</f>
        <v>7943.04083333333</v>
      </c>
      <c r="E61" s="18">
        <f>'3_연간손익'!F26</f>
        <v>25179.2540666667</v>
      </c>
      <c r="F61" s="18">
        <f>'3_연간손익'!G26</f>
        <v>50559.3370183333</v>
      </c>
      <c r="G61" s="18">
        <f>'3_연간손익'!H26</f>
        <v>106269.147243867</v>
      </c>
      <c r="H61" s="103" t="inlineStr">
        <is>
          <t>구독형 매출 ÷ ARPU</t>
        </is>
      </c>
    </row>
    <row r="62">
      <c r="A62" s="15" t="inlineStr">
        <is>
          <t>필요 도입 시설 수(곳) — IR 이용자 ÷ 시설당 150명</t>
        </is>
      </c>
      <c r="C62" s="18">
        <f>C60/'8_가정'!$C$12</f>
        <v>6.66666666666667</v>
      </c>
      <c r="D62" s="18">
        <f>D60/'8_가정'!$C$12</f>
        <v>55.5833333333333</v>
      </c>
      <c r="E62" s="18">
        <f>E60/'8_가정'!$C$12</f>
        <v>183.333333333333</v>
      </c>
      <c r="F62" s="18">
        <f>F60/'8_가정'!$C$12</f>
        <v>388.888888888889</v>
      </c>
      <c r="G62" s="18">
        <f>G60/'8_가정'!$C$12</f>
        <v>866.666666666667</v>
      </c>
      <c r="H62" s="103" t="inlineStr">
        <is>
          <t>시설+재가·유통 채널 혼합이므로 상한 지표</t>
        </is>
      </c>
    </row>
    <row r="63">
      <c r="A63" s="15" t="inlineStr">
        <is>
          <t>IR SOM 이용자 대비 비중</t>
        </is>
      </c>
      <c r="C63" s="16">
        <f>C60/'8_가정'!$C$13</f>
        <v>0.004</v>
      </c>
      <c r="D63" s="16">
        <f>D60/'8_가정'!$C$13</f>
        <v>0.03335</v>
      </c>
      <c r="E63" s="16">
        <f>E60/'8_가정'!$C$13</f>
        <v>0.11</v>
      </c>
      <c r="F63" s="16">
        <f>F60/'8_가정'!$C$13</f>
        <v>0.233333333333333</v>
      </c>
      <c r="G63" s="16">
        <f>G60/'8_가정'!$C$13</f>
        <v>0.52</v>
      </c>
      <c r="H63" s="103" t="inlineStr">
        <is>
          <t>SOM 25만 명(3년 목표)</t>
        </is>
      </c>
    </row>
    <row r="64">
      <c r="A64" s="15" t="inlineStr">
        <is>
          <t>지정 거래처 매출 비중(S1)</t>
        </is>
      </c>
      <c r="C64" s="16">
        <f>IFERROR(SUMPRODUCT('4_매출_거래처'!$S$10:$S$38,'4_매출_거래처'!AV10:AV38)/C7,0)</f>
        <v>1</v>
      </c>
      <c r="D64" s="16">
        <f>IFERROR(SUMPRODUCT('4_매출_거래처'!$S$10:$S$38,'4_매출_거래처'!AW10:AW38)/D7,0)</f>
        <v>1</v>
      </c>
      <c r="E64" s="16">
        <f>IFERROR(SUMPRODUCT('4_매출_거래처'!$S$10:$S$38,'4_매출_거래처'!AX10:AX38)/E7,0)</f>
        <v>0.655585212121212</v>
      </c>
      <c r="F64" s="16">
        <f>IFERROR(SUMPRODUCT('4_매출_거래처'!$S$10:$S$38,'4_매출_거래처'!AY10:AY38)/F7,0)</f>
        <v>0.500070037142857</v>
      </c>
      <c r="G64" s="16">
        <f>IFERROR(SUMPRODUCT('4_매출_거래처'!$S$10:$S$38,'4_매출_거래처'!AZ10:AZ38)/G7,0)</f>
        <v>0.310824219025641</v>
      </c>
      <c r="H64" s="103" t="inlineStr">
        <is>
          <t>나머지는 신규 파이프라인·삼성채널·기존 소액</t>
        </is>
      </c>
    </row>
    <row r="65">
      <c r="A65" s="15" t="inlineStr">
        <is>
          <t>삼성 글로벌 채널(잔차) 비중(S1)</t>
        </is>
      </c>
      <c r="C65" s="16">
        <f>IFERROR('4_매출_거래처'!AV43/C7,0)</f>
        <v>0</v>
      </c>
      <c r="D65" s="16">
        <f>IFERROR('4_매출_거래처'!AW43/D7,0)</f>
        <v>0</v>
      </c>
      <c r="E65" s="16">
        <f>IFERROR('4_매출_거래처'!AX43/E7,0)</f>
        <v>0.12623296969697</v>
      </c>
      <c r="F65" s="16">
        <f>IFERROR('4_매출_거래처'!AY43/F7,0)</f>
        <v>0.131358534285714</v>
      </c>
      <c r="G65" s="16">
        <f>IFERROR('4_매출_거래처'!AZ43/G7,0)</f>
        <v>0.137893729692308</v>
      </c>
      <c r="H65" s="103" t="inlineStr">
        <is>
          <t>IR 총액과의 잔차</t>
        </is>
      </c>
    </row>
    <row r="66"/>
    <row r="67"/>
    <row r="68">
      <c r="A68" s="3" t="inlineStr">
        <is>
          <t>5. 정합 검증</t>
        </is>
      </c>
    </row>
    <row r="69">
      <c r="A69" s="15" t="inlineStr">
        <is>
          <t>S1 매출 = IR 목표(2026은 매출표 기준 +8% 이내, 2027·2028~30 일치)</t>
        </is>
      </c>
      <c r="D69" s="105" t="str">
        <f>IF(AND(ABS(C9)&lt;0.08,ABS(D9)&lt;0.0001,ABS(E9)&lt;0.0001,ABS(F9)&lt;0.0001,ABS(G9)&lt;0.0001),"OK","확인")</f>
        <v>OK</v>
      </c>
    </row>
    <row r="70">
      <c r="A70" s="15" t="inlineStr">
        <is>
          <t>삼성 채널 잔차 ≥ 0</t>
        </is>
      </c>
      <c r="D70" s="101" t="str">
        <f>IF(MIN('4_매출_거래처'!AX43:AZ43)&gt;=0,"OK","확인")</f>
        <v>OK</v>
      </c>
    </row>
    <row r="71">
      <c r="A71" s="15" t="inlineStr">
        <is>
          <t>제품 믹스 프로파일 합계 100%</t>
        </is>
      </c>
      <c r="D71" s="101" t="str">
        <f>'8_가정'!$C$88</f>
        <v>OK</v>
      </c>
    </row>
    <row r="72"/>
    <row r="73"/>
    <row r="74">
      <c r="A74" s="3" t="inlineStr">
        <is>
          <t>6. 성장 연속성 — 2027년 12월 run-rate 대비 2028년 매출(선택 시나리오)</t>
        </is>
      </c>
    </row>
    <row r="75">
      <c r="A75" s="15" t="inlineStr">
        <is>
          <t>2027-12 월 매출(천원)</t>
        </is>
      </c>
      <c r="D75" s="18">
        <f>'2_손익계산서'!AA14</f>
        <v>943275</v>
      </c>
    </row>
    <row r="76">
      <c r="A76" s="15" t="inlineStr">
        <is>
          <t>2027-12 월 매출 연환산(천원)</t>
        </is>
      </c>
      <c r="D76" s="43">
        <f>D75*12</f>
        <v>11319300</v>
      </c>
    </row>
    <row r="77">
      <c r="A77" s="15" t="inlineStr">
        <is>
          <t>2028 매출(천원)</t>
        </is>
      </c>
      <c r="D77" s="18">
        <f>'2_손익계산서'!AC14</f>
        <v>33000000</v>
      </c>
    </row>
    <row r="78">
      <c r="A78" s="15" t="inlineStr">
        <is>
          <t>2028 매출 ÷ 2027-12 연환산(배)</t>
        </is>
      </c>
      <c r="D78" s="106">
        <f>IFERROR(D77/D76,0)</f>
        <v>2.9153746256394</v>
      </c>
      <c r="E78" s="103" t="inlineStr">
        <is>
          <t>※ 2028 신규 파이프라인·삼성 채널(약 1/3)이 포함되어 있어 12월 run-rate 대비 배수가 큼 → 투자사 질의 예상 지점</t>
        </is>
      </c>
    </row>
    <row r="79">
      <c r="A79" s="15" t="inlineStr">
        <is>
          <t>2028 평균 월 매출(천원)</t>
        </is>
      </c>
      <c r="D79" s="43">
        <f>D77/12</f>
        <v>2750000</v>
      </c>
    </row>
    <row r="80"/>
    <row r="81"/>
    <row r="82">
      <c r="A82" s="3" t="inlineStr">
        <is>
          <t>7. 계약 통화 → 원화 환산(참고, 모델 미반영) — IR 2027 표는 현지 통화 수치를 천원으로 표기한 것으로 보임</t>
        </is>
      </c>
    </row>
    <row r="83">
      <c r="A83" s="11" t="inlineStr">
        <is>
          <t>거래처</t>
        </is>
      </c>
      <c r="B83" s="11" t="inlineStr">
        <is>
          <t>계약 통화·금액</t>
        </is>
      </c>
      <c r="C83" s="11" t="inlineStr">
        <is>
          <t>금액(현지통화)</t>
        </is>
      </c>
      <c r="D83" s="11" t="inlineStr">
        <is>
          <t>환율(8_가정)</t>
        </is>
      </c>
      <c r="E83" s="11" t="inlineStr">
        <is>
          <t>원화 환산(천원)</t>
        </is>
      </c>
      <c r="F83" s="11" t="inlineStr">
        <is>
          <t>IR 표(천원)</t>
        </is>
      </c>
      <c r="G83" s="11" t="inlineStr">
        <is>
          <t>상향 여지(천원)</t>
        </is>
      </c>
    </row>
    <row r="84">
      <c r="A84" s="15" t="inlineStr">
        <is>
          <t>NHG(KTPH·TTSH·WH) — RFP 초안 기준</t>
        </is>
      </c>
      <c r="B84" s="63" t="inlineStr">
        <is>
          <t>SGD</t>
        </is>
      </c>
      <c r="C84" s="55" t="n">
        <v>180000</v>
      </c>
      <c r="D84" s="17">
        <f>'8_가정'!$C$8</f>
        <v>1096</v>
      </c>
      <c r="E84" s="43">
        <f>C84*D84/1000</f>
        <v>197280</v>
      </c>
      <c r="F84" s="55" t="n">
        <v>180000</v>
      </c>
      <c r="G84" s="43">
        <f>E84-F84</f>
        <v>17280</v>
      </c>
    </row>
    <row r="85">
      <c r="A85" s="15" t="inlineStr">
        <is>
          <t>IMH 욕창 R&amp;D(연)</t>
        </is>
      </c>
      <c r="B85" s="63" t="inlineStr">
        <is>
          <t>SGD</t>
        </is>
      </c>
      <c r="C85" s="55" t="n">
        <v>120000</v>
      </c>
      <c r="D85" s="17">
        <f>'8_가정'!$C$8</f>
        <v>1096</v>
      </c>
      <c r="E85" s="43">
        <f>C85*D85/1000</f>
        <v>131520</v>
      </c>
      <c r="F85" s="55" t="n">
        <v>120000</v>
      </c>
      <c r="G85" s="43">
        <f>E85-F85</f>
        <v>11520</v>
      </c>
    </row>
    <row r="86">
      <c r="A86" s="15" t="inlineStr">
        <is>
          <t>Vanguard 입소자 300명 구독(연)</t>
        </is>
      </c>
      <c r="B86" s="63" t="inlineStr">
        <is>
          <t>USD</t>
        </is>
      </c>
      <c r="C86" s="55" t="n">
        <v>285840</v>
      </c>
      <c r="D86" s="17">
        <f>'8_가정'!$C$7</f>
        <v>1400</v>
      </c>
      <c r="E86" s="43">
        <f>C86*D86/1000</f>
        <v>400176</v>
      </c>
      <c r="F86" s="55" t="n">
        <v>285840</v>
      </c>
      <c r="G86" s="43">
        <f>E86-F86</f>
        <v>114336</v>
      </c>
    </row>
    <row r="87">
      <c r="A87" s="15" t="inlineStr">
        <is>
          <t>Intega 첫 수출(2026-01)</t>
        </is>
      </c>
      <c r="B87" s="63" t="inlineStr">
        <is>
          <t>USD</t>
        </is>
      </c>
      <c r="C87" s="55" t="n">
        <v>17440</v>
      </c>
      <c r="D87" s="17">
        <f>'8_가정'!$C$7</f>
        <v>1400</v>
      </c>
      <c r="E87" s="43">
        <f>C87*D87/1000</f>
        <v>24416</v>
      </c>
    </row>
  </sheetData>
  <pageMargins left="0.75" right="0.75" top="1" bottom="1" header="0.5" footer="0.5"/>
  <pageSetup orientation="landscape" fitToHeight="0" fitToWidth="1"/>
</worksheet>
</file>

<file path=xl/worksheets/sheet11.xml><?xml version="1.0" encoding="utf-8"?>
<worksheet xmlns="http://schemas.openxmlformats.org/spreadsheetml/2006/main">
  <sheetPr>
    <tabColor rgb="00C00000"/>
    <outlinePr summaryBelow="1" summaryRight="1"/>
    <pageSetUpPr fitToPage="1"/>
  </sheetPr>
  <dimension ref="A1:E23"/>
  <sheetViews>
    <sheetView workbookViewId="0">
      <pane ySplit="4" topLeftCell="A5" activePane="bottomLeft" state="frozen"/>
      <selection pane="bottomLeft" activeCell="A1" sqref="A1"/>
    </sheetView>
  </sheetViews>
  <sheetFormatPr baseColWidth="8" defaultRowHeight="15"/>
  <cols>
    <col width="4" customWidth="1" min="1" max="1"/>
    <col width="16" customWidth="1" min="2" max="2"/>
    <col width="44" customWidth="1" min="3" max="3"/>
    <col width="80" customWidth="1" min="4" max="4"/>
    <col width="46" customWidth="1" min="5" max="5"/>
  </cols>
  <sheetData>
    <row r="1">
      <c r="A1" s="1" t="inlineStr">
        <is>
          <t>★제출전_확인사항 (삭제 후 제출)</t>
        </is>
      </c>
    </row>
    <row r="2">
      <c r="A2" s="2" t="inlineStr">
        <is>
          <t>투자사에 제출하기 전에 아래 항목을 확인·반영하고 이 시트를 삭제하세요.</t>
        </is>
      </c>
    </row>
    <row r="4">
      <c r="A4" s="11" t="inlineStr">
        <is>
          <t>#</t>
        </is>
      </c>
      <c r="B4" s="11" t="inlineStr">
        <is>
          <t>시트</t>
        </is>
      </c>
      <c r="C4" s="11" t="inlineStr">
        <is>
          <t>확인할 내용</t>
        </is>
      </c>
      <c r="D4" s="11" t="inlineStr">
        <is>
          <t>현재 반영 및 근거</t>
        </is>
      </c>
      <c r="E4" s="11" t="inlineStr">
        <is>
          <t>조치 제안</t>
        </is>
      </c>
    </row>
    <row r="5" ht="40" customHeight="1">
      <c r="A5" s="8" t="n">
        <v>1</v>
      </c>
      <c r="B5" s="74" t="inlineStr">
        <is>
          <t>4_매출_거래처</t>
        </is>
      </c>
      <c r="C5" s="107" t="inlineStr">
        <is>
          <t>매출표(2026-10-05 JCS)의 "차수" 열 → 월 매핑</t>
        </is>
      </c>
      <c r="D5" s="74" t="inlineStr">
        <is>
          <t>표의 1~60차는 날짜가 없어 1~46차(실적)를 1~9월에 균등 배분, 47~60차(예정)를 10~12월에 배분하고 APP 54차=10월, GIV 32차=9월(€24,000)로 지정. 실제 월과 다를 수 있음</t>
        </is>
      </c>
      <c r="E5" s="74" t="inlineStr">
        <is>
          <t>차수별 실제 출고월/발주월을 알려주시면 월별 배분을 정정(4_매출_거래처 A블록 X~AI열 입력값 교체)</t>
        </is>
      </c>
    </row>
    <row r="6" ht="42" customHeight="1">
      <c r="A6" s="8" t="n">
        <v>2</v>
      </c>
      <c r="B6" s="74" t="inlineStr">
        <is>
          <t>4_매출_거래처</t>
        </is>
      </c>
      <c r="C6" s="107" t="inlineStr">
        <is>
          <t>매출표의 중복·불일치 가능 항목</t>
        </is>
      </c>
      <c r="D6" s="74" t="inlineStr">
        <is>
          <t>40,500,000원(USD 30,000 상당)이 베이비 합계 행 BG·BH 2회, 유럽(Green Initiative) 행 BG 1회로 합계에 포함됨(Punnita 12월 1건 안내와 불일치 가능). 엘더리 국내 합계 행과 하위 행 합 차이 −3.96백만원은 국내 B2B 기타 11월에 반영. 2026 합계는 표의 BJ32 12.75억과 일치</t>
        </is>
      </c>
      <c r="E6" s="74" t="inlineStr">
        <is>
          <t>중복 여부 확인. 확인 시 베이비 해외 추가 발주(Punnita 행 12월) 정정</t>
        </is>
      </c>
    </row>
    <row r="7" ht="42" customHeight="1">
      <c r="A7" s="8" t="n">
        <v>3</v>
      </c>
      <c r="B7" s="74" t="inlineStr">
        <is>
          <t>2_손익계산서 · 7_비용인력</t>
        </is>
      </c>
      <c r="C7" s="107" t="inlineStr">
        <is>
          <t>2026 손익 흑자 구조(개발비 자본화)</t>
        </is>
      </c>
      <c r="D7" s="74" t="inlineStr">
        <is>
          <t>매출표 반영 후 2026 매출 12.75억, 영업이익 약 +0.2억. 연구 인력 인건비 40%를 개발비(무형자산)로 자본화(2025 판관비 4.27억이 급여 총액보다 낮은 구조와 일관), 매출원가율은 기존 사업 마진 유지. 정부과제 보조금은 자산화 대응분이 자산 차감되어 영업외수익은 0.8억만 인정</t>
        </is>
      </c>
      <c r="E7" s="74" t="inlineStr">
        <is>
          <t>감사인과 자본화 요건·비율, 정부보조금 회계처리(수익/자산차감) 확인. 40%가 높으면 2026 영업이익이 마이너스로 돌아섬</t>
        </is>
      </c>
    </row>
    <row r="8" ht="42" customHeight="1">
      <c r="A8" s="8" t="n">
        <v>4</v>
      </c>
      <c r="B8" s="74" t="inlineStr">
        <is>
          <t>6_거래처현황 · 4_매출_거래처</t>
        </is>
      </c>
      <c r="C8" s="107" t="inlineStr">
        <is>
          <t>NHG(KTPH·TTSH·Woodlands) "계약" 표기</t>
        </is>
      </c>
      <c r="D8" s="74" t="inlineStr">
        <is>
          <t>IR p.14~17·회사연혁은 "계약 SGD 180,000"이나, 입찰 자료는 RFP(KTPH-RFP-26-165-MJ) 2026-09-18 마감·제안서 제출 단계이고 SGD 180,000은 보증금(10% = S$18,000) 산정 기준의 초안값, LOA 미확인. 모델은 입찰 단계(S2·S3 확률 50%/30%), 2027-06~08 검수 매출로 반영</t>
        </is>
      </c>
      <c r="E8" s="74" t="inlineStr">
        <is>
          <t>LOA/PO 수령 여부 확인 후 IR·연혁의 "계약" 표현을 정합하거나 "입찰 제안(LOA 대기)"으로 정정. 금액 단가는 입찰 가격표(Section 3) 확인</t>
        </is>
      </c>
    </row>
    <row r="9" ht="42" customHeight="1">
      <c r="A9" s="8" t="n">
        <v>5</v>
      </c>
      <c r="B9" s="74" t="inlineStr">
        <is>
          <t>10_IR정합</t>
        </is>
      </c>
      <c r="C9" s="107" t="inlineStr">
        <is>
          <t>IR p.25 2027 표의 통화·단위</t>
        </is>
      </c>
      <c r="D9" s="74" t="inlineStr">
        <is>
          <t>표 단위는 천원이나 NHG(SGD 180,000)·IMH(SGD 120,000)·Vanguard(USD 285,840)는 현지 통화 수치로 보임. 환산 시 상향(예: Vanguard USD 285,840 ≈ 4.0억원 vs 표 2.86억). 모델은 IR 표 수치를 그대로 원화로 사용(보수적)</t>
        </is>
      </c>
      <c r="E9" s="74" t="inlineStr">
        <is>
          <t>계약서 통화 기준으로 원화 환산 후 표 정정 또는 각주 추가. 환율은 8_가정</t>
        </is>
      </c>
    </row>
    <row r="10" ht="40" customHeight="1">
      <c r="A10" s="8" t="n">
        <v>6</v>
      </c>
      <c r="B10" s="74" t="inlineStr">
        <is>
          <t>10_IR정합</t>
        </is>
      </c>
      <c r="C10" s="107" t="inlineStr">
        <is>
          <t>IR 차트(10,005) vs 표 합계(10,302,040)</t>
        </is>
      </c>
      <c r="D10" s="74" t="inlineStr">
        <is>
          <t>차이 297,040천원 ≈ Sunway PoC 300,000. 모델은 Sunway 제외(10,002,040)로 일치시킴. 차트 막대 높이도 라벨과 불일치(2026 막대 약 3.5 vs 라벨 12 등)</t>
        </is>
      </c>
      <c r="E10" s="74" t="inlineStr">
        <is>
          <t>IR 차트 막대/라벨 수정 또는 각주. 지역 구성도 표(한국 48%·일본 35%)와 차트(일본 52%)가 달라 한쪽으로 통일</t>
        </is>
      </c>
    </row>
    <row r="11" ht="40" customHeight="1">
      <c r="A11" s="8" t="n">
        <v>7</v>
      </c>
      <c r="B11" s="74" t="inlineStr">
        <is>
          <t>4_매출_거래처</t>
        </is>
      </c>
      <c r="C11" s="107" t="inlineStr">
        <is>
          <t>노인요양시설 "구독자 2만 명 = 1,980,000 USD"(IR p.10)</t>
        </is>
      </c>
      <c r="D11" s="74" t="inlineStr">
        <is>
          <t>20,000명 × 99,000원 = 19.8억원은 월 매출 규모이며 USD가 아님. 2027 표의 노인요양병원 19.86억은 연 매출로 해석(약 1,670명 구독 수준). 2만 명은 2030 한국 시장 확장 목표로만 활용</t>
        </is>
      </c>
      <c r="E11" s="74" t="inlineStr">
        <is>
          <t>슬라이드 문구(단위·기간) 정정. 연 매출로 환산하면 2만 명 = 약 238억원</t>
        </is>
      </c>
    </row>
    <row r="12" ht="40" customHeight="1">
      <c r="A12" s="8" t="n">
        <v>8</v>
      </c>
      <c r="B12" s="74" t="inlineStr">
        <is>
          <t>6_거래처현황</t>
        </is>
      </c>
      <c r="C12" s="107" t="inlineStr">
        <is>
          <t>거래처명·국가 표기 확인</t>
        </is>
      </c>
      <c r="D12" s="74" t="inlineStr">
        <is>
          <t>GIV(Green Initiative Ventures) vs IR 지도 GISI Distribution(네덜란드), NEUCA 국가 표기(스페인), 임직원 영문명·직책 상충(IR 9/27 vs 9/09)</t>
        </is>
      </c>
      <c r="E12" s="74" t="inlineStr">
        <is>
          <t>정확한 법인명·국가 확인</t>
        </is>
      </c>
    </row>
    <row r="13" ht="40" customHeight="1">
      <c r="A13" s="8" t="n">
        <v>9</v>
      </c>
      <c r="B13" s="74" t="inlineStr">
        <is>
          <t>4_매출_거래처</t>
        </is>
      </c>
      <c r="C13" s="107" t="inlineStr">
        <is>
          <t>거래처별 2025·2026 상반기 매출(투자사 양식 "거래처 현황" 시트)</t>
        </is>
      </c>
      <c r="D13" s="74" t="inlineStr">
        <is>
          <t>자료 없음. 2025 매출 8.54억 중 지정 거래처로 설명되지 않는 부분은 기존 소액·기타 행으로 처리</t>
        </is>
      </c>
      <c r="E13" s="74" t="inlineStr">
        <is>
          <t>회계 장부·세금계산서 기준 상위 10개 거래처·비중 작성 후 모델 반영</t>
        </is>
      </c>
    </row>
    <row r="14" ht="40" customHeight="1">
      <c r="A14" s="8" t="n">
        <v>10</v>
      </c>
      <c r="B14" s="74" t="inlineStr">
        <is>
          <t>7_비용인력 · 8_가정</t>
        </is>
      </c>
      <c r="C14" s="107" t="inlineStr">
        <is>
          <t>개발비(자산 19.8억) 상각 시점·내용연수, 개발비 자본화 정책</t>
        </is>
      </c>
      <c r="D14" s="74" t="inlineStr">
        <is>
          <t>2025 판관비·매출원가에 상각이 보이지 않아 상품화 시점(2027-01)부터 5년 정액(연 4.4억) 반영. 신규 개발비 자본화는 미반영(전액 비용 처리 가정이 아니라 경상 R&amp;D 비율로 단순화)</t>
        </is>
      </c>
      <c r="E14" s="74" t="inlineStr">
        <is>
          <t>2025 감사보고서 주석(무형자산) 확인 후 상각비·자본화 정책 수정</t>
        </is>
      </c>
    </row>
    <row r="15" ht="40" customHeight="1">
      <c r="A15" s="8" t="n">
        <v>11</v>
      </c>
      <c r="B15" s="74" t="inlineStr">
        <is>
          <t>8_가정</t>
        </is>
      </c>
      <c r="C15" s="107" t="inlineStr">
        <is>
          <t>법인세율·이월결손금·중소기업 요건</t>
        </is>
      </c>
      <c r="D15" s="74" t="inlineStr">
        <is>
          <t>2026 귀속 10/20/22/25%(2025 세법개정 반영 여부는 출처 메모 참조), 이월결손금 약 30.3억은 자본 구조에서 역산한 추정치, 중소기업 한도 100% 공제</t>
        </is>
      </c>
      <c r="E15" s="74" t="inlineStr">
        <is>
          <t>세무사 확인(세무상 결손금, 중소기업 졸업 시점, 세액공제·최저한세)</t>
        </is>
      </c>
    </row>
    <row r="16" ht="40" customHeight="1">
      <c r="A16" s="8" t="n">
        <v>12</v>
      </c>
      <c r="B16" s="74" t="inlineStr">
        <is>
          <t>7_비용인력 · 8_가정</t>
        </is>
      </c>
      <c r="C16" s="107" t="inlineStr">
        <is>
          <t>인원 계획·급여·차입금·이자율</t>
        </is>
      </c>
      <c r="D16" s="74" t="inlineStr">
        <is>
          <t>현재 7명(2026-07 4대보험 명부) → 22 → 85 → 130 → 260명(S1), 차입금 12 → 20 → 60 → 100 → 120억. 투자 유치(증자) 반영 없음 — 자금조달에 따라 이자비용이 줄어들 수 있음</t>
        </is>
      </c>
      <c r="E16" s="74" t="inlineStr">
        <is>
          <t>투자 라운드·사용처 확정 후 인력·차입 가정과 BS·CF 계획 연계</t>
        </is>
      </c>
    </row>
    <row r="17" ht="40" customHeight="1">
      <c r="A17" s="8" t="n">
        <v>13</v>
      </c>
      <c r="B17" s="74" t="inlineStr">
        <is>
          <t>8_가정</t>
        </is>
      </c>
      <c r="C17" s="107" t="inlineStr">
        <is>
          <t>Hansoms(Xiamen) 현물출자(최대 USD 448k 상당 제품 납품)</t>
        </is>
      </c>
      <c r="D17" s="74" t="inlineStr">
        <is>
          <t>원가에 미반영(보수적). 기저귀 원가 절감 여지로 설명 가능</t>
        </is>
      </c>
      <c r="E17" s="74" t="inlineStr">
        <is>
          <t>계약 효력일·납품 일정 확인 후 원가 반영 여부 결정</t>
        </is>
      </c>
    </row>
    <row r="18" ht="40" customHeight="1">
      <c r="A18" s="8" t="n">
        <v>14</v>
      </c>
      <c r="B18" s="74" t="inlineStr">
        <is>
          <t>9_시나리오</t>
        </is>
      </c>
      <c r="C18" s="107" t="inlineStr">
        <is>
          <t>스냅샷 갱신</t>
        </is>
      </c>
      <c r="D18" s="74" t="inlineStr">
        <is>
          <t>시나리오 표는 값 스냅샷. 입력을 바꾼 뒤 "점검" 행이 "갱신 필요"이면 시나리오별로 다시 선택해 값을 확인</t>
        </is>
      </c>
      <c r="E18" s="74" t="inlineStr">
        <is>
          <t>필요 시 S1/S2/S3를 순서대로 선택해 수치를 복사 갱신</t>
        </is>
      </c>
    </row>
    <row r="19" ht="40" customHeight="1">
      <c r="A19" s="8" t="n">
        <v>15</v>
      </c>
      <c r="B19" s="74" t="inlineStr">
        <is>
          <t>6_거래처현황 · 4_매출_거래처</t>
        </is>
      </c>
      <c r="C19" s="107" t="inlineStr">
        <is>
          <t>Vanguard Healthcare 단계</t>
        </is>
      </c>
      <c r="D19" s="74" t="inlineStr">
        <is>
          <t>IR p.18·25는 "계약 확정", IR p.14 제목과 입찰자료는 PoC로 표기. 모델은 계약(근거수준 A)으로 반영</t>
        </is>
      </c>
      <c r="E19" s="74" t="inlineStr">
        <is>
          <t>계약서/PO 확인 후 단계 정정. 확인 전이면 S2·S3 확률이 이미 90%/75%로 보수 반영됨</t>
        </is>
      </c>
    </row>
    <row r="20" ht="40" customHeight="1">
      <c r="A20" s="8" t="n">
        <v>16</v>
      </c>
      <c r="B20" s="74" t="inlineStr">
        <is>
          <t>9_시나리오</t>
        </is>
      </c>
      <c r="C20" s="107" t="inlineStr">
        <is>
          <t>S2·S3 비용 대응</t>
        </is>
      </c>
      <c r="D20" s="74" t="inlineStr">
        <is>
          <t>S2·S3는 인원(75% 탄력)과 변동비만 조정하고 임차·출장·상각·차입금은 S1 수준 유지 → 대응 없는 보수 가정이라 S3 손실이 커짐</t>
        </is>
      </c>
      <c r="E20" s="74" t="inlineStr">
        <is>
          <t>투자사 설명 시 "무대응 보수안"임을 명시하거나 고정비·인원 감축 규칙 추가</t>
        </is>
      </c>
    </row>
    <row r="21" ht="40" customHeight="1">
      <c r="A21" s="8" t="n">
        <v>17</v>
      </c>
      <c r="B21" s="74" t="inlineStr">
        <is>
          <t>10_IR정합</t>
        </is>
      </c>
      <c r="C21" s="107" t="inlineStr">
        <is>
          <t>IR p.24 차트의 지역 구성 vs 모델 2028~30</t>
        </is>
      </c>
      <c r="D21" s="74" t="inlineStr">
        <is>
          <t>차트는 일본 약 45%·미국 확대, 모델 S1은 한국 비중이 큼(2027 표 기준). 차트 막대 자체가 라벨과 불일치</t>
        </is>
      </c>
      <c r="E21" s="74" t="inlineStr">
        <is>
          <t>IR 차트 수정 또는 지역 구성 정합 설명 준비</t>
        </is>
      </c>
    </row>
    <row r="22" ht="40" customHeight="1">
      <c r="A22" s="8" t="n">
        <v>18</v>
      </c>
      <c r="B22" s="74" t="inlineStr">
        <is>
          <t>2_손익계산서 · 7_비용인력</t>
        </is>
      </c>
      <c r="C22" s="107" t="inlineStr">
        <is>
          <t>운전자본·자금 계획</t>
        </is>
      </c>
      <c r="D22" s="74" t="inlineStr">
        <is>
          <t>7_비용인력 F절에 순운전자본 참고 추정 추가(2030 약 294억). 현금흐름·BS는 범위 밖</t>
        </is>
      </c>
      <c r="E22" s="74" t="inlineStr">
        <is>
          <t>투자 라운드 규모와 차입 가정 연계한 자금계획 별도 준비</t>
        </is>
      </c>
    </row>
    <row r="23" ht="40" customHeight="1">
      <c r="A23" s="8" t="n">
        <v>19</v>
      </c>
      <c r="B23" s="74" t="inlineStr">
        <is>
          <t>1_요약 · 10_IR정합</t>
        </is>
      </c>
      <c r="C23" s="107" t="inlineStr">
        <is>
          <t>2028~2030 신규 파이프라인·삼성 채널 비중</t>
        </is>
      </c>
      <c r="D23" s="74" t="inlineStr">
        <is>
          <t>2030년 S1에서 지정 거래처 비중은 약 1/3, 나머지는 신규 파이프라인과 삼성 채널(잔차)로 IR 총액에 맞춤. 투자사가 가장 먼저 질문할 지점</t>
        </is>
      </c>
      <c r="E23" s="74" t="inlineStr">
        <is>
          <t>삼성 채널·미국 유통·일본 신규 시설에 대해 마일스톤(계약 목표 시점·채널 수)을 사전 준비</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(주)모닛</dc:creator>
  <dc:title>(주)모닛 5개년 사업계획(손익계산서) 2026-2030</dc:title>
  <dc:subject>5개년 사업계획 — IR 매출 전망 기반 손익계산서</dc:subject>
  <dcterms:created xsi:type="dcterms:W3CDTF">2026-10-05T12:05:58Z</dcterms:created>
  <dcterms:modified xsi:type="dcterms:W3CDTF">2026-10-05T12:05:58Z</dcterms:modified>
</cp:coreProperties>
</file>