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요약" sheetId="1" state="visible" r:id="rId1"/>
    <sheet name="2_손익계산서" sheetId="2" state="visible" r:id="rId2"/>
    <sheet name="3_연간손익" sheetId="3" state="visible" r:id="rId3"/>
    <sheet name="4_매출_거래처" sheetId="4" state="visible" r:id="rId4"/>
    <sheet name="5_매출_제품지역" sheetId="5" state="visible" r:id="rId5"/>
    <sheet name="6_거래처현황" sheetId="6" state="visible" r:id="rId6"/>
    <sheet name="7_비용인력" sheetId="7" state="visible" r:id="rId7"/>
    <sheet name="8_가정" sheetId="8" state="visible" r:id="rId8"/>
    <sheet name="9_시나리오" sheetId="9" state="visible" r:id="rId9"/>
    <sheet name="10_IR정합" sheetId="10" state="visible" r:id="rId10"/>
    <sheet name="★제출전_확인사항(삭제후제출)" sheetId="11" state="visible" r:id="rId11"/>
  </sheets>
  <definedNames/>
  <calcPr calcId="124519" fullCalcOnLoad="1"/>
</workbook>
</file>

<file path=xl/styles.xml><?xml version="1.0" encoding="utf-8"?>
<styleSheet xmlns="http://schemas.openxmlformats.org/spreadsheetml/2006/main">
  <numFmts count="6">
    <numFmt numFmtId="164" formatCode="#,##0;(#,##0);&quot;-&quot;"/>
    <numFmt numFmtId="165" formatCode="#,##0.0;(#,##0.0);&quot;-&quot;"/>
    <numFmt numFmtId="166" formatCode="0%;(0%);&quot;-&quot;"/>
    <numFmt numFmtId="167" formatCode="0.0%;(0.0%);&quot;-&quot;"/>
    <numFmt numFmtId="168" formatCode="0.00%;(0.00%);&quot;-&quot;"/>
    <numFmt numFmtId="169" formatCode="0.00&quot;x&quot;"/>
  </numFmts>
  <fonts count="28">
    <font>
      <name val="Calibri"/>
      <family val="2"/>
      <color theme="1"/>
      <sz val="11"/>
      <scheme val="minor"/>
    </font>
    <font>
      <name val="맑은 고딕"/>
      <b val="1"/>
      <color rgb="001F3864"/>
      <sz val="14"/>
    </font>
    <font>
      <name val="맑은 고딕"/>
      <i val="1"/>
      <color rgb="00595959"/>
      <sz val="9"/>
    </font>
    <font>
      <name val="맑은 고딕"/>
      <b val="1"/>
      <color rgb="00FFFFFF"/>
      <sz val="10"/>
    </font>
    <font>
      <name val="맑은 고딕"/>
      <b val="1"/>
      <color rgb="00FFFFFF"/>
      <sz val="9"/>
    </font>
    <font>
      <name val="맑은 고딕"/>
      <b val="1"/>
      <color rgb="00000000"/>
      <sz val="9"/>
    </font>
    <font>
      <name val="맑은 고딕"/>
      <color rgb="00000000"/>
      <sz val="9"/>
    </font>
    <font>
      <name val="맑은 고딕"/>
      <color rgb="000000FF"/>
      <sz val="9"/>
    </font>
    <font>
      <name val="맑은 고딕"/>
      <b val="1"/>
      <color rgb="00008000"/>
      <sz val="9"/>
    </font>
    <font>
      <name val="맑은 고딕"/>
      <color rgb="00008000"/>
      <sz val="9"/>
    </font>
    <font>
      <name val="맑은 고딕"/>
      <b val="1"/>
      <color rgb="001F3864"/>
      <sz val="9"/>
    </font>
    <font>
      <name val="맑은 고딕"/>
      <color rgb="00000000"/>
      <sz val="8"/>
    </font>
    <font>
      <name val="맑은 고딕"/>
      <color rgb="00595959"/>
      <sz val="9"/>
    </font>
    <font>
      <name val="맑은 고딕"/>
      <b val="1"/>
      <color rgb="001F3864"/>
      <sz val="10"/>
    </font>
    <font>
      <name val="맑은 고딕"/>
      <color rgb="007F7F7F"/>
      <sz val="9"/>
    </font>
    <font>
      <name val="맑은 고딕"/>
      <i val="1"/>
      <color rgb="00000000"/>
      <sz val="9"/>
    </font>
    <font>
      <name val="맑은 고딕"/>
      <color rgb="007F7F7F"/>
      <sz val="8"/>
    </font>
    <font>
      <name val="맑은 고딕"/>
      <i val="1"/>
      <color rgb="007F7F7F"/>
      <sz val="9"/>
    </font>
    <font>
      <name val="맑은 고딕"/>
      <i val="1"/>
      <color rgb="00008000"/>
      <sz val="9"/>
    </font>
    <font>
      <name val="맑은 고딕"/>
      <b val="1"/>
      <color rgb="000000FF"/>
      <sz val="9"/>
    </font>
    <font>
      <name val="맑은 고딕"/>
      <i val="1"/>
      <color rgb="000000FF"/>
      <sz val="9"/>
    </font>
    <font>
      <name val="맑은 고딕"/>
      <b val="1"/>
      <color rgb="000000FF"/>
      <sz val="10"/>
    </font>
    <font>
      <name val="맑은 고딕"/>
      <color rgb="000563C1"/>
      <sz val="9"/>
      <u val="single"/>
    </font>
    <font>
      <name val="맑은 고딕"/>
      <color rgb="00404040"/>
      <sz val="9"/>
    </font>
    <font>
      <name val="맑은 고딕"/>
      <color rgb="00595959"/>
      <sz val="8"/>
    </font>
    <font>
      <name val="맑은 고딕"/>
      <color rgb="FF000000"/>
      <sz val="9"/>
    </font>
    <font>
      <name val="맑은 고딕"/>
      <b val="1"/>
      <color rgb="FF000000"/>
      <sz val="9"/>
    </font>
    <font>
      <name val="맑은 고딕"/>
      <i val="1"/>
      <color rgb="FF000000"/>
      <sz val="9"/>
    </font>
  </fonts>
  <fills count="9">
    <fill>
      <patternFill/>
    </fill>
    <fill>
      <patternFill patternType="gray125"/>
    </fill>
    <fill>
      <patternFill patternType="solid">
        <fgColor rgb="001F3864"/>
      </patternFill>
    </fill>
    <fill>
      <patternFill patternType="solid">
        <fgColor rgb="002F5597"/>
      </patternFill>
    </fill>
    <fill>
      <patternFill patternType="solid">
        <fgColor rgb="00FFF2A8"/>
      </patternFill>
    </fill>
    <fill>
      <patternFill patternType="solid">
        <fgColor rgb="00DEEAF6"/>
      </patternFill>
    </fill>
    <fill>
      <patternFill patternType="solid">
        <fgColor rgb="00E2EFDA"/>
      </patternFill>
    </fill>
    <fill>
      <patternFill patternType="solid">
        <fgColor rgb="00FFF2CC"/>
      </patternFill>
    </fill>
    <fill>
      <patternFill patternType="solid">
        <fgColor rgb="00F2F2F2"/>
      </patternFill>
    </fill>
  </fills>
  <borders count="8">
    <border>
      <left/>
      <right/>
      <top/>
      <bottom/>
      <diagonal/>
    </border>
    <border>
      <top style="thin">
        <color rgb="00000000"/>
      </top>
    </border>
    <border>
      <top style="thin">
        <color rgb="00000000"/>
      </top>
      <bottom style="double">
        <color rgb="00000000"/>
      </bottom>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3" fillId="0" borderId="0" applyAlignment="1" pivotButton="0" quotePrefix="0" xfId="0">
      <alignment vertical="center"/>
    </xf>
    <xf numFmtId="0" fontId="21" fillId="4" borderId="3" applyAlignment="1" pivotButton="0" quotePrefix="0" xfId="0">
      <alignment vertical="center"/>
    </xf>
    <xf numFmtId="0" fontId="0" fillId="0" borderId="6" pivotButton="0" quotePrefix="0" xfId="0"/>
    <xf numFmtId="0" fontId="0" fillId="0" borderId="7" pivotButton="0" quotePrefix="0" xfId="0"/>
    <xf numFmtId="0" fontId="14" fillId="0" borderId="0" applyAlignment="1" pivotButton="0" quotePrefix="0" xfId="0">
      <alignment vertical="center"/>
    </xf>
    <xf numFmtId="1" fontId="6" fillId="0" borderId="0" applyAlignment="1" pivotButton="0" quotePrefix="0" xfId="0">
      <alignment vertical="center"/>
    </xf>
    <xf numFmtId="0" fontId="10" fillId="0" borderId="0" applyAlignment="1" pivotButton="0" quotePrefix="0" xfId="0">
      <alignment vertical="center"/>
    </xf>
    <xf numFmtId="0" fontId="22"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vertical="center"/>
    </xf>
    <xf numFmtId="165" fontId="26" fillId="0" borderId="0" applyAlignment="1" pivotButton="0" quotePrefix="0" xfId="0">
      <alignment vertical="center"/>
    </xf>
    <xf numFmtId="167" fontId="2" fillId="0" borderId="0" applyAlignment="1" pivotButton="0" quotePrefix="0" xfId="0">
      <alignment vertical="center"/>
    </xf>
    <xf numFmtId="0" fontId="6" fillId="0" borderId="0" applyAlignment="1" pivotButton="0" quotePrefix="0" xfId="0">
      <alignment vertical="center"/>
    </xf>
    <xf numFmtId="167" fontId="25" fillId="0" borderId="0" applyAlignment="1" pivotButton="0" quotePrefix="0" xfId="0">
      <alignment vertical="center"/>
    </xf>
    <xf numFmtId="165" fontId="25" fillId="0" borderId="0" applyAlignment="1" pivotButton="0" quotePrefix="0" xfId="0">
      <alignment vertical="center"/>
    </xf>
    <xf numFmtId="164" fontId="25" fillId="0" borderId="0" applyAlignment="1" pivotButton="0" quotePrefix="0" xfId="0">
      <alignment vertical="center"/>
    </xf>
    <xf numFmtId="165" fontId="5" fillId="0" borderId="1" applyAlignment="1" pivotButton="0" quotePrefix="0" xfId="0">
      <alignment vertical="center"/>
    </xf>
    <xf numFmtId="0" fontId="23" fillId="0" borderId="0" applyAlignment="1" pivotButton="0" quotePrefix="0" xfId="0">
      <alignment vertical="center"/>
    </xf>
    <xf numFmtId="0" fontId="4" fillId="2" borderId="0" applyAlignment="1" pivotButton="0" quotePrefix="0" xfId="0">
      <alignment horizontal="left" vertical="center" wrapText="1"/>
    </xf>
    <xf numFmtId="0" fontId="4" fillId="3" borderId="0" applyAlignment="1" pivotButton="0" quotePrefix="0" xfId="0">
      <alignment horizontal="center" vertical="center" wrapText="1"/>
    </xf>
    <xf numFmtId="0" fontId="16" fillId="0" borderId="0" applyAlignment="1" pivotButton="0" quotePrefix="0" xfId="0">
      <alignment vertical="center"/>
    </xf>
    <xf numFmtId="164" fontId="5" fillId="0" borderId="0" applyAlignment="1" pivotButton="0" quotePrefix="0" xfId="0">
      <alignment vertical="center"/>
    </xf>
    <xf numFmtId="164" fontId="5" fillId="5" borderId="0" applyAlignment="1" pivotButton="0" quotePrefix="0" xfId="0">
      <alignment vertical="center"/>
    </xf>
    <xf numFmtId="164" fontId="5" fillId="6" borderId="0" applyAlignment="1" pivotButton="0" quotePrefix="0" xfId="0">
      <alignment vertical="center"/>
    </xf>
    <xf numFmtId="164" fontId="25" fillId="6" borderId="0" applyAlignment="1" pivotButton="0" quotePrefix="0" xfId="0">
      <alignment vertical="center"/>
    </xf>
    <xf numFmtId="164" fontId="5" fillId="0" borderId="1" applyAlignment="1" pivotButton="0" quotePrefix="0" xfId="0">
      <alignment vertical="center"/>
    </xf>
    <xf numFmtId="164" fontId="5" fillId="5" borderId="1" applyAlignment="1" pivotButton="0" quotePrefix="0" xfId="0">
      <alignment vertical="center"/>
    </xf>
    <xf numFmtId="164" fontId="5" fillId="6" borderId="1" applyAlignment="1" pivotButton="0" quotePrefix="0" xfId="0">
      <alignment vertical="center"/>
    </xf>
    <xf numFmtId="167" fontId="2" fillId="5" borderId="0" applyAlignment="1" pivotButton="0" quotePrefix="0" xfId="0">
      <alignment vertical="center"/>
    </xf>
    <xf numFmtId="167" fontId="2" fillId="6" borderId="0" applyAlignment="1" pivotButton="0" quotePrefix="0" xfId="0">
      <alignment vertical="center"/>
    </xf>
    <xf numFmtId="164" fontId="17" fillId="0" borderId="0" applyAlignment="1" pivotButton="0" quotePrefix="0" xfId="0">
      <alignment vertical="center"/>
    </xf>
    <xf numFmtId="0" fontId="5" fillId="8" borderId="0" applyAlignment="1" pivotButton="0" quotePrefix="0" xfId="0">
      <alignment vertical="center"/>
    </xf>
    <xf numFmtId="164" fontId="5" fillId="8" borderId="0" applyAlignment="1" pivotButton="0" quotePrefix="0" xfId="0">
      <alignment vertical="center"/>
    </xf>
    <xf numFmtId="164" fontId="26" fillId="5" borderId="0" applyAlignment="1" pivotButton="0" quotePrefix="0" xfId="0">
      <alignment vertical="center"/>
    </xf>
    <xf numFmtId="164" fontId="26" fillId="0" borderId="0" applyAlignment="1" pivotButton="0" quotePrefix="0" xfId="0">
      <alignment vertical="center"/>
    </xf>
    <xf numFmtId="164" fontId="5" fillId="8" borderId="2" applyAlignment="1" pivotButton="0" quotePrefix="0" xfId="0">
      <alignment vertical="center"/>
    </xf>
    <xf numFmtId="164" fontId="5" fillId="5" borderId="2" applyAlignment="1" pivotButton="0" quotePrefix="0" xfId="0">
      <alignment vertical="center"/>
    </xf>
    <xf numFmtId="164" fontId="5" fillId="6" borderId="2" applyAlignment="1" pivotButton="0" quotePrefix="0" xfId="0">
      <alignment vertical="center"/>
    </xf>
    <xf numFmtId="164" fontId="27" fillId="0" borderId="0" applyAlignment="1" pivotButton="0" quotePrefix="0" xfId="0">
      <alignment vertical="center"/>
    </xf>
    <xf numFmtId="164" fontId="27" fillId="5" borderId="0" applyAlignment="1" pivotButton="0" quotePrefix="0" xfId="0">
      <alignment vertical="center"/>
    </xf>
    <xf numFmtId="164" fontId="27" fillId="6" borderId="0" applyAlignment="1" pivotButton="0" quotePrefix="0" xfId="0">
      <alignment vertical="center"/>
    </xf>
    <xf numFmtId="164" fontId="6" fillId="0" borderId="0" applyAlignment="1" pivotButton="0" quotePrefix="0" xfId="0">
      <alignment vertical="center"/>
    </xf>
    <xf numFmtId="164" fontId="6" fillId="5" borderId="0" applyAlignment="1" pivotButton="0" quotePrefix="0" xfId="0">
      <alignment vertical="center"/>
    </xf>
    <xf numFmtId="164" fontId="6" fillId="6" borderId="0" applyAlignment="1" pivotButton="0" quotePrefix="0" xfId="0">
      <alignment vertical="center"/>
    </xf>
    <xf numFmtId="165" fontId="25" fillId="5" borderId="0" applyAlignment="1" pivotButton="0" quotePrefix="0" xfId="0">
      <alignment vertical="center"/>
    </xf>
    <xf numFmtId="165" fontId="25" fillId="6" borderId="0" applyAlignment="1" pivotButton="0" quotePrefix="0" xfId="0">
      <alignment vertical="center"/>
    </xf>
    <xf numFmtId="164" fontId="25" fillId="5" borderId="0" applyAlignment="1" pivotButton="0" quotePrefix="0" xfId="0">
      <alignment vertical="center"/>
    </xf>
    <xf numFmtId="167" fontId="6" fillId="5" borderId="0" applyAlignment="1" pivotButton="0" quotePrefix="0" xfId="0">
      <alignment vertical="center"/>
    </xf>
    <xf numFmtId="167" fontId="6" fillId="6" borderId="0" applyAlignment="1" pivotButton="0" quotePrefix="0" xfId="0">
      <alignment vertical="center"/>
    </xf>
    <xf numFmtId="167" fontId="5" fillId="0" borderId="0" applyAlignment="1" pivotButton="0" quotePrefix="0" xfId="0">
      <alignment vertical="center"/>
    </xf>
    <xf numFmtId="0" fontId="12" fillId="0" borderId="0" applyAlignment="1" pivotButton="0" quotePrefix="0" xfId="0">
      <alignment vertical="center"/>
    </xf>
    <xf numFmtId="164" fontId="19" fillId="0" borderId="0" applyAlignment="1" pivotButton="0" quotePrefix="0" xfId="0">
      <alignment vertical="center"/>
    </xf>
    <xf numFmtId="0" fontId="15" fillId="0" borderId="0" applyAlignment="1" pivotButton="0" quotePrefix="0" xfId="0">
      <alignment vertical="center"/>
    </xf>
    <xf numFmtId="164" fontId="7" fillId="0" borderId="0" applyAlignment="1" pivotButton="0" quotePrefix="0" xfId="0">
      <alignment vertical="center"/>
    </xf>
    <xf numFmtId="164" fontId="20" fillId="0" borderId="0" applyAlignment="1" pivotButton="0" quotePrefix="0" xfId="0">
      <alignment vertical="center"/>
    </xf>
    <xf numFmtId="167" fontId="6" fillId="0" borderId="0" applyAlignment="1" pivotButton="0" quotePrefix="0" xfId="0">
      <alignment vertical="center"/>
    </xf>
    <xf numFmtId="0" fontId="17" fillId="0" borderId="0" applyAlignment="1" pivotButton="0" quotePrefix="0" xfId="0">
      <alignment vertical="center"/>
    </xf>
    <xf numFmtId="164" fontId="14" fillId="0" borderId="0" applyAlignment="1" pivotButton="0" quotePrefix="0" xfId="0">
      <alignment vertical="center"/>
    </xf>
    <xf numFmtId="0" fontId="12" fillId="0" borderId="0" applyAlignment="1" pivotButton="0" quotePrefix="0" xfId="0">
      <alignment horizontal="right" vertical="center"/>
    </xf>
    <xf numFmtId="1" fontId="12" fillId="0" borderId="0" applyAlignment="1" pivotButton="0" quotePrefix="0" xfId="0">
      <alignment horizontal="center" vertical="center"/>
    </xf>
    <xf numFmtId="1" fontId="14" fillId="0" borderId="0" applyAlignment="1" pivotButton="0" quotePrefix="0" xfId="0">
      <alignment vertical="center"/>
    </xf>
    <xf numFmtId="0" fontId="6" fillId="0" borderId="0" applyAlignment="1" pivotButton="0" quotePrefix="0" xfId="0">
      <alignment horizontal="center" vertical="center"/>
    </xf>
    <xf numFmtId="166" fontId="7" fillId="0" borderId="0" applyAlignment="1" pivotButton="0" quotePrefix="0" xfId="0">
      <alignment vertical="center"/>
    </xf>
    <xf numFmtId="0" fontId="11" fillId="0" borderId="0" applyAlignment="1" pivotButton="0" quotePrefix="0" xfId="0">
      <alignment vertical="center"/>
    </xf>
    <xf numFmtId="164" fontId="7" fillId="4" borderId="0" applyAlignment="1" pivotButton="0" quotePrefix="0" xfId="0">
      <alignment vertical="center"/>
    </xf>
    <xf numFmtId="164" fontId="9" fillId="6" borderId="0" applyAlignment="1" pivotButton="0" quotePrefix="0" xfId="0">
      <alignment vertical="center"/>
    </xf>
    <xf numFmtId="164" fontId="9" fillId="0" borderId="0" applyAlignment="1" pivotButton="0" quotePrefix="0" xfId="0">
      <alignment vertical="center"/>
    </xf>
    <xf numFmtId="168" fontId="6" fillId="0" borderId="0" applyAlignment="1" pivotButton="0" quotePrefix="0" xfId="0">
      <alignment vertical="center"/>
    </xf>
    <xf numFmtId="167" fontId="8" fillId="7" borderId="0" applyAlignment="1" pivotButton="0" quotePrefix="0" xfId="0">
      <alignment vertical="center"/>
    </xf>
    <xf numFmtId="167" fontId="5" fillId="5" borderId="0" applyAlignment="1" pivotButton="0" quotePrefix="0" xfId="0">
      <alignment vertical="center"/>
    </xf>
    <xf numFmtId="167" fontId="8" fillId="6" borderId="0" applyAlignment="1" pivotButton="0" quotePrefix="0" xfId="0">
      <alignment vertical="center"/>
    </xf>
    <xf numFmtId="167" fontId="5" fillId="7" borderId="0" applyAlignment="1" pivotButton="0" quotePrefix="0" xfId="0">
      <alignment vertical="center"/>
    </xf>
    <xf numFmtId="167" fontId="12" fillId="0" borderId="0" applyAlignment="1" pivotButton="0" quotePrefix="0" xfId="0">
      <alignment vertical="center"/>
    </xf>
    <xf numFmtId="164" fontId="9" fillId="5" borderId="0" applyAlignment="1" pivotButton="0" quotePrefix="0" xfId="0">
      <alignment vertical="center"/>
    </xf>
    <xf numFmtId="0" fontId="9" fillId="0" borderId="0" applyAlignment="1" pivotButton="0" quotePrefix="0" xfId="0">
      <alignment vertical="center"/>
    </xf>
    <xf numFmtId="166" fontId="6" fillId="0" borderId="0" applyAlignment="1" pivotButton="0" quotePrefix="0" xfId="0">
      <alignment vertical="center"/>
    </xf>
    <xf numFmtId="0" fontId="6" fillId="0" borderId="0" applyAlignment="1" pivotButton="0" quotePrefix="0" xfId="0">
      <alignment vertical="top"/>
    </xf>
    <xf numFmtId="0" fontId="6" fillId="0" borderId="0" applyAlignment="1" pivotButton="0" quotePrefix="0" xfId="0">
      <alignment vertical="top" wrapText="1"/>
    </xf>
    <xf numFmtId="164" fontId="25" fillId="0" borderId="0" applyAlignment="1" pivotButton="0" quotePrefix="0" xfId="0">
      <alignment vertical="top"/>
    </xf>
    <xf numFmtId="0" fontId="14" fillId="0" borderId="0" applyAlignment="1" pivotButton="0" quotePrefix="0" xfId="0">
      <alignment horizontal="right" vertical="top"/>
    </xf>
    <xf numFmtId="0" fontId="5" fillId="0" borderId="0" applyAlignment="1" pivotButton="0" quotePrefix="0" xfId="0">
      <alignment vertical="center" wrapText="1"/>
    </xf>
    <xf numFmtId="164" fontId="12" fillId="0" borderId="0" applyAlignment="1" pivotButton="0" quotePrefix="0" xfId="0">
      <alignment vertical="center"/>
    </xf>
    <xf numFmtId="164" fontId="5" fillId="0" borderId="2" applyAlignment="1" pivotButton="0" quotePrefix="0" xfId="0">
      <alignment vertical="center"/>
    </xf>
    <xf numFmtId="166" fontId="9" fillId="0" borderId="0" applyAlignment="1" pivotButton="0" quotePrefix="0" xfId="0">
      <alignment vertical="center"/>
    </xf>
    <xf numFmtId="166" fontId="9" fillId="5" borderId="0" applyAlignment="1" pivotButton="0" quotePrefix="0" xfId="0">
      <alignment vertical="center"/>
    </xf>
    <xf numFmtId="166" fontId="9" fillId="6" borderId="0" applyAlignment="1" pivotButton="0" quotePrefix="0" xfId="0">
      <alignment vertical="center"/>
    </xf>
    <xf numFmtId="165" fontId="6" fillId="0" borderId="0" applyAlignment="1" pivotButton="0" quotePrefix="0" xfId="0">
      <alignment vertical="center"/>
    </xf>
    <xf numFmtId="165" fontId="6" fillId="5" borderId="0" applyAlignment="1" pivotButton="0" quotePrefix="0" xfId="0">
      <alignment vertical="center"/>
    </xf>
    <xf numFmtId="165" fontId="9" fillId="0" borderId="0" applyAlignment="1" pivotButton="0" quotePrefix="0" xfId="0">
      <alignment vertical="center"/>
    </xf>
    <xf numFmtId="165" fontId="9" fillId="6" borderId="0" applyAlignment="1" pivotButton="0" quotePrefix="0" xfId="0">
      <alignment vertical="center"/>
    </xf>
    <xf numFmtId="165" fontId="6" fillId="6" borderId="0" applyAlignment="1" pivotButton="0" quotePrefix="0" xfId="0">
      <alignment vertical="center"/>
    </xf>
    <xf numFmtId="169" fontId="6" fillId="5" borderId="0" applyAlignment="1" pivotButton="0" quotePrefix="0" xfId="0">
      <alignment vertical="center"/>
    </xf>
    <xf numFmtId="169" fontId="6" fillId="6" borderId="0" applyAlignment="1" pivotButton="0" quotePrefix="0" xfId="0">
      <alignment vertical="center"/>
    </xf>
    <xf numFmtId="164" fontId="15" fillId="0" borderId="0" applyAlignment="1" pivotButton="0" quotePrefix="0" xfId="0">
      <alignment vertical="center"/>
    </xf>
    <xf numFmtId="164" fontId="15" fillId="5" borderId="0" applyAlignment="1" pivotButton="0" quotePrefix="0" xfId="0">
      <alignment vertical="center"/>
    </xf>
    <xf numFmtId="164" fontId="15" fillId="6" borderId="0" applyAlignment="1" pivotButton="0" quotePrefix="0" xfId="0">
      <alignment vertical="center"/>
    </xf>
    <xf numFmtId="0" fontId="3" fillId="2" borderId="0" applyAlignment="1" pivotButton="0" quotePrefix="0" xfId="0">
      <alignment vertical="center"/>
    </xf>
    <xf numFmtId="0" fontId="0" fillId="2" borderId="0" pivotButton="0" quotePrefix="0" xfId="0"/>
    <xf numFmtId="0" fontId="6" fillId="0" borderId="0" applyAlignment="1" pivotButton="0" quotePrefix="0" xfId="0">
      <alignment vertical="center" wrapText="1"/>
    </xf>
    <xf numFmtId="165" fontId="7" fillId="4" borderId="0" applyAlignment="1" pivotButton="0" quotePrefix="0" xfId="0">
      <alignment vertical="center"/>
    </xf>
    <xf numFmtId="166" fontId="7" fillId="4" borderId="0" applyAlignment="1" pivotButton="0" quotePrefix="0" xfId="0">
      <alignment vertical="center"/>
    </xf>
    <xf numFmtId="166" fontId="8" fillId="0" borderId="0" applyAlignment="1" pivotButton="0" quotePrefix="0" xfId="0">
      <alignment vertical="center"/>
    </xf>
    <xf numFmtId="1" fontId="7" fillId="4" borderId="0" applyAlignment="1" pivotButton="0" quotePrefix="0" xfId="0">
      <alignment vertical="center"/>
    </xf>
    <xf numFmtId="167" fontId="8" fillId="0" borderId="0" applyAlignment="1" pivotButton="0" quotePrefix="0" xfId="0">
      <alignment vertical="center"/>
    </xf>
    <xf numFmtId="165" fontId="7" fillId="0" borderId="0" applyAlignment="1" pivotButton="0" quotePrefix="0" xfId="0">
      <alignment vertical="center"/>
    </xf>
    <xf numFmtId="167" fontId="7" fillId="4" borderId="0" applyAlignment="1" pivotButton="0" quotePrefix="0" xfId="0">
      <alignment vertical="center"/>
    </xf>
    <xf numFmtId="0" fontId="6" fillId="3" borderId="0" applyAlignment="1" pivotButton="0" quotePrefix="0" xfId="0">
      <alignment vertical="center" wrapText="1"/>
    </xf>
    <xf numFmtId="164" fontId="9" fillId="4" borderId="0" applyAlignment="1" pivotButton="0" quotePrefix="0" xfId="0">
      <alignment vertical="center"/>
    </xf>
    <xf numFmtId="167" fontId="7" fillId="0" borderId="0" applyAlignment="1" pivotButton="0" quotePrefix="0" xfId="0">
      <alignment vertical="center"/>
    </xf>
    <xf numFmtId="165" fontId="23" fillId="0" borderId="0" applyAlignment="1" pivotButton="0" quotePrefix="0" xfId="0">
      <alignment vertical="center"/>
    </xf>
    <xf numFmtId="167" fontId="23" fillId="0" borderId="0" applyAlignment="1" pivotButton="0" quotePrefix="0" xfId="0">
      <alignment vertical="center"/>
    </xf>
    <xf numFmtId="164" fontId="23" fillId="0" borderId="0" applyAlignment="1" pivotButton="0" quotePrefix="0" xfId="0">
      <alignment vertical="center"/>
    </xf>
    <xf numFmtId="0" fontId="5" fillId="0" borderId="0" applyAlignment="1" pivotButton="0" quotePrefix="0" xfId="0">
      <alignment horizontal="center" vertical="center"/>
    </xf>
    <xf numFmtId="0" fontId="26" fillId="0" borderId="0" applyAlignment="1" pivotButton="0" quotePrefix="0" xfId="0">
      <alignment horizontal="center" vertical="center"/>
    </xf>
    <xf numFmtId="0" fontId="11" fillId="0" borderId="0" applyAlignment="1" pivotButton="0" quotePrefix="0" xfId="0">
      <alignment vertical="center" wrapText="1"/>
    </xf>
    <xf numFmtId="0" fontId="24" fillId="0" borderId="0" applyAlignment="1" pivotButton="0" quotePrefix="0" xfId="0">
      <alignment vertical="center"/>
    </xf>
    <xf numFmtId="167" fontId="5" fillId="0" borderId="1" applyAlignment="1" pivotButton="0" quotePrefix="0" xfId="0">
      <alignment vertical="center"/>
    </xf>
    <xf numFmtId="169" fontId="6" fillId="0" borderId="0" applyAlignment="1" pivotButton="0" quotePrefix="0" xfId="0">
      <alignment vertical="center"/>
    </xf>
    <xf numFmtId="0" fontId="14" fillId="0" borderId="0" applyAlignment="1" pivotButton="0" quotePrefix="0" xfId="0">
      <alignment horizontal="right" vertical="center"/>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p>
            <a:pPr>
              <a:defRPr/>
            </a:pPr>
            <a:r>
              <a:t>지역별 매출 추이 (억원)</a:t>
            </a:r>
          </a:p>
        </rich>
      </tx>
    </title>
    <plotArea>
      <barChart>
        <barDir val="col"/>
        <grouping val="stacked"/>
        <ser>
          <idx val="0"/>
          <order val="0"/>
          <tx>
            <v>한국</v>
          </tx>
          <spPr>
            <a:ln>
              <a:prstDash val="solid"/>
            </a:ln>
          </spPr>
          <cat>
            <numRef>
              <f>'1_요약'!$D$23:$H$23</f>
            </numRef>
          </cat>
          <val>
            <numRef>
              <f>'1_요약'!$D$24:$H$24</f>
            </numRef>
          </val>
        </ser>
        <ser>
          <idx val="1"/>
          <order val="1"/>
          <tx>
            <v>일본</v>
          </tx>
          <spPr>
            <a:ln>
              <a:prstDash val="solid"/>
            </a:ln>
          </spPr>
          <cat>
            <numRef>
              <f>'1_요약'!$D$23:$H$23</f>
            </numRef>
          </cat>
          <val>
            <numRef>
              <f>'1_요약'!$D$25:$H$25</f>
            </numRef>
          </val>
        </ser>
        <ser>
          <idx val="2"/>
          <order val="2"/>
          <tx>
            <v>동남아·APAC</v>
          </tx>
          <spPr>
            <a:ln>
              <a:prstDash val="solid"/>
            </a:ln>
          </spPr>
          <cat>
            <numRef>
              <f>'1_요약'!$D$23:$H$23</f>
            </numRef>
          </cat>
          <val>
            <numRef>
              <f>'1_요약'!$D$26:$H$26</f>
            </numRef>
          </val>
        </ser>
        <ser>
          <idx val="3"/>
          <order val="3"/>
          <tx>
            <v>인도</v>
          </tx>
          <spPr>
            <a:ln>
              <a:prstDash val="solid"/>
            </a:ln>
          </spPr>
          <cat>
            <numRef>
              <f>'1_요약'!$D$23:$H$23</f>
            </numRef>
          </cat>
          <val>
            <numRef>
              <f>'1_요약'!$D$27:$H$27</f>
            </numRef>
          </val>
        </ser>
        <ser>
          <idx val="4"/>
          <order val="4"/>
          <tx>
            <v>유럽</v>
          </tx>
          <spPr>
            <a:ln>
              <a:prstDash val="solid"/>
            </a:ln>
          </spPr>
          <cat>
            <numRef>
              <f>'1_요약'!$D$23:$H$23</f>
            </numRef>
          </cat>
          <val>
            <numRef>
              <f>'1_요약'!$D$28:$H$28</f>
            </numRef>
          </val>
        </ser>
        <ser>
          <idx val="5"/>
          <order val="5"/>
          <tx>
            <v>미국</v>
          </tx>
          <spPr>
            <a:ln>
              <a:prstDash val="solid"/>
            </a:ln>
          </spPr>
          <cat>
            <numRef>
              <f>'1_요약'!$D$23:$H$23</f>
            </numRef>
          </cat>
          <val>
            <numRef>
              <f>'1_요약'!$D$29:$H$29</f>
            </numRef>
          </val>
        </ser>
        <ser>
          <idx val="6"/>
          <order val="6"/>
          <tx>
            <v>글로벌(삼성채널)</v>
          </tx>
          <spPr>
            <a:ln>
              <a:prstDash val="solid"/>
            </a:ln>
          </spPr>
          <cat>
            <numRef>
              <f>'1_요약'!$D$23:$H$23</f>
            </numRef>
          </cat>
          <val>
            <numRef>
              <f>'1_요약'!$D$30:$H$30</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매출액(억원)과 영업이익률</a:t>
            </a:r>
          </a:p>
        </rich>
      </tx>
    </title>
    <plotArea>
      <barChart>
        <barDir val="col"/>
        <grouping val="clustered"/>
        <ser>
          <idx val="0"/>
          <order val="0"/>
          <tx>
            <v>매출액(억원)</v>
          </tx>
          <spPr>
            <a:ln>
              <a:prstDash val="solid"/>
            </a:ln>
          </spPr>
          <cat>
            <numRef>
              <f>'1_요약'!$D$7:$H$7</f>
            </numRef>
          </cat>
          <val>
            <numRef>
              <f>'1_요약'!$D$8:$H$8</f>
            </numRef>
          </val>
        </ser>
        <gapWidth val="150"/>
        <axId val="10"/>
        <axId val="100"/>
      </barChart>
      <lineChart>
        <grouping val="standard"/>
        <ser>
          <idx val="1"/>
          <order val="1"/>
          <tx>
            <v>영업이익률</v>
          </tx>
          <spPr>
            <a:ln>
              <a:prstDash val="solid"/>
            </a:ln>
          </spPr>
          <marker>
            <symbol val="none"/>
            <spPr>
              <a:ln>
                <a:prstDash val="solid"/>
              </a:ln>
            </spPr>
          </marker>
          <val>
            <numRef>
              <f>'1_요약'!$D$13:$H$13</f>
            </numRef>
          </val>
          <smooth val="0"/>
        </ser>
        <axId val="10"/>
        <axId val="200"/>
      </line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valAx>
        <axId val="200"/>
        <scaling>
          <orientation val="minMax"/>
        </scaling>
        <axPos val="l"/>
        <majorGridlines/>
        <numFmt formatCode="0%" sourceLinked="0"/>
        <majorTickMark val="none"/>
        <minorTickMark val="none"/>
        <crossAx val="10"/>
        <crosses val="max"/>
      </valAx>
    </plotArea>
    <legend>
      <legendPos val="b"/>
    </legend>
    <plotVisOnly val="1"/>
    <dispBlanksAs val="gap"/>
  </chart>
</chartSpace>
</file>

<file path=xl/comments/comment1.xml><?xml version="1.0" encoding="utf-8"?>
<comments xmlns="http://schemas.openxmlformats.org/spreadsheetml/2006/main">
  <authors>
    <author>MONIT 사업계획</author>
  </authors>
  <commentList>
    <comment ref="C93" authorId="0" shapeId="0">
      <text>
        <t>2026년 09월분 급상여대장(지급일 2026-09-25) 대표이사 지급합계 13,688,890원. 인상 없이 2026~2030 동일 적용.</t>
      </text>
    </comment>
    <comment ref="C94" authorId="0" shapeId="0">
      <text>
        <t>2026년 09월분 급상여대장: 대표 제외 6명 지급합계 26,000,001원 ÷ 6 ≈ 4,333,334원. 직원·신규 채용 1인당 월 급여는 4,339천원(회사 지정값)으로 적용. 공제 전 총액 기준, 연 상여 미포함.</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6</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25</row>
      <rowOff>0</rowOff>
    </from>
    <ext cx="6120000" cy="306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_&#49552;&#51061;&#44228;&#49328;&#49436;'!A1" TargetMode="External" Id="rId1" /><Relationship Type="http://schemas.openxmlformats.org/officeDocument/2006/relationships/hyperlink" Target="#'10_IR&#51221;&#54633;'!A1" TargetMode="External" Id="rId2" /><Relationship Type="http://schemas.openxmlformats.org/officeDocument/2006/relationships/hyperlink" Target="#'9_&#49884;&#45208;&#47532;&#50724;'!A1" TargetMode="External" Id="rId3" /><Relationship Type="http://schemas.openxmlformats.org/officeDocument/2006/relationships/hyperlink" Target="#'6_&#44144;&#47000;&#52376;&#54788;&#54889;'!A1" TargetMode="External" Id="rId4" /><Relationship Type="http://schemas.openxmlformats.org/officeDocument/2006/relationships/drawing" Target="/xl/drawings/drawing1.xml" Id="rId5" /></Relationships>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3864"/>
    <outlinePr summaryBelow="1" summaryRight="1"/>
    <pageSetUpPr fitToPage="1"/>
  </sheetPr>
  <dimension ref="A1:I63"/>
  <sheetViews>
    <sheetView showGridLines="0" workbookViewId="0">
      <selection activeCell="A1" sqref="A1"/>
    </sheetView>
  </sheetViews>
  <sheetFormatPr baseColWidth="8" defaultRowHeight="15"/>
  <cols>
    <col width="34" customWidth="1" min="1" max="1"/>
    <col width="3" customWidth="1" min="2" max="2"/>
    <col width="12" customWidth="1" min="3" max="3"/>
    <col width="12" customWidth="1" min="4" max="4"/>
    <col width="12" customWidth="1" min="5" max="5"/>
    <col width="12" customWidth="1" min="6" max="6"/>
    <col width="12" customWidth="1" min="7" max="7"/>
    <col width="12" customWidth="1" min="8" max="8"/>
    <col width="12" customWidth="1" min="9" max="9"/>
    <col width="3" customWidth="1" min="10" max="10"/>
  </cols>
  <sheetData>
    <row r="1">
      <c r="A1" s="1" t="inlineStr">
        <is>
          <t>(주)모닛 5개년 사업계획 요약 (2026~2030)</t>
        </is>
      </c>
    </row>
    <row r="2">
      <c r="A2" s="2" t="inlineStr">
        <is>
          <t>AIoT 스마트 기저귀 케어(MECS PRO) · 글로벌 매출 전망 기반 손익계산서 — 단위: 억원(별도 표기 제외)</t>
        </is>
      </c>
    </row>
    <row r="3"/>
    <row r="4">
      <c r="A4" s="3" t="inlineStr">
        <is>
          <t>시나리오 선택 ▶</t>
        </is>
      </c>
      <c r="C4" s="4" t="inlineStr">
        <is>
          <t>S1 경영계획(100%)</t>
        </is>
      </c>
      <c r="D4" s="5" t="n"/>
      <c r="E4" s="6" t="n"/>
      <c r="F4" s="2" t="inlineStr">
        <is>
          <t>← 드롭다운으로 전환(모든 시트가 연동)</t>
        </is>
      </c>
    </row>
    <row r="5">
      <c r="A5" s="7" t="inlineStr">
        <is>
          <t>시나리오 번호(계산용)</t>
        </is>
      </c>
      <c r="C5" s="8">
        <f>IFERROR(MATCH(C4,'8_가정'!$C$16:$E$16,0),1)</f>
        <v>1</v>
      </c>
    </row>
    <row r="6">
      <c r="A6" s="9" t="inlineStr">
        <is>
          <t>바로가기 ▶</t>
        </is>
      </c>
      <c r="C6" s="10" t="inlineStr">
        <is>
          <t>2_손익계산서</t>
        </is>
      </c>
      <c r="E6" s="10" t="inlineStr">
        <is>
          <t>10_IR정합</t>
        </is>
      </c>
      <c r="G6" s="10" t="inlineStr">
        <is>
          <t>9_시나리오</t>
        </is>
      </c>
      <c r="I6" s="10" t="inlineStr">
        <is>
          <t>6_거래처현황</t>
        </is>
      </c>
    </row>
    <row r="7">
      <c r="A7" s="11" t="inlineStr">
        <is>
          <t>핵심 지표</t>
        </is>
      </c>
      <c r="C7" s="11" t="inlineStr">
        <is>
          <t>2025A</t>
        </is>
      </c>
      <c r="D7" s="11" t="inlineStr">
        <is>
          <t>2026E</t>
        </is>
      </c>
      <c r="E7" s="11" t="inlineStr">
        <is>
          <t>2027E</t>
        </is>
      </c>
      <c r="F7" s="11" t="inlineStr">
        <is>
          <t>2028E</t>
        </is>
      </c>
      <c r="G7" s="11" t="inlineStr">
        <is>
          <t>2029E</t>
        </is>
      </c>
      <c r="H7" s="11" t="inlineStr">
        <is>
          <t>2030E</t>
        </is>
      </c>
      <c r="I7" s="11" t="inlineStr">
        <is>
          <t>CAGR('25~'30)</t>
        </is>
      </c>
    </row>
    <row r="8">
      <c r="A8" s="12" t="inlineStr">
        <is>
          <t>매출액</t>
        </is>
      </c>
      <c r="C8" s="13">
        <f>'3_연간손익'!C7/100000</f>
        <v>8.54163091</v>
      </c>
      <c r="D8" s="13">
        <f>'3_연간손익'!D7/100000</f>
        <v>12.01217</v>
      </c>
      <c r="E8" s="13">
        <f>'3_연간손익'!E7/100000</f>
        <v>100.05</v>
      </c>
      <c r="F8" s="13">
        <f>'3_연간손익'!F7/100000</f>
        <v>330</v>
      </c>
      <c r="G8" s="13">
        <f>'3_연간손익'!G7/100000</f>
        <v>700</v>
      </c>
      <c r="H8" s="13">
        <f>'3_연간손익'!H7/100000</f>
        <v>1560</v>
      </c>
      <c r="I8" s="14">
        <f>IFERROR(('3_연간손익'!H7/'3_연간손익'!C7)^(1/5)-1,"n/a")</f>
        <v>1.83345786870168</v>
      </c>
    </row>
    <row r="9">
      <c r="A9" s="15" t="inlineStr">
        <is>
          <t xml:space="preserve">  전년 대비 성장률</t>
        </is>
      </c>
      <c r="C9" s="16">
        <f>'3_연간손익'!C7/'3_연간손익'!B7-1</f>
        <v>0.0538414710121797</v>
      </c>
      <c r="D9" s="16">
        <f>'3_연간손익'!D8</f>
        <v>0.40630871628238</v>
      </c>
      <c r="E9" s="16">
        <f>'3_연간손익'!E8</f>
        <v>7.32905295213105</v>
      </c>
      <c r="F9" s="16">
        <f>'3_연간손익'!F8</f>
        <v>2.29835082458771</v>
      </c>
      <c r="G9" s="16">
        <f>'3_연간손익'!G8</f>
        <v>1.12121212121212</v>
      </c>
      <c r="H9" s="16">
        <f>'3_연간손익'!H8</f>
        <v>1.22857142857143</v>
      </c>
    </row>
    <row r="10">
      <c r="A10" s="15" t="inlineStr">
        <is>
          <t>매출총이익</t>
        </is>
      </c>
      <c r="C10" s="17">
        <f>'3_연간손익'!C10/100000</f>
        <v>4.53435387</v>
      </c>
      <c r="D10" s="17">
        <f>'3_연간손익'!D10/100000</f>
        <v>5.996159471</v>
      </c>
      <c r="E10" s="17">
        <f>'3_연간손익'!E10/100000</f>
        <v>39.792142</v>
      </c>
      <c r="F10" s="17">
        <f>'3_연간손익'!F10/100000</f>
        <v>130.89579678</v>
      </c>
      <c r="G10" s="17">
        <f>'3_연간손익'!G10/100000</f>
        <v>279.723847036</v>
      </c>
      <c r="H10" s="17">
        <f>'3_연간손익'!H10/100000</f>
        <v>638.354931244016</v>
      </c>
      <c r="I10" s="14">
        <f>IFERROR(('3_연간손익'!H10/'3_연간손익'!C10)^(1/5)-1,"n/a")</f>
        <v>1.68973417766799</v>
      </c>
    </row>
    <row r="11">
      <c r="A11" s="15" t="inlineStr">
        <is>
          <t xml:space="preserve">  매출총이익률</t>
        </is>
      </c>
      <c r="C11" s="16">
        <f>'3_연간손익'!C11</f>
        <v>0.530853407010535</v>
      </c>
      <c r="D11" s="16">
        <f>'3_연간손익'!D11</f>
        <v>0.499173710578522</v>
      </c>
      <c r="E11" s="16">
        <f>'3_연간손익'!E11</f>
        <v>0.39772255872064</v>
      </c>
      <c r="F11" s="16">
        <f>'3_연간손익'!F11</f>
        <v>0.396653929636364</v>
      </c>
      <c r="G11" s="16">
        <f>'3_연간손익'!G11</f>
        <v>0.399605495765714</v>
      </c>
      <c r="H11" s="16">
        <f>'3_연간손익'!H11</f>
        <v>0.409201879002574</v>
      </c>
    </row>
    <row r="12">
      <c r="A12" s="12" t="inlineStr">
        <is>
          <t>영업이익</t>
        </is>
      </c>
      <c r="C12" s="13">
        <f>'3_연간손익'!C13/100000</f>
        <v>0.26795791</v>
      </c>
      <c r="D12" s="13">
        <f>'3_연간손익'!D13/100000</f>
        <v>0.219576791000001</v>
      </c>
      <c r="E12" s="13">
        <f>'3_연간손익'!E13/100000</f>
        <v>8.7620313344</v>
      </c>
      <c r="F12" s="13">
        <f>'3_연간손익'!F13/100000</f>
        <v>37.459809753904</v>
      </c>
      <c r="G12" s="13">
        <f>'3_연간손익'!G13/100000</f>
        <v>96.6369866016603</v>
      </c>
      <c r="H12" s="13">
        <f>'3_연간손익'!H13/100000</f>
        <v>256.12897760481</v>
      </c>
      <c r="I12" s="14">
        <f>IFERROR(('3_연간손익'!H13/'3_연간손익'!C13)^(1/5)-1,"n/a")</f>
        <v>2.94528541366021</v>
      </c>
    </row>
    <row r="13">
      <c r="A13" s="15" t="inlineStr">
        <is>
          <t xml:space="preserve">  영업이익률</t>
        </is>
      </c>
      <c r="C13" s="16">
        <f>'3_연간손익'!C14</f>
        <v>0.0313708134691575</v>
      </c>
      <c r="D13" s="16">
        <f>'3_연간손익'!D14</f>
        <v>0.0182795274292655</v>
      </c>
      <c r="E13" s="16">
        <f>'3_연간손익'!E14</f>
        <v>0.0875765250814593</v>
      </c>
      <c r="F13" s="16">
        <f>'3_연간손익'!F14</f>
        <v>0.11351457501183</v>
      </c>
      <c r="G13" s="16">
        <f>'3_연간손익'!G14</f>
        <v>0.138052838002372</v>
      </c>
      <c r="H13" s="16">
        <f>'3_연간손익'!H14</f>
        <v>0.164185242054365</v>
      </c>
    </row>
    <row r="14">
      <c r="A14" s="15" t="inlineStr">
        <is>
          <t>당기순이익</t>
        </is>
      </c>
      <c r="C14" s="17">
        <f>'3_연간손익'!C21/100000</f>
        <v>0.0516718499999997</v>
      </c>
      <c r="D14" s="17">
        <f>'3_연간손익'!D21/100000</f>
        <v>0.414112421000001</v>
      </c>
      <c r="E14" s="17">
        <f>'3_연간손익'!E21/100000</f>
        <v>10.9940313344</v>
      </c>
      <c r="F14" s="17">
        <f>'3_연간손익'!F21/100000</f>
        <v>32.8818403818571</v>
      </c>
      <c r="G14" s="17">
        <f>'3_연간손익'!G21/100000</f>
        <v>73.381649549295</v>
      </c>
      <c r="H14" s="17">
        <f>'3_연간손익'!H21/100000</f>
        <v>195.521525024446</v>
      </c>
      <c r="I14" s="14">
        <f>IFERROR(('3_연간손익'!H21/'3_연간손익'!C21)^(1/5)-1,"n/a")</f>
        <v>4.19503063627064</v>
      </c>
    </row>
    <row r="15">
      <c r="A15" s="15" t="inlineStr">
        <is>
          <t>EBITDA</t>
        </is>
      </c>
      <c r="D15" s="17">
        <f>'3_연간손익'!D23/100000</f>
        <v>0.399576791000001</v>
      </c>
      <c r="E15" s="17">
        <f>'3_연간손익'!E23/100000</f>
        <v>13.1215613344</v>
      </c>
      <c r="F15" s="17">
        <f>'3_연간손익'!F23/100000</f>
        <v>42.740493787184</v>
      </c>
      <c r="G15" s="17">
        <f>'3_연간손익'!G23/100000</f>
        <v>103.535788479225</v>
      </c>
      <c r="H15" s="17">
        <f>'3_연간손익'!H23/100000</f>
        <v>264.932916940867</v>
      </c>
    </row>
    <row r="16">
      <c r="A16" s="15" t="inlineStr">
        <is>
          <t>인원(기말, 명)</t>
        </is>
      </c>
      <c r="D16" s="17">
        <f>'3_연간손익'!D24</f>
        <v>7</v>
      </c>
      <c r="E16" s="17">
        <f>'3_연간손익'!E24</f>
        <v>22</v>
      </c>
      <c r="F16" s="17">
        <f>'3_연간손익'!F24</f>
        <v>85</v>
      </c>
      <c r="G16" s="17">
        <f>'3_연간손익'!G24</f>
        <v>130</v>
      </c>
      <c r="H16" s="17">
        <f>'3_연간손익'!H24</f>
        <v>260</v>
      </c>
    </row>
    <row r="17">
      <c r="A17" s="15" t="inlineStr">
        <is>
          <t>인당 매출(백만원, 평균 인원 기준)</t>
        </is>
      </c>
      <c r="D17" s="17">
        <f>'3_연간손익'!D25</f>
        <v>171.602428571429</v>
      </c>
      <c r="E17" s="17">
        <f>'3_연간손익'!E25</f>
        <v>714.642857142857</v>
      </c>
      <c r="F17" s="17">
        <f>'3_연간손익'!F25</f>
        <v>616.822429906542</v>
      </c>
      <c r="G17" s="17">
        <f>'3_연간손익'!G25</f>
        <v>651.162790697674</v>
      </c>
      <c r="H17" s="17">
        <f>'3_연간손익'!H25</f>
        <v>800</v>
      </c>
    </row>
    <row r="18">
      <c r="A18" s="15" t="inlineStr">
        <is>
          <t>추정 유료 이용자(명, 평균)</t>
        </is>
      </c>
      <c r="D18" s="18">
        <f>'3_연간손익'!D26</f>
        <v>934.686208333333</v>
      </c>
      <c r="E18" s="18">
        <f>'3_연간손익'!E26</f>
        <v>7856.9</v>
      </c>
      <c r="F18" s="18">
        <f>'3_연간손익'!F26</f>
        <v>24986.2098666667</v>
      </c>
      <c r="G18" s="18">
        <f>'3_연간손익'!G26</f>
        <v>50165.5202333333</v>
      </c>
      <c r="H18" s="18">
        <f>'3_연간손익'!H26</f>
        <v>105594.409623467</v>
      </c>
    </row>
    <row r="19">
      <c r="A19" s="15" t="inlineStr">
        <is>
          <t>IR 매출 목표</t>
        </is>
      </c>
      <c r="D19" s="17">
        <f>'3_연간손익'!D27/100000</f>
        <v>12</v>
      </c>
      <c r="E19" s="17">
        <f>'3_연간손익'!E27/100000</f>
        <v>100.05</v>
      </c>
      <c r="F19" s="17">
        <f>'3_연간손익'!F27/100000</f>
        <v>330</v>
      </c>
      <c r="G19" s="17">
        <f>'3_연간손익'!G27/100000</f>
        <v>700</v>
      </c>
      <c r="H19" s="17">
        <f>'3_연간손익'!H27/100000</f>
        <v>1560</v>
      </c>
    </row>
    <row r="20">
      <c r="A20" s="15" t="inlineStr">
        <is>
          <t>IR 대비 달성률</t>
        </is>
      </c>
      <c r="D20" s="16">
        <f>'3_연간손익'!D28</f>
        <v>1.00101416666667</v>
      </c>
      <c r="E20" s="16">
        <f>'3_연간손익'!E28</f>
        <v>1</v>
      </c>
      <c r="F20" s="16">
        <f>'3_연간손익'!F28</f>
        <v>1</v>
      </c>
      <c r="G20" s="16">
        <f>'3_연간손익'!G28</f>
        <v>1</v>
      </c>
      <c r="H20" s="16">
        <f>'3_연간손익'!H28</f>
        <v>1</v>
      </c>
    </row>
    <row r="21"/>
    <row r="22">
      <c r="A22" s="3" t="inlineStr">
        <is>
          <t>지역별 매출 (억원)</t>
        </is>
      </c>
    </row>
    <row r="23">
      <c r="A23" s="11" t="inlineStr">
        <is>
          <t>지역</t>
        </is>
      </c>
      <c r="C23" s="11" t="inlineStr"/>
      <c r="D23" s="11" t="n">
        <v>2026</v>
      </c>
      <c r="E23" s="11" t="n">
        <v>2027</v>
      </c>
      <c r="F23" s="11" t="n">
        <v>2028</v>
      </c>
      <c r="G23" s="11" t="n">
        <v>2029</v>
      </c>
      <c r="H23" s="11" t="n">
        <v>2030</v>
      </c>
    </row>
    <row r="24">
      <c r="A24" s="15" t="inlineStr">
        <is>
          <t>한국</t>
        </is>
      </c>
      <c r="D24" s="17">
        <f>'3_연간손익'!D46/100000</f>
        <v>6.57067</v>
      </c>
      <c r="E24" s="17">
        <f>'3_연간손익'!E46/100000</f>
        <v>64.33</v>
      </c>
      <c r="F24" s="17">
        <f>'3_연간손익'!F46/100000</f>
        <v>117.50264</v>
      </c>
      <c r="G24" s="17">
        <f>'3_연간손익'!G46/100000</f>
        <v>170.75924</v>
      </c>
      <c r="H24" s="17">
        <f>'3_연간손익'!H46/100000</f>
        <v>220.28629152</v>
      </c>
    </row>
    <row r="25">
      <c r="A25" s="15" t="inlineStr">
        <is>
          <t>일본</t>
        </is>
      </c>
      <c r="D25" s="17">
        <f>'3_연간손익'!D47/100000</f>
        <v>0</v>
      </c>
      <c r="E25" s="17">
        <f>'3_연간손익'!E47/100000</f>
        <v>4.8</v>
      </c>
      <c r="F25" s="17">
        <f>'3_연간손익'!F47/100000</f>
        <v>90.74868</v>
      </c>
      <c r="G25" s="17">
        <f>'3_연간손익'!G47/100000</f>
        <v>291.879878459796</v>
      </c>
      <c r="H25" s="17">
        <f>'3_연간손익'!H47/100000</f>
        <v>605.356846095676</v>
      </c>
    </row>
    <row r="26">
      <c r="A26" s="15" t="inlineStr">
        <is>
          <t>동남아·APAC</t>
        </is>
      </c>
      <c r="D26" s="17">
        <f>'3_연간손익'!D48/100000</f>
        <v>4.04488</v>
      </c>
      <c r="E26" s="17">
        <f>'3_연간손익'!E48/100000</f>
        <v>17.924</v>
      </c>
      <c r="F26" s="17">
        <f>'3_연간손익'!F48/100000</f>
        <v>38.5118551693002</v>
      </c>
      <c r="G26" s="17">
        <f>'3_연간손익'!G48/100000</f>
        <v>73.1043526160815</v>
      </c>
      <c r="H26" s="17">
        <f>'3_연간손익'!H48/100000</f>
        <v>152.000081443238</v>
      </c>
    </row>
    <row r="27">
      <c r="A27" s="15" t="inlineStr">
        <is>
          <t>인도</t>
        </is>
      </c>
      <c r="D27" s="17">
        <f>'3_연간손익'!D49/100000</f>
        <v>0.2</v>
      </c>
      <c r="E27" s="17">
        <f>'3_연간손익'!E49/100000</f>
        <v>2</v>
      </c>
      <c r="F27" s="17">
        <f>'3_연간손익'!F49/100000</f>
        <v>4.6</v>
      </c>
      <c r="G27" s="17">
        <f>'3_연간손익'!G49/100000</f>
        <v>12.6</v>
      </c>
      <c r="H27" s="17">
        <f>'3_연간손익'!H49/100000</f>
        <v>20.6</v>
      </c>
    </row>
    <row r="28">
      <c r="A28" s="15" t="inlineStr">
        <is>
          <t>유럽</t>
        </is>
      </c>
      <c r="D28" s="17">
        <f>'3_연간손익'!D50/100000</f>
        <v>1.19662</v>
      </c>
      <c r="E28" s="17">
        <f>'3_연간손익'!E50/100000</f>
        <v>8.3976</v>
      </c>
      <c r="F28" s="17">
        <f>'3_연간손익'!F50/100000</f>
        <v>15.1589217155756</v>
      </c>
      <c r="G28" s="17">
        <f>'3_연간손익'!G50/100000</f>
        <v>62.8912445300113</v>
      </c>
      <c r="H28" s="17">
        <f>'3_연간손익'!H50/100000</f>
        <v>130.852244025048</v>
      </c>
    </row>
    <row r="29">
      <c r="A29" s="15" t="inlineStr">
        <is>
          <t>미국</t>
        </is>
      </c>
      <c r="D29" s="17">
        <f>'3_연간손익'!D51/100000</f>
        <v>0</v>
      </c>
      <c r="E29" s="17">
        <f>'3_연간손익'!E51/100000</f>
        <v>1.624</v>
      </c>
      <c r="F29" s="17">
        <f>'3_연간손익'!F51/100000</f>
        <v>37.0779031151242</v>
      </c>
      <c r="G29" s="17">
        <f>'3_연간손익'!G51/100000</f>
        <v>46.765284394111</v>
      </c>
      <c r="H29" s="17">
        <f>'3_연간손익'!H51/100000</f>
        <v>352.904536916038</v>
      </c>
    </row>
    <row r="30">
      <c r="A30" s="15" t="inlineStr">
        <is>
          <t>글로벌(삼성채널)</t>
        </is>
      </c>
      <c r="D30" s="17">
        <f>'3_연간손익'!D52/100000</f>
        <v>0</v>
      </c>
      <c r="E30" s="17">
        <f>'3_연간손익'!E52/100000</f>
        <v>0.9744</v>
      </c>
      <c r="F30" s="17">
        <f>'3_연간손익'!F52/100000</f>
        <v>26.4</v>
      </c>
      <c r="G30" s="17">
        <f>'3_연간손익'!G52/100000</f>
        <v>42.0000000000001</v>
      </c>
      <c r="H30" s="17">
        <f>'3_연간손익'!H52/100000</f>
        <v>78</v>
      </c>
    </row>
    <row r="31">
      <c r="A31" s="12" t="inlineStr">
        <is>
          <t>합계</t>
        </is>
      </c>
      <c r="D31" s="19">
        <f>SUM(D24:D30)</f>
        <v>12.01217</v>
      </c>
      <c r="E31" s="19">
        <f>SUM(E24:E30)</f>
        <v>100.05</v>
      </c>
      <c r="F31" s="19">
        <f>SUM(F24:F30)</f>
        <v>330</v>
      </c>
      <c r="G31" s="19">
        <f>SUM(G24:G30)</f>
        <v>700</v>
      </c>
      <c r="H31" s="19">
        <f>SUM(H24:H30)</f>
        <v>1560</v>
      </c>
    </row>
    <row r="32"/>
    <row r="33">
      <c r="A33" s="3" t="inlineStr">
        <is>
          <t>근거수준별 매출 비중 — 얼마나 "확정"에 기대고 있는가</t>
        </is>
      </c>
    </row>
    <row r="34">
      <c r="A34" s="11" t="inlineStr">
        <is>
          <t>근거수준</t>
        </is>
      </c>
      <c r="C34" s="11" t="inlineStr"/>
      <c r="D34" s="11" t="n">
        <v>2026</v>
      </c>
      <c r="E34" s="11" t="n">
        <v>2027</v>
      </c>
      <c r="F34" s="11" t="n">
        <v>2028</v>
      </c>
      <c r="G34" s="11" t="n">
        <v>2029</v>
      </c>
      <c r="H34" s="11" t="n">
        <v>2030</v>
      </c>
    </row>
    <row r="35">
      <c r="A35" s="15" t="inlineStr">
        <is>
          <t>A 계약·기존 거래</t>
        </is>
      </c>
      <c r="D35" s="16">
        <f>'3_연간손익'!D71</f>
        <v>0.71865866034197</v>
      </c>
      <c r="E35" s="16">
        <f>'3_연간손익'!E71</f>
        <v>0.571394302848576</v>
      </c>
      <c r="F35" s="16">
        <f>'3_연간손익'!F71</f>
        <v>0.304034424242424</v>
      </c>
      <c r="G35" s="16">
        <f>'3_연간손익'!G71</f>
        <v>0.206034948571429</v>
      </c>
      <c r="H35" s="16">
        <f>'3_연간손익'!H71</f>
        <v>0.119865069948718</v>
      </c>
    </row>
    <row r="36">
      <c r="A36" s="15" t="inlineStr">
        <is>
          <t>B 등록·입찰·협의 단계</t>
        </is>
      </c>
      <c r="D36" s="16">
        <f>'3_연간손익'!D72</f>
        <v>0.28134133965803</v>
      </c>
      <c r="E36" s="16">
        <f>'3_연간손익'!E72</f>
        <v>0.347446276861569</v>
      </c>
      <c r="F36" s="16">
        <f>'3_연간손익'!F72</f>
        <v>0.263888727272727</v>
      </c>
      <c r="G36" s="16">
        <f>'3_연간손익'!G72</f>
        <v>0.221805108571429</v>
      </c>
      <c r="H36" s="16">
        <f>'3_연간손익'!H72</f>
        <v>0.14392885025641</v>
      </c>
    </row>
    <row r="37">
      <c r="A37" s="15" t="inlineStr">
        <is>
          <t>C 신규 파이프라인(미확정)</t>
        </is>
      </c>
      <c r="D37" s="16">
        <f>'3_연간손익'!D73</f>
        <v>0</v>
      </c>
      <c r="E37" s="16">
        <f>'3_연간손익'!E73</f>
        <v>0.0811594202898551</v>
      </c>
      <c r="F37" s="16">
        <f>'3_연간손익'!F73</f>
        <v>0.432076848484849</v>
      </c>
      <c r="G37" s="16">
        <f>'3_연간손익'!G73</f>
        <v>0.572159942857143</v>
      </c>
      <c r="H37" s="16">
        <f>'3_연간손익'!H73</f>
        <v>0.736206079794872</v>
      </c>
    </row>
    <row r="38"/>
    <row r="39">
      <c r="A39" s="3" t="inlineStr">
        <is>
          <t>제품별 매출 (억원)</t>
        </is>
      </c>
    </row>
    <row r="40">
      <c r="A40" s="11" t="inlineStr">
        <is>
          <t>제품</t>
        </is>
      </c>
      <c r="C40" s="11" t="inlineStr"/>
      <c r="D40" s="11" t="n">
        <v>2026</v>
      </c>
      <c r="E40" s="11" t="n">
        <v>2027</v>
      </c>
      <c r="F40" s="11" t="n">
        <v>2028</v>
      </c>
      <c r="G40" s="11" t="n">
        <v>2029</v>
      </c>
      <c r="H40" s="11" t="n">
        <v>2030</v>
      </c>
    </row>
    <row r="41">
      <c r="A41" s="15" t="inlineStr">
        <is>
          <t>스마트 기저귀(전용 기저귀·패드, 소모품)</t>
        </is>
      </c>
      <c r="D41" s="17">
        <f>'3_연간손익'!D32/100000</f>
        <v>7.3902742</v>
      </c>
      <c r="E41" s="17">
        <f>'3_연간손익'!E32/100000</f>
        <v>69.8895</v>
      </c>
      <c r="F41" s="17">
        <f>'3_연간손익'!F32/100000</f>
        <v>220.8968312</v>
      </c>
      <c r="G41" s="17">
        <f>'3_연간손익'!G32/100000</f>
        <v>434.547508</v>
      </c>
      <c r="H41" s="17">
        <f>'3_연간손익'!H32/100000</f>
        <v>900.9376933472</v>
      </c>
    </row>
    <row r="42">
      <c r="A42" s="15" t="inlineStr">
        <is>
          <t>센서·BLE 게이트웨이(하드웨어)</t>
        </is>
      </c>
      <c r="D42" s="17">
        <f>'3_연간손익'!D33/100000</f>
        <v>2.4697051</v>
      </c>
      <c r="E42" s="17">
        <f>'3_연간손익'!E33/100000</f>
        <v>13.8663</v>
      </c>
      <c r="F42" s="17">
        <f>'3_연간손익'!F33/100000</f>
        <v>41.1070072</v>
      </c>
      <c r="G42" s="17">
        <f>'3_연간손익'!G33/100000</f>
        <v>86.3620068</v>
      </c>
      <c r="H42" s="17">
        <f>'3_연간손익'!H33/100000</f>
        <v>183.0320717344</v>
      </c>
    </row>
    <row r="43">
      <c r="A43" s="15" t="inlineStr">
        <is>
          <t>앱·웹 모니터링 구독(SW·AI)</t>
        </is>
      </c>
      <c r="D43" s="17">
        <f>'3_연간손익'!D34/100000</f>
        <v>1.3562552</v>
      </c>
      <c r="E43" s="17">
        <f>'3_연간손익'!E34/100000</f>
        <v>10.527</v>
      </c>
      <c r="F43" s="17">
        <f>'3_연간손익'!F34/100000</f>
        <v>37.83068</v>
      </c>
      <c r="G43" s="17">
        <f>'3_연간손익'!G34/100000</f>
        <v>81.076728</v>
      </c>
      <c r="H43" s="17">
        <f>'3_연간손익'!H34/100000</f>
        <v>183.1631504</v>
      </c>
    </row>
    <row r="44">
      <c r="A44" s="15" t="inlineStr">
        <is>
          <t>바이탈 모니터링 센서(60GHz, 2026 Q4 출시)</t>
        </is>
      </c>
      <c r="D44" s="17">
        <f>'3_연간손익'!D35/100000</f>
        <v>0</v>
      </c>
      <c r="E44" s="17">
        <f>'3_연간손익'!E35/100000</f>
        <v>2.3824</v>
      </c>
      <c r="F44" s="17">
        <f>'3_연간손익'!F35/100000</f>
        <v>17.9244608</v>
      </c>
      <c r="G44" s="17">
        <f>'3_연간손익'!G35/100000</f>
        <v>59.4935024</v>
      </c>
      <c r="H44" s="17">
        <f>'3_연간손익'!H35/100000</f>
        <v>177.2388971392</v>
      </c>
    </row>
    <row r="45">
      <c r="A45" s="15" t="inlineStr">
        <is>
          <t>스마트 욕창 케어(2027 출시)</t>
        </is>
      </c>
      <c r="D45" s="17">
        <f>'3_연간손익'!D36/100000</f>
        <v>0</v>
      </c>
      <c r="E45" s="17">
        <f>'3_연간손익'!E36/100000</f>
        <v>0.1624</v>
      </c>
      <c r="F45" s="17">
        <f>'3_연간손익'!F36/100000</f>
        <v>4.2493136</v>
      </c>
      <c r="G45" s="17">
        <f>'3_연간손익'!G36/100000</f>
        <v>22.8380156</v>
      </c>
      <c r="H45" s="17">
        <f>'3_연간손익'!H36/100000</f>
        <v>82.8227176896</v>
      </c>
    </row>
    <row r="46">
      <c r="A46" s="15" t="inlineStr">
        <is>
          <t>R&amp;D·PoC 용역</t>
        </is>
      </c>
      <c r="D46" s="17">
        <f>'3_연간손익'!D37/100000</f>
        <v>0.7959355</v>
      </c>
      <c r="E46" s="17">
        <f>'3_연간손익'!E37/100000</f>
        <v>3.2224</v>
      </c>
      <c r="F46" s="17">
        <f>'3_연간손익'!F37/100000</f>
        <v>7.9917072</v>
      </c>
      <c r="G46" s="17">
        <f>'3_연간손익'!G37/100000</f>
        <v>15.6822392</v>
      </c>
      <c r="H46" s="17">
        <f>'3_연간손익'!H37/100000</f>
        <v>32.8054696896</v>
      </c>
    </row>
    <row r="47"/>
    <row r="48">
      <c r="A48" s="3" t="inlineStr">
        <is>
          <t>카테고리별 매출 (억원) — 베이비 / 엘더리</t>
        </is>
      </c>
    </row>
    <row r="49">
      <c r="A49" s="11" t="inlineStr">
        <is>
          <t>카테고리</t>
        </is>
      </c>
      <c r="C49" s="11" t="inlineStr"/>
      <c r="D49" s="11" t="n">
        <v>2026</v>
      </c>
      <c r="E49" s="11" t="n">
        <v>2027</v>
      </c>
      <c r="F49" s="11" t="n">
        <v>2028</v>
      </c>
      <c r="G49" s="11" t="n">
        <v>2029</v>
      </c>
      <c r="H49" s="11" t="n">
        <v>2030</v>
      </c>
    </row>
    <row r="50">
      <c r="A50" s="15" t="inlineStr">
        <is>
          <t>베이비</t>
        </is>
      </c>
      <c r="D50" s="17">
        <f>'3_연간손익'!D41/100000</f>
        <v>2.34543</v>
      </c>
      <c r="E50" s="17">
        <f>'3_연간손익'!E41/100000</f>
        <v>24.71</v>
      </c>
      <c r="F50" s="17">
        <f>'3_연간손익'!F41/100000</f>
        <v>42.274</v>
      </c>
      <c r="G50" s="17">
        <f>'3_연간손익'!G41/100000</f>
        <v>58.9368</v>
      </c>
      <c r="H50" s="17">
        <f>'3_연간손익'!H41/100000</f>
        <v>74.795136</v>
      </c>
    </row>
    <row r="51">
      <c r="A51" s="15" t="inlineStr">
        <is>
          <t>엘더리</t>
        </is>
      </c>
      <c r="D51" s="17">
        <f>'3_연간손익'!D42/100000</f>
        <v>9.66674</v>
      </c>
      <c r="E51" s="17">
        <f>'3_연간손익'!E42/100000</f>
        <v>75.34</v>
      </c>
      <c r="F51" s="17">
        <f>'3_연간손익'!F42/100000</f>
        <v>287.726</v>
      </c>
      <c r="G51" s="17">
        <f>'3_연간손익'!G42/100000</f>
        <v>641.0632</v>
      </c>
      <c r="H51" s="17">
        <f>'3_연간손익'!H42/100000</f>
        <v>1485.204864</v>
      </c>
    </row>
    <row r="52">
      <c r="A52" s="12" t="inlineStr">
        <is>
          <t>합계</t>
        </is>
      </c>
      <c r="D52" s="19">
        <f>SUM(D50:D51)</f>
        <v>12.01217</v>
      </c>
      <c r="E52" s="19">
        <f>SUM(E50:E51)</f>
        <v>100.05</v>
      </c>
      <c r="F52" s="19">
        <f>SUM(F50:F51)</f>
        <v>330</v>
      </c>
      <c r="G52" s="19">
        <f>SUM(G50:G51)</f>
        <v>700</v>
      </c>
      <c r="H52" s="19">
        <f>SUM(H50:H51)</f>
        <v>1560</v>
      </c>
    </row>
    <row r="53"/>
    <row r="54"/>
    <row r="55">
      <c r="A55" s="3" t="inlineStr">
        <is>
          <t>읽는 법 · 핵심 전제</t>
        </is>
      </c>
    </row>
    <row r="56">
      <c r="A56" s="20" t="inlineStr">
        <is>
          <t>• 헤드라인(S1): 2026은 거래처 매출표 사실 기준(실적 + 확정·예상 발주), 2027~2030은 IR 전망(100.05억·330억·700억·1,560억)과 정확히 일치하며 거래처·제품·카테고리(베이비/엘더리)·지역으로 분해되어 있습니다.</t>
        </is>
      </c>
    </row>
    <row r="57">
      <c r="A57" s="20" t="inlineStr">
        <is>
          <t>• 지역 구성: 2027은 거래처 매출표 구조(한국 중심), 2028~2030은 IR 차트의 지역 비중(일본·미국 확대)에 맞춰 신규 파이프라인을 배분합니다(10_IR정합 §8).</t>
        </is>
      </c>
    </row>
    <row r="58">
      <c r="A58" s="20" t="inlineStr">
        <is>
          <t>• 2026~2027은 월별(2_손익계산서), 2028~2030은 연간입니다. 2026-01~09 매출은 실적(잠정)이며 비용은 추정이라 회계 마감 시 교체가 필요합니다.</t>
        </is>
      </c>
    </row>
    <row r="59">
      <c r="A59" s="20" t="inlineStr">
        <is>
          <t>• 모든 시트의 매출은 4_매출_거래처 B블록 한 곳에서 파생되어 합계가 일치합니다(제품·카테고리·지역·채널·근거수준·손익계산서·연간손익·요약: 10_IR정합 §5 검증).</t>
        </is>
      </c>
    </row>
    <row r="60">
      <c r="A60" s="20" t="inlineStr">
        <is>
          <t>• S1(경영계획) 100% · S2(기준) 80% · S3(보수) 60%: 각 연도 매출을 S1 대비 일정 비율로 낮추는 완만한 시나리오입니다(2026은 1~9월 실적 고정 후 10~12월에 역산 적용). 9_시나리오 비교.</t>
        </is>
      </c>
    </row>
    <row r="61">
      <c r="A61" s="20" t="inlineStr">
        <is>
          <t>• 파란색 = 입력값, 검정 = 수식(산출 시트), 초록 = 계산 시트 간 연동, 노란 배경 = 핵심 가정.</t>
        </is>
      </c>
    </row>
    <row r="62"/>
    <row r="63">
      <c r="A63" s="2" t="inlineStr">
        <is>
          <t>※ 억원 단위 소수 첫째 자리 반올림으로 항목 합계가 합계와 0.1억 차이날 수 있습니다.</t>
        </is>
      </c>
    </row>
  </sheetData>
  <mergeCells count="1">
    <mergeCell ref="C4:E4"/>
  </mergeCells>
  <dataValidations count="1">
    <dataValidation sqref="C4" showDropDown="0" showInputMessage="0" showErrorMessage="1" allowBlank="0" errorTitle="시나리오 선택" error="목록에서 선택하세요." type="list" errorStyle="stop">
      <formula1>"S1 경영계획(100%),S2 기준(80%),S3 보수(60%)"</formula1>
    </dataValidation>
  </dataValidations>
  <hyperlinks>
    <hyperlink xmlns:r="http://schemas.openxmlformats.org/officeDocument/2006/relationships" ref="C6" r:id="rId1"/>
    <hyperlink xmlns:r="http://schemas.openxmlformats.org/officeDocument/2006/relationships" ref="E6" r:id="rId2"/>
    <hyperlink xmlns:r="http://schemas.openxmlformats.org/officeDocument/2006/relationships" ref="G6" r:id="rId3"/>
    <hyperlink xmlns:r="http://schemas.openxmlformats.org/officeDocument/2006/relationships" ref="I6" r:id="rId4"/>
  </hyperlinks>
  <pageMargins left="0.75" right="0.75" top="1" bottom="1" header="0.5" footer="0.5"/>
  <pageSetup orientation="landscape" fitToHeight="0" fitToWidth="1"/>
  <drawing xmlns:r="http://schemas.openxmlformats.org/officeDocument/2006/relationships" r:id="rId5"/>
</worksheet>
</file>

<file path=xl/worksheets/sheet2.xml><?xml version="1.0" encoding="utf-8"?>
<worksheet xmlns="http://schemas.openxmlformats.org/spreadsheetml/2006/main">
  <sheetPr>
    <tabColor rgb="001F3864"/>
    <outlinePr summaryBelow="1" summaryRight="1"/>
    <pageSetUpPr fitToPage="1"/>
  </sheetPr>
  <dimension ref="A1:AF77"/>
  <sheetViews>
    <sheetView zoomScale="85" workbookViewId="0">
      <pane xSplit="2" ySplit="6" topLeftCell="C7" activePane="bottomRight" state="frozen"/>
      <selection pane="topRight"/>
      <selection pane="bottomLeft"/>
      <selection pane="bottomRight" activeCell="A1" sqref="A1"/>
    </sheetView>
  </sheetViews>
  <sheetFormatPr baseColWidth="8" defaultRowHeight="15"/>
  <cols>
    <col width="38" customWidth="1" min="1" max="1"/>
    <col width="22" customWidth="1" min="2" max="2"/>
    <col outlineLevel="1" width="10.5" customWidth="1" min="3" max="14"/>
    <col width="10.5" customWidth="1" min="15" max="15"/>
    <col outlineLevel="1" width="10.5" customWidth="1" min="16" max="27"/>
    <col width="10.5" customWidth="1" min="28" max="28"/>
    <col width="10.5" customWidth="1" min="29" max="29"/>
    <col width="10.5" customWidth="1" min="30" max="30"/>
    <col width="10.5" customWidth="1" min="31" max="31"/>
    <col width="10.5" customWidth="1" min="32" max="32"/>
  </cols>
  <sheetData>
    <row r="1">
      <c r="A1" s="1" t="inlineStr">
        <is>
          <t>(주)모닛 5개년 사업계획 — 손익계산서 (2026~2030)</t>
        </is>
      </c>
    </row>
    <row r="2">
      <c r="A2" s="2" t="str">
        <f>"단위: 천원  |  시나리오: "&amp;'1_요약'!$C$4&amp;"  |  2026-01~09: 매출 = 거래처 매출표 실적(잠정, 비용은 추정·회계 마감 시 교체) · 2026-10부터 계획"</f>
        <v>단위: 천원  |  시나리오: S1 경영계획(100%)  |  2026-01~09: 매출 = 거래처 매출표 실적(잠정, 비용은 추정·회계 마감 시 교체) · 2026-10부터 계획</v>
      </c>
    </row>
    <row r="3"/>
    <row r="4"/>
    <row r="5">
      <c r="A5" s="21" t="inlineStr">
        <is>
          <t>계정과목</t>
        </is>
      </c>
      <c r="B5" s="21" t="inlineStr">
        <is>
          <t>비고</t>
        </is>
      </c>
      <c r="C5" s="11" t="inlineStr">
        <is>
          <t>2026-01</t>
        </is>
      </c>
      <c r="D5" s="11" t="inlineStr">
        <is>
          <t>2026-02</t>
        </is>
      </c>
      <c r="E5" s="11" t="inlineStr">
        <is>
          <t>2026-03</t>
        </is>
      </c>
      <c r="F5" s="11" t="inlineStr">
        <is>
          <t>2026-04</t>
        </is>
      </c>
      <c r="G5" s="11" t="inlineStr">
        <is>
          <t>2026-05</t>
        </is>
      </c>
      <c r="H5" s="11" t="inlineStr">
        <is>
          <t>2026-06</t>
        </is>
      </c>
      <c r="I5" s="11" t="inlineStr">
        <is>
          <t>2026-07</t>
        </is>
      </c>
      <c r="J5" s="11" t="inlineStr">
        <is>
          <t>2026-08</t>
        </is>
      </c>
      <c r="K5" s="11" t="inlineStr">
        <is>
          <t>2026-09</t>
        </is>
      </c>
      <c r="L5" s="11" t="inlineStr">
        <is>
          <t>2026-10</t>
        </is>
      </c>
      <c r="M5" s="11" t="inlineStr">
        <is>
          <t>2026-11</t>
        </is>
      </c>
      <c r="N5" s="11" t="inlineStr">
        <is>
          <t>2026-12</t>
        </is>
      </c>
      <c r="O5" s="11" t="inlineStr">
        <is>
          <t>FY2026</t>
        </is>
      </c>
      <c r="P5" s="11" t="inlineStr">
        <is>
          <t>2027-01</t>
        </is>
      </c>
      <c r="Q5" s="11" t="inlineStr">
        <is>
          <t>2027-02</t>
        </is>
      </c>
      <c r="R5" s="11" t="inlineStr">
        <is>
          <t>2027-03</t>
        </is>
      </c>
      <c r="S5" s="11" t="inlineStr">
        <is>
          <t>2027-04</t>
        </is>
      </c>
      <c r="T5" s="11" t="inlineStr">
        <is>
          <t>2027-05</t>
        </is>
      </c>
      <c r="U5" s="11" t="inlineStr">
        <is>
          <t>2027-06</t>
        </is>
      </c>
      <c r="V5" s="11" t="inlineStr">
        <is>
          <t>2027-07</t>
        </is>
      </c>
      <c r="W5" s="11" t="inlineStr">
        <is>
          <t>2027-08</t>
        </is>
      </c>
      <c r="X5" s="11" t="inlineStr">
        <is>
          <t>2027-09</t>
        </is>
      </c>
      <c r="Y5" s="11" t="inlineStr">
        <is>
          <t>2027-10</t>
        </is>
      </c>
      <c r="Z5" s="11" t="inlineStr">
        <is>
          <t>2027-11</t>
        </is>
      </c>
      <c r="AA5" s="11" t="inlineStr">
        <is>
          <t>2027-12</t>
        </is>
      </c>
      <c r="AB5" s="11" t="inlineStr">
        <is>
          <t>FY2027</t>
        </is>
      </c>
      <c r="AC5" s="11" t="inlineStr">
        <is>
          <t>2028E</t>
        </is>
      </c>
      <c r="AD5" s="11" t="inlineStr">
        <is>
          <t>2029E</t>
        </is>
      </c>
      <c r="AE5" s="11" t="inlineStr">
        <is>
          <t>2030E</t>
        </is>
      </c>
      <c r="AF5" s="11" t="inlineStr">
        <is>
          <t>5개년 합계</t>
        </is>
      </c>
    </row>
    <row r="6">
      <c r="A6" s="22" t="inlineStr"/>
      <c r="B6" s="22" t="inlineStr"/>
      <c r="C6" s="22" t="inlineStr">
        <is>
          <t>잠정</t>
        </is>
      </c>
      <c r="D6" s="22" t="inlineStr">
        <is>
          <t>잠정</t>
        </is>
      </c>
      <c r="E6" s="22" t="inlineStr">
        <is>
          <t>잠정</t>
        </is>
      </c>
      <c r="F6" s="22" t="inlineStr">
        <is>
          <t>잠정</t>
        </is>
      </c>
      <c r="G6" s="22" t="inlineStr">
        <is>
          <t>잠정</t>
        </is>
      </c>
      <c r="H6" s="22" t="inlineStr">
        <is>
          <t>잠정</t>
        </is>
      </c>
      <c r="I6" s="22" t="inlineStr">
        <is>
          <t>잠정</t>
        </is>
      </c>
      <c r="J6" s="22" t="inlineStr">
        <is>
          <t>잠정</t>
        </is>
      </c>
      <c r="K6" s="22" t="inlineStr">
        <is>
          <t>잠정</t>
        </is>
      </c>
      <c r="L6" s="22" t="inlineStr">
        <is>
          <t>계획</t>
        </is>
      </c>
      <c r="M6" s="22" t="inlineStr">
        <is>
          <t>계획</t>
        </is>
      </c>
      <c r="N6" s="22" t="inlineStr">
        <is>
          <t>계획</t>
        </is>
      </c>
      <c r="O6" s="22" t="inlineStr">
        <is>
          <t>FY합계</t>
        </is>
      </c>
      <c r="P6" s="22" t="inlineStr">
        <is>
          <t>계획</t>
        </is>
      </c>
      <c r="Q6" s="22" t="inlineStr">
        <is>
          <t>계획</t>
        </is>
      </c>
      <c r="R6" s="22" t="inlineStr">
        <is>
          <t>계획</t>
        </is>
      </c>
      <c r="S6" s="22" t="inlineStr">
        <is>
          <t>계획</t>
        </is>
      </c>
      <c r="T6" s="22" t="inlineStr">
        <is>
          <t>계획</t>
        </is>
      </c>
      <c r="U6" s="22" t="inlineStr">
        <is>
          <t>계획</t>
        </is>
      </c>
      <c r="V6" s="22" t="inlineStr">
        <is>
          <t>계획</t>
        </is>
      </c>
      <c r="W6" s="22" t="inlineStr">
        <is>
          <t>계획</t>
        </is>
      </c>
      <c r="X6" s="22" t="inlineStr">
        <is>
          <t>계획</t>
        </is>
      </c>
      <c r="Y6" s="22" t="inlineStr">
        <is>
          <t>계획</t>
        </is>
      </c>
      <c r="Z6" s="22" t="inlineStr">
        <is>
          <t>계획</t>
        </is>
      </c>
      <c r="AA6" s="22" t="inlineStr">
        <is>
          <t>계획</t>
        </is>
      </c>
      <c r="AB6" s="22" t="inlineStr">
        <is>
          <t>FY합계</t>
        </is>
      </c>
      <c r="AC6" s="22" t="inlineStr">
        <is>
          <t>계획(연)</t>
        </is>
      </c>
      <c r="AD6" s="22" t="inlineStr">
        <is>
          <t>계획(연)</t>
        </is>
      </c>
      <c r="AE6" s="22" t="inlineStr">
        <is>
          <t>계획(연)</t>
        </is>
      </c>
      <c r="AF6" s="22" t="inlineStr">
        <is>
          <t>합계</t>
        </is>
      </c>
    </row>
    <row r="7">
      <c r="A7" s="3" t="inlineStr">
        <is>
          <t>Ⅰ. 매출액</t>
        </is>
      </c>
    </row>
    <row r="8">
      <c r="A8" s="12" t="inlineStr">
        <is>
          <t>1. 베이비 매출</t>
        </is>
      </c>
      <c r="B8" s="23" t="inlineStr">
        <is>
          <t>5_매출_제품지역 G블록(카테고리 × 제품)</t>
        </is>
      </c>
      <c r="C8" s="24">
        <f>SUM(C9:C11)</f>
        <v>7738</v>
      </c>
      <c r="D8" s="24">
        <f>SUM(D9:D11)</f>
        <v>9569</v>
      </c>
      <c r="E8" s="24">
        <f>SUM(E9:E11)</f>
        <v>33009</v>
      </c>
      <c r="F8" s="24">
        <f>SUM(F9:F11)</f>
        <v>10450</v>
      </c>
      <c r="G8" s="24">
        <f>SUM(G9:G11)</f>
        <v>21318</v>
      </c>
      <c r="H8" s="24">
        <f>SUM(H9:H11)</f>
        <v>50361</v>
      </c>
      <c r="I8" s="24">
        <f>SUM(I9:I11)</f>
        <v>11631</v>
      </c>
      <c r="J8" s="24">
        <f>SUM(J9:J11)</f>
        <v>7239</v>
      </c>
      <c r="K8" s="24">
        <f>SUM(K9:K11)</f>
        <v>7128</v>
      </c>
      <c r="L8" s="24">
        <f>SUM(L9:L11)</f>
        <v>8700</v>
      </c>
      <c r="M8" s="24">
        <f>SUM(M9:M11)</f>
        <v>28700</v>
      </c>
      <c r="N8" s="24">
        <f>SUM(N9:N11)</f>
        <v>38700</v>
      </c>
      <c r="O8" s="25">
        <f>SUM(O9:O11)</f>
        <v>234543</v>
      </c>
      <c r="P8" s="24">
        <f>SUM(P9:P11)</f>
        <v>165079</v>
      </c>
      <c r="Q8" s="24">
        <f>SUM(Q9:Q11)</f>
        <v>151416</v>
      </c>
      <c r="R8" s="24">
        <f>SUM(R9:R11)</f>
        <v>160347</v>
      </c>
      <c r="S8" s="24">
        <f>SUM(S9:S11)</f>
        <v>178751</v>
      </c>
      <c r="T8" s="24">
        <f>SUM(T9:T11)</f>
        <v>182484</v>
      </c>
      <c r="U8" s="24">
        <f>SUM(U9:U11)</f>
        <v>186577</v>
      </c>
      <c r="V8" s="24">
        <f>SUM(V9:V11)</f>
        <v>219063</v>
      </c>
      <c r="W8" s="24">
        <f>SUM(W9:W11)</f>
        <v>223981</v>
      </c>
      <c r="X8" s="24">
        <f>SUM(X9:X11)</f>
        <v>229373</v>
      </c>
      <c r="Y8" s="24">
        <f>SUM(Y9:Y11)</f>
        <v>251286</v>
      </c>
      <c r="Z8" s="24">
        <f>SUM(Z9:Z11)</f>
        <v>257768</v>
      </c>
      <c r="AA8" s="24">
        <f>SUM(AA9:AA11)</f>
        <v>264875</v>
      </c>
      <c r="AB8" s="25">
        <f>SUM(AB9:AB11)</f>
        <v>2471000</v>
      </c>
      <c r="AC8" s="26">
        <f>SUM(AC9:AC11)</f>
        <v>4227400</v>
      </c>
      <c r="AD8" s="26">
        <f>SUM(AD9:AD11)</f>
        <v>5893680</v>
      </c>
      <c r="AE8" s="26">
        <f>SUM(AE9:AE11)</f>
        <v>7479513.6</v>
      </c>
      <c r="AF8" s="24">
        <f>SUM(AF9:AF11)</f>
        <v>20306136.6</v>
      </c>
    </row>
    <row r="9">
      <c r="A9" s="15" t="inlineStr">
        <is>
          <t xml:space="preserve">    스마트 기저귀(전용 기저귀·패드, 소모품)</t>
        </is>
      </c>
      <c r="C9" s="18">
        <f>'5_매출_제품지역'!C61</f>
        <v>6577.3</v>
      </c>
      <c r="D9" s="18">
        <f>'5_매출_제품지역'!D61</f>
        <v>8133.65</v>
      </c>
      <c r="E9" s="18">
        <f>'5_매출_제품지역'!E61</f>
        <v>28057.65</v>
      </c>
      <c r="F9" s="18">
        <f>'5_매출_제품지역'!F61</f>
        <v>8882.5</v>
      </c>
      <c r="G9" s="18">
        <f>'5_매출_제품지역'!G61</f>
        <v>18120.3</v>
      </c>
      <c r="H9" s="18">
        <f>'5_매출_제품지역'!H61</f>
        <v>42806.85</v>
      </c>
      <c r="I9" s="18">
        <f>'5_매출_제품지역'!I61</f>
        <v>9886.35</v>
      </c>
      <c r="J9" s="18">
        <f>'5_매출_제품지역'!J61</f>
        <v>6153.15</v>
      </c>
      <c r="K9" s="18">
        <f>'5_매출_제품지역'!K61</f>
        <v>6058.8</v>
      </c>
      <c r="L9" s="18">
        <f>'5_매출_제품지역'!L61</f>
        <v>7395</v>
      </c>
      <c r="M9" s="18">
        <f>'5_매출_제품지역'!M61</f>
        <v>24395</v>
      </c>
      <c r="N9" s="18">
        <f>'5_매출_제품지역'!N61</f>
        <v>32895</v>
      </c>
      <c r="O9" s="25">
        <f>SUM(C9:N9)</f>
        <v>199361.55</v>
      </c>
      <c r="P9" s="18">
        <f>'5_매출_제품지역'!O61</f>
        <v>140317.15</v>
      </c>
      <c r="Q9" s="18">
        <f>'5_매출_제품지역'!P61</f>
        <v>128703.6</v>
      </c>
      <c r="R9" s="18">
        <f>'5_매출_제품지역'!Q61</f>
        <v>136294.95</v>
      </c>
      <c r="S9" s="18">
        <f>'5_매출_제품지역'!R61</f>
        <v>151938.35</v>
      </c>
      <c r="T9" s="18">
        <f>'5_매출_제품지역'!S61</f>
        <v>155111.4</v>
      </c>
      <c r="U9" s="18">
        <f>'5_매출_제품지역'!T61</f>
        <v>158590.45</v>
      </c>
      <c r="V9" s="18">
        <f>'5_매출_제품지역'!U61</f>
        <v>186203.55</v>
      </c>
      <c r="W9" s="18">
        <f>'5_매출_제품지역'!V61</f>
        <v>190383.85</v>
      </c>
      <c r="X9" s="18">
        <f>'5_매출_제품지역'!W61</f>
        <v>194967.05</v>
      </c>
      <c r="Y9" s="18">
        <f>'5_매출_제품지역'!X61</f>
        <v>213593.1</v>
      </c>
      <c r="Z9" s="18">
        <f>'5_매출_제품지역'!Y61</f>
        <v>219102.8</v>
      </c>
      <c r="AA9" s="18">
        <f>'5_매출_제품지역'!Z61</f>
        <v>225143.75</v>
      </c>
      <c r="AB9" s="25">
        <f>SUM(P9:AA9)</f>
        <v>2100350</v>
      </c>
      <c r="AC9" s="27">
        <f>'5_매출_제품지역'!AC61</f>
        <v>3593290</v>
      </c>
      <c r="AD9" s="27">
        <f>'5_매출_제품지역'!AD61</f>
        <v>5009628</v>
      </c>
      <c r="AE9" s="27">
        <f>'5_매출_제품지역'!AE61</f>
        <v>6357586.56</v>
      </c>
      <c r="AF9" s="24">
        <f>O9+AB9+AC9+AD9+AE9</f>
        <v>17260216.11</v>
      </c>
    </row>
    <row r="10">
      <c r="A10" s="15" t="inlineStr">
        <is>
          <t xml:space="preserve">    센서·BLE 게이트웨이(하드웨어)</t>
        </is>
      </c>
      <c r="C10" s="18">
        <f>'5_매출_제품지역'!C62</f>
        <v>386.9</v>
      </c>
      <c r="D10" s="18">
        <f>'5_매출_제품지역'!D62</f>
        <v>478.45</v>
      </c>
      <c r="E10" s="18">
        <f>'5_매출_제품지역'!E62</f>
        <v>1650.45</v>
      </c>
      <c r="F10" s="18">
        <f>'5_매출_제품지역'!F62</f>
        <v>522.5</v>
      </c>
      <c r="G10" s="18">
        <f>'5_매출_제품지역'!G62</f>
        <v>1065.9</v>
      </c>
      <c r="H10" s="18">
        <f>'5_매출_제품지역'!H62</f>
        <v>2518.05</v>
      </c>
      <c r="I10" s="18">
        <f>'5_매출_제품지역'!I62</f>
        <v>581.55</v>
      </c>
      <c r="J10" s="18">
        <f>'5_매출_제품지역'!J62</f>
        <v>361.95</v>
      </c>
      <c r="K10" s="18">
        <f>'5_매출_제품지역'!K62</f>
        <v>356.4</v>
      </c>
      <c r="L10" s="18">
        <f>'5_매출_제품지역'!L62</f>
        <v>435</v>
      </c>
      <c r="M10" s="18">
        <f>'5_매출_제품지역'!M62</f>
        <v>1435</v>
      </c>
      <c r="N10" s="18">
        <f>'5_매출_제품지역'!N62</f>
        <v>1935</v>
      </c>
      <c r="O10" s="25">
        <f>SUM(C10:N10)</f>
        <v>11727.15</v>
      </c>
      <c r="P10" s="18">
        <f>'5_매출_제품지역'!O62</f>
        <v>8253.95</v>
      </c>
      <c r="Q10" s="18">
        <f>'5_매출_제품지역'!P62</f>
        <v>7570.8</v>
      </c>
      <c r="R10" s="18">
        <f>'5_매출_제품지역'!Q62</f>
        <v>8017.35</v>
      </c>
      <c r="S10" s="18">
        <f>'5_매출_제품지역'!R62</f>
        <v>8937.55</v>
      </c>
      <c r="T10" s="18">
        <f>'5_매출_제품지역'!S62</f>
        <v>9124.2</v>
      </c>
      <c r="U10" s="18">
        <f>'5_매출_제품지역'!T62</f>
        <v>9328.85</v>
      </c>
      <c r="V10" s="18">
        <f>'5_매출_제품지역'!U62</f>
        <v>10953.15</v>
      </c>
      <c r="W10" s="18">
        <f>'5_매출_제품지역'!V62</f>
        <v>11199.05</v>
      </c>
      <c r="X10" s="18">
        <f>'5_매출_제품지역'!W62</f>
        <v>11468.65</v>
      </c>
      <c r="Y10" s="18">
        <f>'5_매출_제품지역'!X62</f>
        <v>12564.3</v>
      </c>
      <c r="Z10" s="18">
        <f>'5_매출_제품지역'!Y62</f>
        <v>12888.4</v>
      </c>
      <c r="AA10" s="18">
        <f>'5_매출_제품지역'!Z62</f>
        <v>13243.75</v>
      </c>
      <c r="AB10" s="25">
        <f>SUM(P10:AA10)</f>
        <v>123550</v>
      </c>
      <c r="AC10" s="27">
        <f>'5_매출_제품지역'!AC62</f>
        <v>211370</v>
      </c>
      <c r="AD10" s="27">
        <f>'5_매출_제품지역'!AD62</f>
        <v>294684</v>
      </c>
      <c r="AE10" s="27">
        <f>'5_매출_제품지역'!AE62</f>
        <v>373975.68</v>
      </c>
      <c r="AF10" s="24">
        <f>O10+AB10+AC10+AD10+AE10</f>
        <v>1015306.83</v>
      </c>
    </row>
    <row r="11">
      <c r="A11" s="15" t="inlineStr">
        <is>
          <t xml:space="preserve">    앱·웹 모니터링 구독(SW·AI)</t>
        </is>
      </c>
      <c r="C11" s="18">
        <f>'5_매출_제품지역'!C63</f>
        <v>773.8</v>
      </c>
      <c r="D11" s="18">
        <f>'5_매출_제품지역'!D63</f>
        <v>956.9</v>
      </c>
      <c r="E11" s="18">
        <f>'5_매출_제품지역'!E63</f>
        <v>3300.9</v>
      </c>
      <c r="F11" s="18">
        <f>'5_매출_제품지역'!F63</f>
        <v>1045</v>
      </c>
      <c r="G11" s="18">
        <f>'5_매출_제품지역'!G63</f>
        <v>2131.8</v>
      </c>
      <c r="H11" s="18">
        <f>'5_매출_제품지역'!H63</f>
        <v>5036.1</v>
      </c>
      <c r="I11" s="18">
        <f>'5_매출_제품지역'!I63</f>
        <v>1163.1</v>
      </c>
      <c r="J11" s="18">
        <f>'5_매출_제품지역'!J63</f>
        <v>723.9</v>
      </c>
      <c r="K11" s="18">
        <f>'5_매출_제품지역'!K63</f>
        <v>712.8</v>
      </c>
      <c r="L11" s="18">
        <f>'5_매출_제품지역'!L63</f>
        <v>870</v>
      </c>
      <c r="M11" s="18">
        <f>'5_매출_제품지역'!M63</f>
        <v>2870</v>
      </c>
      <c r="N11" s="18">
        <f>'5_매출_제품지역'!N63</f>
        <v>3870</v>
      </c>
      <c r="O11" s="25">
        <f>SUM(C11:N11)</f>
        <v>23454.3</v>
      </c>
      <c r="P11" s="18">
        <f>'5_매출_제품지역'!O63</f>
        <v>16507.9</v>
      </c>
      <c r="Q11" s="18">
        <f>'5_매출_제품지역'!P63</f>
        <v>15141.6</v>
      </c>
      <c r="R11" s="18">
        <f>'5_매출_제품지역'!Q63</f>
        <v>16034.7</v>
      </c>
      <c r="S11" s="18">
        <f>'5_매출_제품지역'!R63</f>
        <v>17875.1</v>
      </c>
      <c r="T11" s="18">
        <f>'5_매출_제품지역'!S63</f>
        <v>18248.4</v>
      </c>
      <c r="U11" s="18">
        <f>'5_매출_제품지역'!T63</f>
        <v>18657.7</v>
      </c>
      <c r="V11" s="18">
        <f>'5_매출_제품지역'!U63</f>
        <v>21906.3</v>
      </c>
      <c r="W11" s="18">
        <f>'5_매출_제품지역'!V63</f>
        <v>22398.1</v>
      </c>
      <c r="X11" s="18">
        <f>'5_매출_제품지역'!W63</f>
        <v>22937.3</v>
      </c>
      <c r="Y11" s="18">
        <f>'5_매출_제품지역'!X63</f>
        <v>25128.6</v>
      </c>
      <c r="Z11" s="18">
        <f>'5_매출_제품지역'!Y63</f>
        <v>25776.8</v>
      </c>
      <c r="AA11" s="18">
        <f>'5_매출_제품지역'!Z63</f>
        <v>26487.5</v>
      </c>
      <c r="AB11" s="25">
        <f>SUM(P11:AA11)</f>
        <v>247100</v>
      </c>
      <c r="AC11" s="27">
        <f>'5_매출_제품지역'!AC63</f>
        <v>422740</v>
      </c>
      <c r="AD11" s="27">
        <f>'5_매출_제품지역'!AD63</f>
        <v>589368</v>
      </c>
      <c r="AE11" s="27">
        <f>'5_매출_제품지역'!AE63</f>
        <v>747951.36</v>
      </c>
      <c r="AF11" s="24">
        <f>O11+AB11+AC11+AD11+AE11</f>
        <v>2030613.66</v>
      </c>
    </row>
    <row r="12">
      <c r="A12" s="12" t="inlineStr">
        <is>
          <t>2. 엘더리 매출</t>
        </is>
      </c>
      <c r="B12" s="23" t="inlineStr">
        <is>
          <t>5_매출_제품지역 G블록(카테고리 × 제품)</t>
        </is>
      </c>
      <c r="C12" s="24">
        <f>SUM(C13:C18)</f>
        <v>39329</v>
      </c>
      <c r="D12" s="24">
        <f>SUM(D13:D18)</f>
        <v>26571</v>
      </c>
      <c r="E12" s="24">
        <f>SUM(E13:E18)</f>
        <v>23445</v>
      </c>
      <c r="F12" s="24">
        <f>SUM(F13:F18)</f>
        <v>485</v>
      </c>
      <c r="G12" s="24">
        <f>SUM(G13:G18)</f>
        <v>999</v>
      </c>
      <c r="H12" s="24">
        <f>SUM(H13:H18)</f>
        <v>1092</v>
      </c>
      <c r="I12" s="24">
        <f>SUM(I13:I18)</f>
        <v>1683</v>
      </c>
      <c r="J12" s="24">
        <f>SUM(J13:J18)</f>
        <v>687</v>
      </c>
      <c r="K12" s="24">
        <f>SUM(K13:K18)</f>
        <v>33601</v>
      </c>
      <c r="L12" s="24">
        <f>SUM(L13:L18)</f>
        <v>169625</v>
      </c>
      <c r="M12" s="24">
        <f>SUM(M13:M18)</f>
        <v>215220</v>
      </c>
      <c r="N12" s="24">
        <f>SUM(N13:N18)</f>
        <v>453937</v>
      </c>
      <c r="O12" s="25">
        <f>SUM(O13:O18)</f>
        <v>966674</v>
      </c>
      <c r="P12" s="24">
        <f>SUM(P13:P18)</f>
        <v>322932</v>
      </c>
      <c r="Q12" s="24">
        <f>SUM(Q13:Q18)</f>
        <v>366714</v>
      </c>
      <c r="R12" s="24">
        <f>SUM(R13:R18)</f>
        <v>482247</v>
      </c>
      <c r="S12" s="24">
        <f>SUM(S13:S18)</f>
        <v>542259</v>
      </c>
      <c r="T12" s="24">
        <f>SUM(T13:T18)</f>
        <v>593957</v>
      </c>
      <c r="U12" s="24">
        <f>SUM(U13:U18)</f>
        <v>628996</v>
      </c>
      <c r="V12" s="24">
        <f>SUM(V13:V18)</f>
        <v>664927</v>
      </c>
      <c r="W12" s="24">
        <f>SUM(W13:W18)</f>
        <v>691781</v>
      </c>
      <c r="X12" s="24">
        <f>SUM(X13:X18)</f>
        <v>738029</v>
      </c>
      <c r="Y12" s="24">
        <f>SUM(Y13:Y18)</f>
        <v>786013</v>
      </c>
      <c r="Z12" s="24">
        <f>SUM(Z13:Z18)</f>
        <v>839965</v>
      </c>
      <c r="AA12" s="24">
        <f>SUM(AA13:AA18)</f>
        <v>876180</v>
      </c>
      <c r="AB12" s="25">
        <f>SUM(AB13:AB18)</f>
        <v>7534000</v>
      </c>
      <c r="AC12" s="26">
        <f>SUM(AC13:AC18)</f>
        <v>28772600</v>
      </c>
      <c r="AD12" s="26">
        <f>SUM(AD13:AD18)</f>
        <v>64106320</v>
      </c>
      <c r="AE12" s="26">
        <f>SUM(AE13:AE18)</f>
        <v>148520486.4</v>
      </c>
      <c r="AF12" s="24">
        <f>SUM(AF13:AF18)</f>
        <v>249900080.4</v>
      </c>
    </row>
    <row r="13">
      <c r="A13" s="15" t="inlineStr">
        <is>
          <t xml:space="preserve">    스마트 기저귀(전용 기저귀·패드, 소모품)</t>
        </is>
      </c>
      <c r="C13" s="18">
        <f>'5_매출_제품지역'!C67</f>
        <v>24732.28</v>
      </c>
      <c r="D13" s="18">
        <f>'5_매출_제품지역'!D67</f>
        <v>19466.25</v>
      </c>
      <c r="E13" s="18">
        <f>'5_매출_제품지역'!E67</f>
        <v>14359.32</v>
      </c>
      <c r="F13" s="18">
        <f>'5_매출_제품지역'!F67</f>
        <v>388</v>
      </c>
      <c r="G13" s="18">
        <f>'5_매출_제품지역'!G67</f>
        <v>799.2</v>
      </c>
      <c r="H13" s="18">
        <f>'5_매출_제품지역'!H67</f>
        <v>873.6</v>
      </c>
      <c r="I13" s="18">
        <f>'5_매출_제품지역'!I67</f>
        <v>1346.4</v>
      </c>
      <c r="J13" s="18">
        <f>'5_매출_제품지역'!J67</f>
        <v>549.6</v>
      </c>
      <c r="K13" s="18">
        <f>'5_매출_제품지역'!K67</f>
        <v>20903.72</v>
      </c>
      <c r="L13" s="18">
        <f>'5_매출_제품지역'!L67</f>
        <v>113920</v>
      </c>
      <c r="M13" s="18">
        <f>'5_매출_제품지역'!M67</f>
        <v>145823.5</v>
      </c>
      <c r="N13" s="18">
        <f>'5_매출_제품지역'!N67</f>
        <v>196504</v>
      </c>
      <c r="O13" s="25">
        <f>SUM(C13:N13)</f>
        <v>539665.87</v>
      </c>
      <c r="P13" s="18">
        <f>'5_매출_제품지역'!O67</f>
        <v>223804.4</v>
      </c>
      <c r="Q13" s="18">
        <f>'5_매출_제품지역'!P67</f>
        <v>253134.7</v>
      </c>
      <c r="R13" s="18">
        <f>'5_매출_제품지역'!Q67</f>
        <v>312561.4</v>
      </c>
      <c r="S13" s="18">
        <f>'5_매출_제품지역'!R67</f>
        <v>350893.06</v>
      </c>
      <c r="T13" s="18">
        <f>'5_매출_제품지역'!S67</f>
        <v>384353.58</v>
      </c>
      <c r="U13" s="18">
        <f>'5_매출_제품지역'!T67</f>
        <v>408422.5</v>
      </c>
      <c r="V13" s="18">
        <f>'5_매출_제품지역'!U67</f>
        <v>432872.34</v>
      </c>
      <c r="W13" s="18">
        <f>'5_매출_제품지역'!V67</f>
        <v>448314.14</v>
      </c>
      <c r="X13" s="18">
        <f>'5_매출_제품지역'!W67</f>
        <v>477988</v>
      </c>
      <c r="Y13" s="18">
        <f>'5_매출_제품지역'!X67</f>
        <v>510535.82</v>
      </c>
      <c r="Z13" s="18">
        <f>'5_매출_제품지역'!Y67</f>
        <v>531669.22</v>
      </c>
      <c r="AA13" s="18">
        <f>'5_매출_제품지역'!Z67</f>
        <v>554050.84</v>
      </c>
      <c r="AB13" s="25">
        <f>SUM(P13:AA13)</f>
        <v>4888600</v>
      </c>
      <c r="AC13" s="27">
        <f>'5_매출_제품지역'!AC67</f>
        <v>18496393.12</v>
      </c>
      <c r="AD13" s="27">
        <f>'5_매출_제품지역'!AD67</f>
        <v>38445122.8</v>
      </c>
      <c r="AE13" s="27">
        <f>'5_매출_제품지역'!AE67</f>
        <v>83736182.77472</v>
      </c>
      <c r="AF13" s="24">
        <f>O13+AB13+AC13+AD13+AE13</f>
        <v>146105964.56472</v>
      </c>
    </row>
    <row r="14">
      <c r="A14" s="15" t="inlineStr">
        <is>
          <t xml:space="preserve">    센서·BLE 게이트웨이(하드웨어)</t>
        </is>
      </c>
      <c r="C14" s="18">
        <f>'5_매출_제품지역'!C68</f>
        <v>9840.64</v>
      </c>
      <c r="D14" s="18">
        <f>'5_매출_제품지역'!D68</f>
        <v>3796.86</v>
      </c>
      <c r="E14" s="18">
        <f>'5_매출_제품지역'!E68</f>
        <v>6600</v>
      </c>
      <c r="F14" s="18">
        <f>'5_매출_제품지역'!F68</f>
        <v>38.8</v>
      </c>
      <c r="G14" s="18">
        <f>'5_매출_제품지역'!G68</f>
        <v>79.92</v>
      </c>
      <c r="H14" s="18">
        <f>'5_매출_제품지역'!H68</f>
        <v>87.36</v>
      </c>
      <c r="I14" s="18">
        <f>'5_매출_제품지역'!I68</f>
        <v>134.64</v>
      </c>
      <c r="J14" s="18">
        <f>'5_매출_제품지역'!J68</f>
        <v>54.96</v>
      </c>
      <c r="K14" s="18">
        <f>'5_매출_제품지역'!K68</f>
        <v>9329.28</v>
      </c>
      <c r="L14" s="18">
        <f>'5_매출_제품지역'!L68</f>
        <v>14880</v>
      </c>
      <c r="M14" s="18">
        <f>'5_매출_제품지역'!M68</f>
        <v>19732.6</v>
      </c>
      <c r="N14" s="18">
        <f>'5_매출_제품지역'!N68</f>
        <v>170668.3</v>
      </c>
      <c r="O14" s="25">
        <f>SUM(C14:N14)</f>
        <v>235243.36</v>
      </c>
      <c r="P14" s="18">
        <f>'5_매출_제품지역'!O68</f>
        <v>46901.04</v>
      </c>
      <c r="Q14" s="18">
        <f>'5_매출_제품지역'!P68</f>
        <v>54982.16</v>
      </c>
      <c r="R14" s="18">
        <f>'5_매출_제품지역'!Q68</f>
        <v>82014.42</v>
      </c>
      <c r="S14" s="18">
        <f>'5_매출_제품지역'!R68</f>
        <v>91623.7</v>
      </c>
      <c r="T14" s="18">
        <f>'5_매출_제품지역'!S68</f>
        <v>100009.08</v>
      </c>
      <c r="U14" s="18">
        <f>'5_매출_제품지역'!T68</f>
        <v>104722.46</v>
      </c>
      <c r="V14" s="18">
        <f>'5_매출_제품지역'!U68</f>
        <v>109690.96</v>
      </c>
      <c r="W14" s="18">
        <f>'5_매출_제품지역'!V68</f>
        <v>115917.48</v>
      </c>
      <c r="X14" s="18">
        <f>'5_매출_제품지역'!W68</f>
        <v>122631.14</v>
      </c>
      <c r="Y14" s="18">
        <f>'5_매출_제품지역'!X68</f>
        <v>129417.36</v>
      </c>
      <c r="Z14" s="18">
        <f>'5_매출_제품지역'!Y68</f>
        <v>149365</v>
      </c>
      <c r="AA14" s="18">
        <f>'5_매출_제품지역'!Z68</f>
        <v>155805.2</v>
      </c>
      <c r="AB14" s="25">
        <f>SUM(P14:AA14)</f>
        <v>1263080</v>
      </c>
      <c r="AC14" s="27">
        <f>'5_매출_제품지역'!AC68</f>
        <v>3899330.72</v>
      </c>
      <c r="AD14" s="27">
        <f>'5_매출_제품지역'!AD68</f>
        <v>8341516.68</v>
      </c>
      <c r="AE14" s="27">
        <f>'5_매출_제품지역'!AE68</f>
        <v>17929231.49344</v>
      </c>
      <c r="AF14" s="24">
        <f>O14+AB14+AC14+AD14+AE14</f>
        <v>31668402.25344</v>
      </c>
    </row>
    <row r="15">
      <c r="A15" s="15" t="inlineStr">
        <is>
          <t xml:space="preserve">    앱·웹 모니터링 구독(SW·AI)</t>
        </is>
      </c>
      <c r="C15" s="18">
        <f>'5_매출_제품지역'!C69</f>
        <v>4756.08</v>
      </c>
      <c r="D15" s="18">
        <f>'5_매출_제품지역'!D69</f>
        <v>3307.89</v>
      </c>
      <c r="E15" s="18">
        <f>'5_매출_제품지역'!E69</f>
        <v>2485.68</v>
      </c>
      <c r="F15" s="18">
        <f>'5_매출_제품지역'!F69</f>
        <v>58.2</v>
      </c>
      <c r="G15" s="18">
        <f>'5_매출_제품지역'!G69</f>
        <v>119.88</v>
      </c>
      <c r="H15" s="18">
        <f>'5_매출_제품지역'!H69</f>
        <v>131.04</v>
      </c>
      <c r="I15" s="18">
        <f>'5_매출_제품지역'!I69</f>
        <v>201.96</v>
      </c>
      <c r="J15" s="18">
        <f>'5_매출_제품지역'!J69</f>
        <v>82.44</v>
      </c>
      <c r="K15" s="18">
        <f>'5_매출_제품지역'!K69</f>
        <v>3368</v>
      </c>
      <c r="L15" s="18">
        <f>'5_매출_제품지역'!L69</f>
        <v>17200</v>
      </c>
      <c r="M15" s="18">
        <f>'5_매출_제품지역'!M69</f>
        <v>22038.9</v>
      </c>
      <c r="N15" s="18">
        <f>'5_매출_제품지역'!N69</f>
        <v>58421.15</v>
      </c>
      <c r="O15" s="25">
        <f>SUM(C15:N15)</f>
        <v>112171.22</v>
      </c>
      <c r="P15" s="18">
        <f>'5_매출_제품지역'!O69</f>
        <v>36746.2</v>
      </c>
      <c r="Q15" s="18">
        <f>'5_매출_제품지역'!P69</f>
        <v>40948.75</v>
      </c>
      <c r="R15" s="18">
        <f>'5_매출_제품지역'!Q69</f>
        <v>53301</v>
      </c>
      <c r="S15" s="18">
        <f>'5_매출_제품지역'!R69</f>
        <v>58780.87</v>
      </c>
      <c r="T15" s="18">
        <f>'5_매출_제품지역'!S69</f>
        <v>63994.71</v>
      </c>
      <c r="U15" s="18">
        <f>'5_매출_제품지역'!T69</f>
        <v>67418.35</v>
      </c>
      <c r="V15" s="18">
        <f>'5_매출_제품지역'!U69</f>
        <v>70898.53</v>
      </c>
      <c r="W15" s="18">
        <f>'5_매출_제품지역'!V69</f>
        <v>73136.83</v>
      </c>
      <c r="X15" s="18">
        <f>'5_매출_제품지역'!W69</f>
        <v>77799.9</v>
      </c>
      <c r="Y15" s="18">
        <f>'5_매출_제품지역'!X69</f>
        <v>82434.99</v>
      </c>
      <c r="Z15" s="18">
        <f>'5_매출_제품지역'!Y69</f>
        <v>88464.69</v>
      </c>
      <c r="AA15" s="18">
        <f>'5_매출_제품지역'!Z69</f>
        <v>91675.18</v>
      </c>
      <c r="AB15" s="25">
        <f>SUM(P15:AA15)</f>
        <v>805600</v>
      </c>
      <c r="AC15" s="27">
        <f>'5_매출_제품지역'!AC69</f>
        <v>3360328</v>
      </c>
      <c r="AD15" s="27">
        <f>'5_매출_제품지역'!AD69</f>
        <v>7518304.8</v>
      </c>
      <c r="AE15" s="27">
        <f>'5_매출_제품지역'!AE69</f>
        <v>17568363.68</v>
      </c>
      <c r="AF15" s="24">
        <f>O15+AB15+AC15+AD15+AE15</f>
        <v>29364767.7</v>
      </c>
    </row>
    <row r="16">
      <c r="A16" s="15" t="inlineStr">
        <is>
          <t xml:space="preserve">    바이탈 모니터링 센서(60GHz, 2026 Q4 출시)</t>
        </is>
      </c>
      <c r="C16" s="18">
        <f>'5_매출_제품지역'!C70</f>
        <v>0</v>
      </c>
      <c r="D16" s="18">
        <f>'5_매출_제품지역'!D70</f>
        <v>0</v>
      </c>
      <c r="E16" s="18">
        <f>'5_매출_제품지역'!E70</f>
        <v>0</v>
      </c>
      <c r="F16" s="18">
        <f>'5_매출_제품지역'!F70</f>
        <v>0</v>
      </c>
      <c r="G16" s="18">
        <f>'5_매출_제품지역'!G70</f>
        <v>0</v>
      </c>
      <c r="H16" s="18">
        <f>'5_매출_제품지역'!H70</f>
        <v>0</v>
      </c>
      <c r="I16" s="18">
        <f>'5_매출_제품지역'!I70</f>
        <v>0</v>
      </c>
      <c r="J16" s="18">
        <f>'5_매출_제품지역'!J70</f>
        <v>0</v>
      </c>
      <c r="K16" s="18">
        <f>'5_매출_제품지역'!K70</f>
        <v>0</v>
      </c>
      <c r="L16" s="18">
        <f>'5_매출_제품지역'!L70</f>
        <v>0</v>
      </c>
      <c r="M16" s="18">
        <f>'5_매출_제품지역'!M70</f>
        <v>0</v>
      </c>
      <c r="N16" s="18">
        <f>'5_매출_제품지역'!N70</f>
        <v>0</v>
      </c>
      <c r="O16" s="25">
        <f>SUM(C16:N16)</f>
        <v>0</v>
      </c>
      <c r="P16" s="18">
        <f>'5_매출_제품지역'!O70</f>
        <v>10005.96</v>
      </c>
      <c r="Q16" s="18">
        <f>'5_매출_제품지역'!P70</f>
        <v>11292.99</v>
      </c>
      <c r="R16" s="18">
        <f>'5_매출_제품지역'!Q70</f>
        <v>15135.58</v>
      </c>
      <c r="S16" s="18">
        <f>'5_매출_제품지역'!R70</f>
        <v>16787.77</v>
      </c>
      <c r="T16" s="18">
        <f>'5_매출_제품지역'!S70</f>
        <v>19100.43</v>
      </c>
      <c r="U16" s="18">
        <f>'5_매출_제품지역'!T70</f>
        <v>20096.49</v>
      </c>
      <c r="V16" s="18">
        <f>'5_매출_제품지역'!U70</f>
        <v>21113.97</v>
      </c>
      <c r="W16" s="18">
        <f>'5_매출_제품지역'!V70</f>
        <v>21853.35</v>
      </c>
      <c r="X16" s="18">
        <f>'5_매출_제품지역'!W70</f>
        <v>23980.16</v>
      </c>
      <c r="Y16" s="18">
        <f>'5_매출_제품지역'!X70</f>
        <v>25340.03</v>
      </c>
      <c r="Z16" s="18">
        <f>'5_매출_제품지역'!Y70</f>
        <v>26271.29</v>
      </c>
      <c r="AA16" s="18">
        <f>'5_매출_제품지역'!Z70</f>
        <v>27261.98</v>
      </c>
      <c r="AB16" s="25">
        <f>SUM(P16:AA16)</f>
        <v>238240</v>
      </c>
      <c r="AC16" s="27">
        <f>'5_매출_제품지역'!AC70</f>
        <v>1792446.08</v>
      </c>
      <c r="AD16" s="27">
        <f>'5_매출_제품지역'!AD70</f>
        <v>5949350.24</v>
      </c>
      <c r="AE16" s="27">
        <f>'5_매출_제품지역'!AE70</f>
        <v>17723889.71392</v>
      </c>
      <c r="AF16" s="24">
        <f>O16+AB16+AC16+AD16+AE16</f>
        <v>25703926.03392</v>
      </c>
    </row>
    <row r="17">
      <c r="A17" s="15" t="inlineStr">
        <is>
          <t xml:space="preserve">    스마트 욕창 케어(2027 출시)</t>
        </is>
      </c>
      <c r="C17" s="18">
        <f>'5_매출_제품지역'!C71</f>
        <v>0</v>
      </c>
      <c r="D17" s="18">
        <f>'5_매출_제품지역'!D71</f>
        <v>0</v>
      </c>
      <c r="E17" s="18">
        <f>'5_매출_제품지역'!E71</f>
        <v>0</v>
      </c>
      <c r="F17" s="18">
        <f>'5_매출_제품지역'!F71</f>
        <v>0</v>
      </c>
      <c r="G17" s="18">
        <f>'5_매출_제품지역'!G71</f>
        <v>0</v>
      </c>
      <c r="H17" s="18">
        <f>'5_매출_제품지역'!H71</f>
        <v>0</v>
      </c>
      <c r="I17" s="18">
        <f>'5_매출_제품지역'!I71</f>
        <v>0</v>
      </c>
      <c r="J17" s="18">
        <f>'5_매출_제품지역'!J71</f>
        <v>0</v>
      </c>
      <c r="K17" s="18">
        <f>'5_매출_제품지역'!K71</f>
        <v>0</v>
      </c>
      <c r="L17" s="18">
        <f>'5_매출_제품지역'!L71</f>
        <v>0</v>
      </c>
      <c r="M17" s="18">
        <f>'5_매출_제품지역'!M71</f>
        <v>0</v>
      </c>
      <c r="N17" s="18">
        <f>'5_매출_제품지역'!N71</f>
        <v>0</v>
      </c>
      <c r="O17" s="25">
        <f>SUM(C17:N17)</f>
        <v>0</v>
      </c>
      <c r="P17" s="18">
        <f>'5_매출_제품지역'!O71</f>
        <v>487.2</v>
      </c>
      <c r="Q17" s="18">
        <f>'5_매출_제품지역'!P71</f>
        <v>487.2</v>
      </c>
      <c r="R17" s="18">
        <f>'5_매출_제품지역'!Q71</f>
        <v>1136.8</v>
      </c>
      <c r="S17" s="18">
        <f>'5_매출_제품지역'!R71</f>
        <v>1136.8</v>
      </c>
      <c r="T17" s="18">
        <f>'5_매출_제품지역'!S71</f>
        <v>1461.6</v>
      </c>
      <c r="U17" s="18">
        <f>'5_매출_제품지역'!T71</f>
        <v>1461.6</v>
      </c>
      <c r="V17" s="18">
        <f>'5_매출_제품지역'!U71</f>
        <v>1461.6</v>
      </c>
      <c r="W17" s="18">
        <f>'5_매출_제품지역'!V71</f>
        <v>1461.6</v>
      </c>
      <c r="X17" s="18">
        <f>'5_매출_제품지역'!W71</f>
        <v>1786.4</v>
      </c>
      <c r="Y17" s="18">
        <f>'5_매출_제품지역'!X71</f>
        <v>1786.4</v>
      </c>
      <c r="Z17" s="18">
        <f>'5_매출_제품지역'!Y71</f>
        <v>1786.4</v>
      </c>
      <c r="AA17" s="18">
        <f>'5_매출_제품지역'!Z71</f>
        <v>1786.4</v>
      </c>
      <c r="AB17" s="25">
        <f>SUM(P17:AA17)</f>
        <v>16240</v>
      </c>
      <c r="AC17" s="27">
        <f>'5_매출_제품지역'!AC71</f>
        <v>424931.36</v>
      </c>
      <c r="AD17" s="27">
        <f>'5_매출_제품지역'!AD71</f>
        <v>2283801.56</v>
      </c>
      <c r="AE17" s="27">
        <f>'5_매출_제품지역'!AE71</f>
        <v>8282271.76896</v>
      </c>
      <c r="AF17" s="24">
        <f>O17+AB17+AC17+AD17+AE17</f>
        <v>11007244.68896</v>
      </c>
    </row>
    <row r="18">
      <c r="A18" s="15" t="inlineStr">
        <is>
          <t xml:space="preserve">    R&amp;D·PoC 용역</t>
        </is>
      </c>
      <c r="C18" s="18">
        <f>'5_매출_제품지역'!C72</f>
        <v>0</v>
      </c>
      <c r="D18" s="18">
        <f>'5_매출_제품지역'!D72</f>
        <v>0</v>
      </c>
      <c r="E18" s="18">
        <f>'5_매출_제품지역'!E72</f>
        <v>0</v>
      </c>
      <c r="F18" s="18">
        <f>'5_매출_제품지역'!F72</f>
        <v>0</v>
      </c>
      <c r="G18" s="18">
        <f>'5_매출_제품지역'!G72</f>
        <v>0</v>
      </c>
      <c r="H18" s="18">
        <f>'5_매출_제품지역'!H72</f>
        <v>0</v>
      </c>
      <c r="I18" s="18">
        <f>'5_매출_제품지역'!I72</f>
        <v>0</v>
      </c>
      <c r="J18" s="18">
        <f>'5_매출_제품지역'!J72</f>
        <v>0</v>
      </c>
      <c r="K18" s="18">
        <f>'5_매출_제품지역'!K72</f>
        <v>0</v>
      </c>
      <c r="L18" s="18">
        <f>'5_매출_제품지역'!L72</f>
        <v>23625</v>
      </c>
      <c r="M18" s="18">
        <f>'5_매출_제품지역'!M72</f>
        <v>27625</v>
      </c>
      <c r="N18" s="18">
        <f>'5_매출_제품지역'!N72</f>
        <v>28343.55</v>
      </c>
      <c r="O18" s="25">
        <f>SUM(C18:N18)</f>
        <v>79593.55</v>
      </c>
      <c r="P18" s="18">
        <f>'5_매출_제품지역'!O72</f>
        <v>4987.2</v>
      </c>
      <c r="Q18" s="18">
        <f>'5_매출_제품지역'!P72</f>
        <v>5868.2</v>
      </c>
      <c r="R18" s="18">
        <f>'5_매출_제품지역'!Q72</f>
        <v>18097.8</v>
      </c>
      <c r="S18" s="18">
        <f>'5_매출_제품지역'!R72</f>
        <v>23036.8</v>
      </c>
      <c r="T18" s="18">
        <f>'5_매출_제품지역'!S72</f>
        <v>25037.6</v>
      </c>
      <c r="U18" s="18">
        <f>'5_매출_제품지역'!T72</f>
        <v>26874.6</v>
      </c>
      <c r="V18" s="18">
        <f>'5_매출_제품지역'!U72</f>
        <v>28889.6</v>
      </c>
      <c r="W18" s="18">
        <f>'5_매출_제품지역'!V72</f>
        <v>31097.6</v>
      </c>
      <c r="X18" s="18">
        <f>'5_매출_제품지역'!W72</f>
        <v>33843.4</v>
      </c>
      <c r="Y18" s="18">
        <f>'5_매출_제품지역'!X72</f>
        <v>36498.4</v>
      </c>
      <c r="Z18" s="18">
        <f>'5_매출_제품지역'!Y72</f>
        <v>42408.4</v>
      </c>
      <c r="AA18" s="18">
        <f>'5_매출_제품지역'!Z72</f>
        <v>45600.4</v>
      </c>
      <c r="AB18" s="25">
        <f>SUM(P18:AA18)</f>
        <v>322240</v>
      </c>
      <c r="AC18" s="27">
        <f>'5_매출_제품지역'!AC72</f>
        <v>799170.72</v>
      </c>
      <c r="AD18" s="27">
        <f>'5_매출_제품지역'!AD72</f>
        <v>1568223.92</v>
      </c>
      <c r="AE18" s="27">
        <f>'5_매출_제품지역'!AE72</f>
        <v>3280546.96896</v>
      </c>
      <c r="AF18" s="24">
        <f>O18+AB18+AC18+AD18+AE18</f>
        <v>6049775.15896</v>
      </c>
    </row>
    <row r="19">
      <c r="A19" s="12" t="inlineStr">
        <is>
          <t>매출액(베이비 + 엘더리)</t>
        </is>
      </c>
      <c r="C19" s="28">
        <f>C8+C12</f>
        <v>47067</v>
      </c>
      <c r="D19" s="28">
        <f>D8+D12</f>
        <v>36140</v>
      </c>
      <c r="E19" s="28">
        <f>E8+E12</f>
        <v>56454</v>
      </c>
      <c r="F19" s="28">
        <f>F8+F12</f>
        <v>10935</v>
      </c>
      <c r="G19" s="28">
        <f>G8+G12</f>
        <v>22317</v>
      </c>
      <c r="H19" s="28">
        <f>H8+H12</f>
        <v>51453</v>
      </c>
      <c r="I19" s="28">
        <f>I8+I12</f>
        <v>13314</v>
      </c>
      <c r="J19" s="28">
        <f>J8+J12</f>
        <v>7926</v>
      </c>
      <c r="K19" s="28">
        <f>K8+K12</f>
        <v>40729</v>
      </c>
      <c r="L19" s="28">
        <f>L8+L12</f>
        <v>178325</v>
      </c>
      <c r="M19" s="28">
        <f>M8+M12</f>
        <v>243920</v>
      </c>
      <c r="N19" s="28">
        <f>N8+N12</f>
        <v>492637</v>
      </c>
      <c r="O19" s="29">
        <f>O8+O12</f>
        <v>1201217</v>
      </c>
      <c r="P19" s="28">
        <f>P8+P12</f>
        <v>488011</v>
      </c>
      <c r="Q19" s="28">
        <f>Q8+Q12</f>
        <v>518130</v>
      </c>
      <c r="R19" s="28">
        <f>R8+R12</f>
        <v>642594</v>
      </c>
      <c r="S19" s="28">
        <f>S8+S12</f>
        <v>721010</v>
      </c>
      <c r="T19" s="28">
        <f>T8+T12</f>
        <v>776441</v>
      </c>
      <c r="U19" s="28">
        <f>U8+U12</f>
        <v>815573</v>
      </c>
      <c r="V19" s="28">
        <f>V8+V12</f>
        <v>883990</v>
      </c>
      <c r="W19" s="28">
        <f>W8+W12</f>
        <v>915762</v>
      </c>
      <c r="X19" s="28">
        <f>X8+X12</f>
        <v>967402</v>
      </c>
      <c r="Y19" s="28">
        <f>Y8+Y12</f>
        <v>1037299</v>
      </c>
      <c r="Z19" s="28">
        <f>Z8+Z12</f>
        <v>1097733</v>
      </c>
      <c r="AA19" s="28">
        <f>AA8+AA12</f>
        <v>1141055</v>
      </c>
      <c r="AB19" s="29">
        <f>AB8+AB12</f>
        <v>10005000</v>
      </c>
      <c r="AC19" s="30">
        <f>AC8+AC12</f>
        <v>33000000</v>
      </c>
      <c r="AD19" s="30">
        <f>AD8+AD12</f>
        <v>70000000</v>
      </c>
      <c r="AE19" s="30">
        <f>AE8+AE12</f>
        <v>156000000</v>
      </c>
      <c r="AF19" s="28">
        <f>AF8+AF12</f>
        <v>270206217</v>
      </c>
    </row>
    <row r="20">
      <c r="A20" s="15" t="inlineStr">
        <is>
          <t>전년 대비 성장률</t>
        </is>
      </c>
      <c r="B20" s="23" t="inlineStr">
        <is>
          <t>2026은 2025A 대비</t>
        </is>
      </c>
      <c r="O20" s="31">
        <f>IFERROR(O19/'3_연간손익'!$C$7-1,0)</f>
        <v>0.40630871628238</v>
      </c>
      <c r="AB20" s="31">
        <f>IFERROR(AB19/O19-1,0)</f>
        <v>7.32905295213105</v>
      </c>
      <c r="AC20" s="32">
        <f>IFERROR(AC19/AB19-1,0)</f>
        <v>2.29835082458771</v>
      </c>
      <c r="AD20" s="32">
        <f>IFERROR(AD19/AC19-1,0)</f>
        <v>1.12121212121212</v>
      </c>
      <c r="AE20" s="32">
        <f>IFERROR(AE19/AD19-1,0)</f>
        <v>1.22857142857143</v>
      </c>
    </row>
    <row r="21">
      <c r="A21" s="15" t="inlineStr">
        <is>
          <t xml:space="preserve">  베이비 매출 비중</t>
        </is>
      </c>
      <c r="C21" s="14">
        <f>IFERROR(C8/C19,0)</f>
        <v>0.164403934816326</v>
      </c>
      <c r="D21" s="14">
        <f>IFERROR(D8/D19,0)</f>
        <v>0.264775871610404</v>
      </c>
      <c r="E21" s="14">
        <f>IFERROR(E8/E19,0)</f>
        <v>0.5847061324264</v>
      </c>
      <c r="F21" s="14">
        <f>IFERROR(F8/F19,0)</f>
        <v>0.955647005029721</v>
      </c>
      <c r="G21" s="14">
        <f>IFERROR(G8/G19,0)</f>
        <v>0.955235918806291</v>
      </c>
      <c r="H21" s="14">
        <f>IFERROR(H8/H19,0)</f>
        <v>0.978776747711504</v>
      </c>
      <c r="I21" s="14">
        <f>IFERROR(I8/I19,0)</f>
        <v>0.873591707976566</v>
      </c>
      <c r="J21" s="14">
        <f>IFERROR(J8/J19,0)</f>
        <v>0.91332323996972</v>
      </c>
      <c r="K21" s="14">
        <f>IFERROR(K8/K19,0)</f>
        <v>0.175010434825309</v>
      </c>
      <c r="L21" s="14">
        <f>IFERROR(L8/L19,0)</f>
        <v>0.0487873265105846</v>
      </c>
      <c r="M21" s="14">
        <f>IFERROR(M8/M19,0)</f>
        <v>0.117661528369957</v>
      </c>
      <c r="N21" s="14">
        <f>IFERROR(N8/N19,0)</f>
        <v>0.0785568278468731</v>
      </c>
      <c r="O21" s="31">
        <f>IFERROR(O8/O19,0)</f>
        <v>0.195254479415459</v>
      </c>
      <c r="P21" s="14">
        <f>IFERROR(P8/P19,0)</f>
        <v>0.338269014427954</v>
      </c>
      <c r="Q21" s="14">
        <f>IFERROR(Q8/Q19,0)</f>
        <v>0.292235539343408</v>
      </c>
      <c r="R21" s="14">
        <f>IFERROR(R8/R19,0)</f>
        <v>0.249530807944052</v>
      </c>
      <c r="S21" s="14">
        <f>IFERROR(S8/S19,0)</f>
        <v>0.247917504611587</v>
      </c>
      <c r="T21" s="14">
        <f>IFERROR(T8/T19,0)</f>
        <v>0.235026228650986</v>
      </c>
      <c r="U21" s="14">
        <f>IFERROR(U8/U19,0)</f>
        <v>0.228767995017</v>
      </c>
      <c r="V21" s="14">
        <f>IFERROR(V8/V19,0)</f>
        <v>0.247811626828358</v>
      </c>
      <c r="W21" s="14">
        <f>IFERROR(W8/W19,0)</f>
        <v>0.244584291551735</v>
      </c>
      <c r="X21" s="14">
        <f>IFERROR(X8/X19,0)</f>
        <v>0.237102052714383</v>
      </c>
      <c r="Y21" s="14">
        <f>IFERROR(Y8/Y19,0)</f>
        <v>0.242250305842385</v>
      </c>
      <c r="Z21" s="14">
        <f>IFERROR(Z8/Z19,0)</f>
        <v>0.234818485005006</v>
      </c>
      <c r="AA21" s="14">
        <f>IFERROR(AA8/AA19,0)</f>
        <v>0.232131667623384</v>
      </c>
      <c r="AB21" s="31">
        <f>IFERROR(AB8/AB19,0)</f>
        <v>0.246976511744128</v>
      </c>
      <c r="AC21" s="32">
        <f>IFERROR(AC8/AC19,0)</f>
        <v>0.12810303030303</v>
      </c>
      <c r="AD21" s="32">
        <f>IFERROR(AD8/AD19,0)</f>
        <v>0.0841954285714286</v>
      </c>
      <c r="AE21" s="32">
        <f>IFERROR(AE8/AE19,0)</f>
        <v>0.0479456</v>
      </c>
      <c r="AF21" s="14">
        <f>IFERROR(AF8/AF19,0)</f>
        <v>0.0751505158743257</v>
      </c>
    </row>
    <row r="22">
      <c r="A22" s="15" t="inlineStr">
        <is>
          <t xml:space="preserve">  검증: 거래처 매출 합계(4번 시트) − 매출액 (0이어야 함)</t>
        </is>
      </c>
      <c r="C22" s="33">
        <f>'4_매출_거래처'!X90-C19</f>
        <v>0</v>
      </c>
      <c r="D22" s="33">
        <f>'4_매출_거래처'!Y90-D19</f>
        <v>0</v>
      </c>
      <c r="E22" s="33">
        <f>'4_매출_거래처'!Z90-E19</f>
        <v>0</v>
      </c>
      <c r="F22" s="33">
        <f>'4_매출_거래처'!AA90-F19</f>
        <v>0</v>
      </c>
      <c r="G22" s="33">
        <f>'4_매출_거래처'!AB90-G19</f>
        <v>0</v>
      </c>
      <c r="H22" s="33">
        <f>'4_매출_거래처'!AC90-H19</f>
        <v>0</v>
      </c>
      <c r="I22" s="33">
        <f>'4_매출_거래처'!AD90-I19</f>
        <v>0</v>
      </c>
      <c r="J22" s="33">
        <f>'4_매출_거래처'!AE90-J19</f>
        <v>0</v>
      </c>
      <c r="K22" s="33">
        <f>'4_매출_거래처'!AF90-K19</f>
        <v>0</v>
      </c>
      <c r="L22" s="33">
        <f>'4_매출_거래처'!AG90-L19</f>
        <v>0</v>
      </c>
      <c r="M22" s="33">
        <f>'4_매출_거래처'!AH90-M19</f>
        <v>0</v>
      </c>
      <c r="N22" s="33">
        <f>'4_매출_거래처'!AI90-N19</f>
        <v>0</v>
      </c>
      <c r="O22" s="33">
        <f>'4_매출_거래처'!AV90-O19</f>
        <v>0</v>
      </c>
      <c r="P22" s="33">
        <f>'4_매출_거래처'!AJ90-P19</f>
        <v>0</v>
      </c>
      <c r="Q22" s="33">
        <f>'4_매출_거래처'!AK90-Q19</f>
        <v>0</v>
      </c>
      <c r="R22" s="33">
        <f>'4_매출_거래처'!AL90-R19</f>
        <v>0</v>
      </c>
      <c r="S22" s="33">
        <f>'4_매출_거래처'!AM90-S19</f>
        <v>0</v>
      </c>
      <c r="T22" s="33">
        <f>'4_매출_거래처'!AN90-T19</f>
        <v>0</v>
      </c>
      <c r="U22" s="33">
        <f>'4_매출_거래처'!AO90-U19</f>
        <v>0</v>
      </c>
      <c r="V22" s="33">
        <f>'4_매출_거래처'!AP90-V19</f>
        <v>0</v>
      </c>
      <c r="W22" s="33">
        <f>'4_매출_거래처'!AQ90-W19</f>
        <v>0</v>
      </c>
      <c r="X22" s="33">
        <f>'4_매출_거래처'!AR90-X19</f>
        <v>0</v>
      </c>
      <c r="Y22" s="33">
        <f>'4_매출_거래처'!AS90-Y19</f>
        <v>0</v>
      </c>
      <c r="Z22" s="33">
        <f>'4_매출_거래처'!AT90-Z19</f>
        <v>0</v>
      </c>
      <c r="AA22" s="33">
        <f>'4_매출_거래처'!AU90-AA19</f>
        <v>0</v>
      </c>
      <c r="AB22" s="33">
        <f>'4_매출_거래처'!AW90-AB19</f>
        <v>0</v>
      </c>
      <c r="AC22" s="33">
        <f>'4_매출_거래처'!AX90-AC19</f>
        <v>0</v>
      </c>
      <c r="AD22" s="33">
        <f>'4_매출_거래처'!AY90-AD19</f>
        <v>0</v>
      </c>
      <c r="AE22" s="33">
        <f>'4_매출_거래처'!AZ90-AE19</f>
        <v>0</v>
      </c>
      <c r="AF22" s="33">
        <f>'4_매출_거래처'!BA90-AF19</f>
        <v>0</v>
      </c>
    </row>
    <row r="23">
      <c r="A23" s="15" t="inlineStr">
        <is>
          <t xml:space="preserve">  검증: 베이비 소계 − 베이비 카테고리 합계(5번 시트) (0이어야 함)</t>
        </is>
      </c>
      <c r="C23" s="33">
        <f>C8-'5_매출_제품지역'!C18</f>
        <v>0</v>
      </c>
      <c r="D23" s="33">
        <f>D8-'5_매출_제품지역'!D18</f>
        <v>0</v>
      </c>
      <c r="E23" s="33">
        <f>E8-'5_매출_제품지역'!E18</f>
        <v>0</v>
      </c>
      <c r="F23" s="33">
        <f>F8-'5_매출_제품지역'!F18</f>
        <v>0</v>
      </c>
      <c r="G23" s="33">
        <f>G8-'5_매출_제품지역'!G18</f>
        <v>0</v>
      </c>
      <c r="H23" s="33">
        <f>H8-'5_매출_제품지역'!H18</f>
        <v>0</v>
      </c>
      <c r="I23" s="33">
        <f>I8-'5_매출_제품지역'!I18</f>
        <v>0</v>
      </c>
      <c r="J23" s="33">
        <f>J8-'5_매출_제품지역'!J18</f>
        <v>0</v>
      </c>
      <c r="K23" s="33">
        <f>K8-'5_매출_제품지역'!K18</f>
        <v>0</v>
      </c>
      <c r="L23" s="33">
        <f>L8-'5_매출_제품지역'!L18</f>
        <v>0</v>
      </c>
      <c r="M23" s="33">
        <f>M8-'5_매출_제품지역'!M18</f>
        <v>0</v>
      </c>
      <c r="N23" s="33">
        <f>N8-'5_매출_제품지역'!N18</f>
        <v>0</v>
      </c>
      <c r="O23" s="33">
        <f>O8-'5_매출_제품지역'!AA18</f>
        <v>0</v>
      </c>
      <c r="P23" s="33">
        <f>P8-'5_매출_제품지역'!O18</f>
        <v>0</v>
      </c>
      <c r="Q23" s="33">
        <f>Q8-'5_매출_제품지역'!P18</f>
        <v>0</v>
      </c>
      <c r="R23" s="33">
        <f>R8-'5_매출_제품지역'!Q18</f>
        <v>0</v>
      </c>
      <c r="S23" s="33">
        <f>S8-'5_매출_제품지역'!R18</f>
        <v>0</v>
      </c>
      <c r="T23" s="33">
        <f>T8-'5_매출_제품지역'!S18</f>
        <v>0</v>
      </c>
      <c r="U23" s="33">
        <f>U8-'5_매출_제품지역'!T18</f>
        <v>0</v>
      </c>
      <c r="V23" s="33">
        <f>V8-'5_매출_제품지역'!U18</f>
        <v>0</v>
      </c>
      <c r="W23" s="33">
        <f>W8-'5_매출_제품지역'!V18</f>
        <v>0</v>
      </c>
      <c r="X23" s="33">
        <f>X8-'5_매출_제품지역'!W18</f>
        <v>0</v>
      </c>
      <c r="Y23" s="33">
        <f>Y8-'5_매출_제품지역'!X18</f>
        <v>0</v>
      </c>
      <c r="Z23" s="33">
        <f>Z8-'5_매출_제품지역'!Y18</f>
        <v>0</v>
      </c>
      <c r="AA23" s="33">
        <f>AA8-'5_매출_제품지역'!Z18</f>
        <v>0</v>
      </c>
      <c r="AB23" s="33">
        <f>AB8-'5_매출_제품지역'!AB18</f>
        <v>0</v>
      </c>
      <c r="AC23" s="33">
        <f>AC8-'5_매출_제품지역'!AC18</f>
        <v>0</v>
      </c>
      <c r="AD23" s="33">
        <f>AD8-'5_매출_제품지역'!AD18</f>
        <v>0</v>
      </c>
      <c r="AE23" s="33">
        <f>AE8-'5_매출_제품지역'!AE18</f>
        <v>0</v>
      </c>
      <c r="AF23" s="33">
        <f>AF8-'5_매출_제품지역'!AF18</f>
        <v>0</v>
      </c>
    </row>
    <row r="24"/>
    <row r="25">
      <c r="A25" s="3" t="inlineStr">
        <is>
          <t>Ⅱ. 매출원가</t>
        </is>
      </c>
    </row>
    <row r="26">
      <c r="A26" s="15" t="inlineStr">
        <is>
          <t xml:space="preserve">  스마트 기저귀(전용 기저귀·패드, 소모품) 원가</t>
        </is>
      </c>
      <c r="B26" s="23" t="inlineStr">
        <is>
          <t>제품 매출(베이비+엘더리) × 원가율</t>
        </is>
      </c>
      <c r="C26" s="18">
        <f>'5_매출_제품지역'!C9*'8_가정'!$C$37</f>
        <v>16907.1732</v>
      </c>
      <c r="D26" s="18">
        <f>'5_매출_제품지역'!D9*'8_가정'!$C$37</f>
        <v>14903.946</v>
      </c>
      <c r="E26" s="18">
        <f>'5_매출_제품지역'!E9*'8_가정'!$C$37</f>
        <v>22905.1638</v>
      </c>
      <c r="F26" s="18">
        <f>'5_매출_제품지역'!F9*'8_가정'!$C$37</f>
        <v>5006.07</v>
      </c>
      <c r="G26" s="18">
        <f>'5_매출_제품지역'!G9*'8_가정'!$C$37</f>
        <v>10216.53</v>
      </c>
      <c r="H26" s="18">
        <f>'5_매출_제품지역'!H9*'8_가정'!$C$37</f>
        <v>23587.443</v>
      </c>
      <c r="I26" s="18">
        <f>'5_매출_제품지역'!I9*'8_가정'!$C$37</f>
        <v>6065.685</v>
      </c>
      <c r="J26" s="18">
        <f>'5_매출_제품지역'!J9*'8_가정'!$C$37</f>
        <v>3619.485</v>
      </c>
      <c r="K26" s="18">
        <f>'5_매출_제품지역'!K9*'8_가정'!$C$37</f>
        <v>14559.7608</v>
      </c>
      <c r="L26" s="18">
        <f>'5_매출_제품지역'!L9*'8_가정'!$C$37</f>
        <v>65510.1</v>
      </c>
      <c r="M26" s="18">
        <f>'5_매출_제품지역'!M9*'8_가정'!$C$37</f>
        <v>91917.99</v>
      </c>
      <c r="N26" s="18">
        <f>'5_매출_제품지역'!N9*'8_가정'!$C$37</f>
        <v>123875.46</v>
      </c>
      <c r="O26" s="25">
        <f>SUM(C26:N26)</f>
        <v>399074.8068</v>
      </c>
      <c r="P26" s="18">
        <f>'5_매출_제품지역'!O9*'8_가정'!$D$37</f>
        <v>229396.5765</v>
      </c>
      <c r="Q26" s="18">
        <f>'5_매출_제품지역'!P9*'8_가정'!$D$37</f>
        <v>240558.129</v>
      </c>
      <c r="R26" s="18">
        <f>'5_매출_제품지역'!Q9*'8_가정'!$D$37</f>
        <v>282779.5005</v>
      </c>
      <c r="S26" s="18">
        <f>'5_매출_제품지역'!R9*'8_가정'!$D$37</f>
        <v>316783.7883</v>
      </c>
      <c r="T26" s="18">
        <f>'5_매출_제품지역'!S9*'8_가정'!$D$37</f>
        <v>339862.9374</v>
      </c>
      <c r="U26" s="18">
        <f>'5_매출_제품지역'!T9*'8_가정'!$D$37</f>
        <v>357218.1585</v>
      </c>
      <c r="V26" s="18">
        <f>'5_매출_제품지역'!U9*'8_가정'!$D$37</f>
        <v>390017.8107</v>
      </c>
      <c r="W26" s="18">
        <f>'5_매출_제품지역'!V9*'8_가정'!$D$37</f>
        <v>402379.7337</v>
      </c>
      <c r="X26" s="18">
        <f>'5_매출_제품지역'!W9*'8_가정'!$D$37</f>
        <v>423961.6815</v>
      </c>
      <c r="Y26" s="18">
        <f>'5_매출_제품지역'!X9*'8_가정'!$D$37</f>
        <v>456201.2196</v>
      </c>
      <c r="Z26" s="18">
        <f>'5_매출_제품지역'!Y9*'8_가정'!$D$37</f>
        <v>472986.3726</v>
      </c>
      <c r="AA26" s="18">
        <f>'5_매출_제품지역'!Z9*'8_가정'!$D$37</f>
        <v>490892.5917</v>
      </c>
      <c r="AB26" s="25">
        <f>SUM(P26:AA26)</f>
        <v>4403038.5</v>
      </c>
      <c r="AC26" s="27">
        <f>'5_매출_제품지역'!AC9*'8_가정'!$E$37</f>
        <v>14026948.7812</v>
      </c>
      <c r="AD26" s="27">
        <f>'5_매출_제품지역'!AD9*'8_가정'!$F$37</f>
        <v>27593766.758</v>
      </c>
      <c r="AE26" s="27">
        <f>'5_매출_제품지역'!AE9*'8_가정'!$G$37</f>
        <v>57209543.5275472</v>
      </c>
      <c r="AF26" s="24">
        <f>O26+AB26+AC26+AD26+AE26</f>
        <v>103632372.373547</v>
      </c>
    </row>
    <row r="27">
      <c r="A27" s="15" t="inlineStr">
        <is>
          <t xml:space="preserve">  센서·BLE 게이트웨이(하드웨어) 원가</t>
        </is>
      </c>
      <c r="B27" s="23" t="inlineStr">
        <is>
          <t>제품 매출(베이비+엘더리) × 원가율</t>
        </is>
      </c>
      <c r="C27" s="18">
        <f>'5_매출_제품지역'!C10*'8_가정'!$C$38</f>
        <v>4704.6684</v>
      </c>
      <c r="D27" s="18">
        <f>'5_매출_제품지역'!D10*'8_가정'!$C$38</f>
        <v>1966.6426</v>
      </c>
      <c r="E27" s="18">
        <f>'5_매출_제품지역'!E10*'8_가정'!$C$38</f>
        <v>3795.207</v>
      </c>
      <c r="F27" s="18">
        <f>'5_매출_제품지역'!F10*'8_가정'!$C$38</f>
        <v>258.198</v>
      </c>
      <c r="G27" s="18">
        <f>'5_매출_제품지역'!G10*'8_가정'!$C$38</f>
        <v>527.0772</v>
      </c>
      <c r="H27" s="18">
        <f>'5_매출_제품지역'!H10*'8_가정'!$C$38</f>
        <v>1198.4886</v>
      </c>
      <c r="I27" s="18">
        <f>'5_매출_제품지역'!I10*'8_가정'!$C$38</f>
        <v>329.4474</v>
      </c>
      <c r="J27" s="18">
        <f>'5_매출_제품지역'!J10*'8_가정'!$C$38</f>
        <v>191.7786</v>
      </c>
      <c r="K27" s="18">
        <f>'5_매출_제품지역'!K10*'8_가정'!$C$38</f>
        <v>4455.4128</v>
      </c>
      <c r="L27" s="18">
        <f>'5_매출_제품지역'!L10*'8_가정'!$C$38</f>
        <v>7044.9</v>
      </c>
      <c r="M27" s="18">
        <f>'5_매출_제품지역'!M10*'8_가정'!$C$38</f>
        <v>9737.096</v>
      </c>
      <c r="N27" s="18">
        <f>'5_매출_제품지역'!N10*'8_가정'!$C$38</f>
        <v>79397.518</v>
      </c>
      <c r="O27" s="25">
        <f>SUM(C27:N27)</f>
        <v>113606.4346</v>
      </c>
      <c r="P27" s="18">
        <f>'5_매출_제품지역'!O10*'8_가정'!$D$38</f>
        <v>31438.3443</v>
      </c>
      <c r="Q27" s="18">
        <f>'5_매출_제품지역'!P10*'8_가정'!$D$38</f>
        <v>35655.1872</v>
      </c>
      <c r="R27" s="18">
        <f>'5_매출_제품지역'!Q10*'8_가정'!$D$38</f>
        <v>51318.1089</v>
      </c>
      <c r="S27" s="18">
        <f>'5_매출_제품지역'!R10*'8_가정'!$D$38</f>
        <v>57319.9125</v>
      </c>
      <c r="T27" s="18">
        <f>'5_매출_제품지역'!S10*'8_가정'!$D$38</f>
        <v>62205.9696</v>
      </c>
      <c r="U27" s="18">
        <f>'5_매출_제품지역'!T10*'8_가정'!$D$38</f>
        <v>65009.2467</v>
      </c>
      <c r="V27" s="18">
        <f>'5_매출_제품지역'!U10*'8_가정'!$D$38</f>
        <v>68767.1427</v>
      </c>
      <c r="W27" s="18">
        <f>'5_매출_제품지역'!V10*'8_가정'!$D$38</f>
        <v>72456.4221</v>
      </c>
      <c r="X27" s="18">
        <f>'5_매출_제품지역'!W10*'8_가정'!$D$38</f>
        <v>76436.8803</v>
      </c>
      <c r="Y27" s="18">
        <f>'5_매출_제품지역'!X10*'8_가정'!$D$38</f>
        <v>80929.5462</v>
      </c>
      <c r="Z27" s="18">
        <f>'5_매출_제품지역'!Y10*'8_가정'!$D$38</f>
        <v>92484.438</v>
      </c>
      <c r="AA27" s="18">
        <f>'5_매출_제품지역'!Z10*'8_가정'!$D$38</f>
        <v>96357.9015</v>
      </c>
      <c r="AB27" s="25">
        <f>SUM(P27:AA27)</f>
        <v>790379.1</v>
      </c>
      <c r="AC27" s="27">
        <f>'5_매출_제품지역'!AC10*'8_가정'!$E$38</f>
        <v>2301992.4032</v>
      </c>
      <c r="AD27" s="27">
        <f>'5_매출_제품지역'!AD10*'8_가정'!$F$38</f>
        <v>4749910.374</v>
      </c>
      <c r="AE27" s="27">
        <f>'5_매출_제품지역'!AE10*'8_가정'!$G$38</f>
        <v>9883731.8736576</v>
      </c>
      <c r="AF27" s="24">
        <f>O27+AB27+AC27+AD27+AE27</f>
        <v>17839620.1854576</v>
      </c>
    </row>
    <row r="28">
      <c r="A28" s="15" t="inlineStr">
        <is>
          <t xml:space="preserve">  앱·웹 모니터링 구독(SW·AI) 원가</t>
        </is>
      </c>
      <c r="B28" s="23" t="inlineStr">
        <is>
          <t>제품 매출(베이비+엘더리) × 원가율</t>
        </is>
      </c>
      <c r="C28" s="18">
        <f>'5_매출_제품지역'!C11*'8_가정'!$C$39</f>
        <v>1105.976</v>
      </c>
      <c r="D28" s="18">
        <f>'5_매출_제품지역'!D11*'8_가정'!$C$39</f>
        <v>852.958</v>
      </c>
      <c r="E28" s="18">
        <f>'5_매출_제품지역'!E11*'8_가정'!$C$39</f>
        <v>1157.316</v>
      </c>
      <c r="F28" s="18">
        <f>'5_매출_제품지역'!F11*'8_가정'!$C$39</f>
        <v>220.64</v>
      </c>
      <c r="G28" s="18">
        <f>'5_매출_제품지역'!G11*'8_가정'!$C$39</f>
        <v>450.336</v>
      </c>
      <c r="H28" s="18">
        <f>'5_매출_제품지역'!H11*'8_가정'!$C$39</f>
        <v>1033.428</v>
      </c>
      <c r="I28" s="18">
        <f>'5_매출_제품지역'!I11*'8_가정'!$C$39</f>
        <v>273.012</v>
      </c>
      <c r="J28" s="18">
        <f>'5_매출_제품지역'!J11*'8_가정'!$C$39</f>
        <v>161.268</v>
      </c>
      <c r="K28" s="18">
        <f>'5_매출_제품지역'!K11*'8_가정'!$C$39</f>
        <v>816.16</v>
      </c>
      <c r="L28" s="18">
        <f>'5_매출_제품지역'!L11*'8_가정'!$C$39</f>
        <v>3614</v>
      </c>
      <c r="M28" s="18">
        <f>'5_매출_제품지역'!M11*'8_가정'!$C$39</f>
        <v>4981.78</v>
      </c>
      <c r="N28" s="18">
        <f>'5_매출_제품지역'!N11*'8_가정'!$C$39</f>
        <v>12458.23</v>
      </c>
      <c r="O28" s="25">
        <f>SUM(C28:N28)</f>
        <v>27125.104</v>
      </c>
      <c r="P28" s="18">
        <f>'5_매출_제품지역'!O11*'8_가정'!$D$39</f>
        <v>12780.984</v>
      </c>
      <c r="Q28" s="18">
        <f>'5_매출_제품지역'!P11*'8_가정'!$D$39</f>
        <v>13461.684</v>
      </c>
      <c r="R28" s="18">
        <f>'5_매출_제품지역'!Q11*'8_가정'!$D$39</f>
        <v>16640.568</v>
      </c>
      <c r="S28" s="18">
        <f>'5_매출_제품지역'!R11*'8_가정'!$D$39</f>
        <v>18397.4328</v>
      </c>
      <c r="T28" s="18">
        <f>'5_매출_제품지역'!S11*'8_가정'!$D$39</f>
        <v>19738.3464</v>
      </c>
      <c r="U28" s="18">
        <f>'5_매출_제품지역'!T11*'8_가정'!$D$39</f>
        <v>20658.252</v>
      </c>
      <c r="V28" s="18">
        <f>'5_매출_제품지역'!U11*'8_가정'!$D$39</f>
        <v>22273.1592</v>
      </c>
      <c r="W28" s="18">
        <f>'5_매출_제품지역'!V11*'8_가정'!$D$39</f>
        <v>22928.3832</v>
      </c>
      <c r="X28" s="18">
        <f>'5_매출_제품지역'!W11*'8_가정'!$D$39</f>
        <v>24176.928</v>
      </c>
      <c r="Y28" s="18">
        <f>'5_매출_제품지역'!X11*'8_가정'!$D$39</f>
        <v>25815.2616</v>
      </c>
      <c r="Z28" s="18">
        <f>'5_매출_제품지역'!Y11*'8_가정'!$D$39</f>
        <v>27417.9576</v>
      </c>
      <c r="AA28" s="18">
        <f>'5_매출_제품지역'!Z11*'8_가정'!$D$39</f>
        <v>28359.0432</v>
      </c>
      <c r="AB28" s="25">
        <f>SUM(P28:AA28)</f>
        <v>252648</v>
      </c>
      <c r="AC28" s="27">
        <f>'5_매출_제품지역'!AC11*'8_가정'!$E$39</f>
        <v>870105.64</v>
      </c>
      <c r="AD28" s="27">
        <f>'5_매출_제품지역'!AD11*'8_가정'!$F$39</f>
        <v>1783688.016</v>
      </c>
      <c r="AE28" s="27">
        <f>'5_매출_제품지역'!AE11*'8_가정'!$G$39</f>
        <v>3846426.1584</v>
      </c>
      <c r="AF28" s="24">
        <f>O28+AB28+AC28+AD28+AE28</f>
        <v>6779992.9184</v>
      </c>
    </row>
    <row r="29">
      <c r="A29" s="15" t="inlineStr">
        <is>
          <t xml:space="preserve">  바이탈 모니터링 센서(60GHz, 2026 Q4 출시) 원가</t>
        </is>
      </c>
      <c r="B29" s="23" t="inlineStr">
        <is>
          <t>제품 매출(베이비+엘더리) × 원가율</t>
        </is>
      </c>
      <c r="C29" s="18">
        <f>'5_매출_제품지역'!C12*'8_가정'!$C$40</f>
        <v>0</v>
      </c>
      <c r="D29" s="18">
        <f>'5_매출_제품지역'!D12*'8_가정'!$C$40</f>
        <v>0</v>
      </c>
      <c r="E29" s="18">
        <f>'5_매출_제품지역'!E12*'8_가정'!$C$40</f>
        <v>0</v>
      </c>
      <c r="F29" s="18">
        <f>'5_매출_제품지역'!F12*'8_가정'!$C$40</f>
        <v>0</v>
      </c>
      <c r="G29" s="18">
        <f>'5_매출_제품지역'!G12*'8_가정'!$C$40</f>
        <v>0</v>
      </c>
      <c r="H29" s="18">
        <f>'5_매출_제품지역'!H12*'8_가정'!$C$40</f>
        <v>0</v>
      </c>
      <c r="I29" s="18">
        <f>'5_매출_제품지역'!I12*'8_가정'!$C$40</f>
        <v>0</v>
      </c>
      <c r="J29" s="18">
        <f>'5_매출_제품지역'!J12*'8_가정'!$C$40</f>
        <v>0</v>
      </c>
      <c r="K29" s="18">
        <f>'5_매출_제품지역'!K12*'8_가정'!$C$40</f>
        <v>0</v>
      </c>
      <c r="L29" s="18">
        <f>'5_매출_제품지역'!L12*'8_가정'!$C$40</f>
        <v>0</v>
      </c>
      <c r="M29" s="18">
        <f>'5_매출_제품지역'!M12*'8_가정'!$C$40</f>
        <v>0</v>
      </c>
      <c r="N29" s="18">
        <f>'5_매출_제품지역'!N12*'8_가정'!$C$40</f>
        <v>0</v>
      </c>
      <c r="O29" s="25">
        <f>SUM(C29:N29)</f>
        <v>0</v>
      </c>
      <c r="P29" s="18">
        <f>'5_매출_제품지역'!O12*'8_가정'!$D$40</f>
        <v>6003.576</v>
      </c>
      <c r="Q29" s="18">
        <f>'5_매출_제품지역'!P12*'8_가정'!$D$40</f>
        <v>6775.794</v>
      </c>
      <c r="R29" s="18">
        <f>'5_매출_제품지역'!Q12*'8_가정'!$D$40</f>
        <v>9081.348</v>
      </c>
      <c r="S29" s="18">
        <f>'5_매출_제품지역'!R12*'8_가정'!$D$40</f>
        <v>10072.662</v>
      </c>
      <c r="T29" s="18">
        <f>'5_매출_제품지역'!S12*'8_가정'!$D$40</f>
        <v>11460.258</v>
      </c>
      <c r="U29" s="18">
        <f>'5_매출_제품지역'!T12*'8_가정'!$D$40</f>
        <v>12057.894</v>
      </c>
      <c r="V29" s="18">
        <f>'5_매출_제품지역'!U12*'8_가정'!$D$40</f>
        <v>12668.382</v>
      </c>
      <c r="W29" s="18">
        <f>'5_매출_제품지역'!V12*'8_가정'!$D$40</f>
        <v>13112.01</v>
      </c>
      <c r="X29" s="18">
        <f>'5_매출_제품지역'!W12*'8_가정'!$D$40</f>
        <v>14388.096</v>
      </c>
      <c r="Y29" s="18">
        <f>'5_매출_제품지역'!X12*'8_가정'!$D$40</f>
        <v>15204.018</v>
      </c>
      <c r="Z29" s="18">
        <f>'5_매출_제품지역'!Y12*'8_가정'!$D$40</f>
        <v>15762.774</v>
      </c>
      <c r="AA29" s="18">
        <f>'5_매출_제품지역'!Z12*'8_가정'!$D$40</f>
        <v>16357.188</v>
      </c>
      <c r="AB29" s="25">
        <f>SUM(P29:AA29)</f>
        <v>142944</v>
      </c>
      <c r="AC29" s="27">
        <f>'5_매출_제품지역'!AC12*'8_가정'!$E$40</f>
        <v>1039618.7264</v>
      </c>
      <c r="AD29" s="27">
        <f>'5_매출_제품지역'!AD12*'8_가정'!$F$40</f>
        <v>3331636.1344</v>
      </c>
      <c r="AE29" s="27">
        <f>'5_매출_제품지역'!AE12*'8_가정'!$G$40</f>
        <v>9570900.4455168</v>
      </c>
      <c r="AF29" s="24">
        <f>O29+AB29+AC29+AD29+AE29</f>
        <v>14085099.3063168</v>
      </c>
    </row>
    <row r="30">
      <c r="A30" s="15" t="inlineStr">
        <is>
          <t xml:space="preserve">  스마트 욕창 케어(2027 출시) 원가</t>
        </is>
      </c>
      <c r="B30" s="23" t="inlineStr">
        <is>
          <t>제품 매출(베이비+엘더리) × 원가율</t>
        </is>
      </c>
      <c r="C30" s="18">
        <f>'5_매출_제품지역'!C13*'8_가정'!$C$41</f>
        <v>0</v>
      </c>
      <c r="D30" s="18">
        <f>'5_매출_제품지역'!D13*'8_가정'!$C$41</f>
        <v>0</v>
      </c>
      <c r="E30" s="18">
        <f>'5_매출_제품지역'!E13*'8_가정'!$C$41</f>
        <v>0</v>
      </c>
      <c r="F30" s="18">
        <f>'5_매출_제품지역'!F13*'8_가정'!$C$41</f>
        <v>0</v>
      </c>
      <c r="G30" s="18">
        <f>'5_매출_제품지역'!G13*'8_가정'!$C$41</f>
        <v>0</v>
      </c>
      <c r="H30" s="18">
        <f>'5_매출_제품지역'!H13*'8_가정'!$C$41</f>
        <v>0</v>
      </c>
      <c r="I30" s="18">
        <f>'5_매출_제품지역'!I13*'8_가정'!$C$41</f>
        <v>0</v>
      </c>
      <c r="J30" s="18">
        <f>'5_매출_제품지역'!J13*'8_가정'!$C$41</f>
        <v>0</v>
      </c>
      <c r="K30" s="18">
        <f>'5_매출_제품지역'!K13*'8_가정'!$C$41</f>
        <v>0</v>
      </c>
      <c r="L30" s="18">
        <f>'5_매출_제품지역'!L13*'8_가정'!$C$41</f>
        <v>0</v>
      </c>
      <c r="M30" s="18">
        <f>'5_매출_제품지역'!M13*'8_가정'!$C$41</f>
        <v>0</v>
      </c>
      <c r="N30" s="18">
        <f>'5_매출_제품지역'!N13*'8_가정'!$C$41</f>
        <v>0</v>
      </c>
      <c r="O30" s="25">
        <f>SUM(C30:N30)</f>
        <v>0</v>
      </c>
      <c r="P30" s="18">
        <f>'5_매출_제품지역'!O13*'8_가정'!$D$41</f>
        <v>282.576</v>
      </c>
      <c r="Q30" s="18">
        <f>'5_매출_제품지역'!P13*'8_가정'!$D$41</f>
        <v>282.576</v>
      </c>
      <c r="R30" s="18">
        <f>'5_매출_제품지역'!Q13*'8_가정'!$D$41</f>
        <v>659.344</v>
      </c>
      <c r="S30" s="18">
        <f>'5_매출_제품지역'!R13*'8_가정'!$D$41</f>
        <v>659.344</v>
      </c>
      <c r="T30" s="18">
        <f>'5_매출_제품지역'!S13*'8_가정'!$D$41</f>
        <v>847.728</v>
      </c>
      <c r="U30" s="18">
        <f>'5_매출_제품지역'!T13*'8_가정'!$D$41</f>
        <v>847.728</v>
      </c>
      <c r="V30" s="18">
        <f>'5_매출_제품지역'!U13*'8_가정'!$D$41</f>
        <v>847.728</v>
      </c>
      <c r="W30" s="18">
        <f>'5_매출_제품지역'!V13*'8_가정'!$D$41</f>
        <v>847.728</v>
      </c>
      <c r="X30" s="18">
        <f>'5_매출_제품지역'!W13*'8_가정'!$D$41</f>
        <v>1036.112</v>
      </c>
      <c r="Y30" s="18">
        <f>'5_매출_제품지역'!X13*'8_가정'!$D$41</f>
        <v>1036.112</v>
      </c>
      <c r="Z30" s="18">
        <f>'5_매출_제품지역'!Y13*'8_가정'!$D$41</f>
        <v>1036.112</v>
      </c>
      <c r="AA30" s="18">
        <f>'5_매출_제품지역'!Z13*'8_가정'!$D$41</f>
        <v>1036.112</v>
      </c>
      <c r="AB30" s="25">
        <f>SUM(P30:AA30)</f>
        <v>9419.2</v>
      </c>
      <c r="AC30" s="27">
        <f>'5_매출_제품지역'!AC13*'8_가정'!$E$41</f>
        <v>242210.8752</v>
      </c>
      <c r="AD30" s="27">
        <f>'5_매출_제품지역'!AD13*'8_가정'!$F$41</f>
        <v>1256090.858</v>
      </c>
      <c r="AE30" s="27">
        <f>'5_매출_제품지역'!AE13*'8_가정'!$G$41</f>
        <v>4389604.0375488</v>
      </c>
      <c r="AF30" s="24">
        <f>O30+AB30+AC30+AD30+AE30</f>
        <v>5897324.9707488</v>
      </c>
    </row>
    <row r="31">
      <c r="A31" s="15" t="inlineStr">
        <is>
          <t xml:space="preserve">  R&amp;D·PoC 용역 원가</t>
        </is>
      </c>
      <c r="B31" s="23" t="inlineStr">
        <is>
          <t>제품 매출(베이비+엘더리) × 원가율</t>
        </is>
      </c>
      <c r="C31" s="18">
        <f>'5_매출_제품지역'!C14*'8_가정'!$C$42</f>
        <v>0</v>
      </c>
      <c r="D31" s="18">
        <f>'5_매출_제품지역'!D14*'8_가정'!$C$42</f>
        <v>0</v>
      </c>
      <c r="E31" s="18">
        <f>'5_매출_제품지역'!E14*'8_가정'!$C$42</f>
        <v>0</v>
      </c>
      <c r="F31" s="18">
        <f>'5_매출_제품지역'!F14*'8_가정'!$C$42</f>
        <v>0</v>
      </c>
      <c r="G31" s="18">
        <f>'5_매출_제품지역'!G14*'8_가정'!$C$42</f>
        <v>0</v>
      </c>
      <c r="H31" s="18">
        <f>'5_매출_제품지역'!H14*'8_가정'!$C$42</f>
        <v>0</v>
      </c>
      <c r="I31" s="18">
        <f>'5_매출_제품지역'!I14*'8_가정'!$C$42</f>
        <v>0</v>
      </c>
      <c r="J31" s="18">
        <f>'5_매출_제품지역'!J14*'8_가정'!$C$42</f>
        <v>0</v>
      </c>
      <c r="K31" s="18">
        <f>'5_매출_제품지역'!K14*'8_가정'!$C$42</f>
        <v>0</v>
      </c>
      <c r="L31" s="18">
        <f>'5_매출_제품지역'!L14*'8_가정'!$C$42</f>
        <v>12993.75</v>
      </c>
      <c r="M31" s="18">
        <f>'5_매출_제품지역'!M14*'8_가정'!$C$42</f>
        <v>15193.75</v>
      </c>
      <c r="N31" s="18">
        <f>'5_매출_제품지역'!N14*'8_가정'!$C$42</f>
        <v>15588.9525</v>
      </c>
      <c r="O31" s="25">
        <f>SUM(C31:N31)</f>
        <v>43776.4525</v>
      </c>
      <c r="P31" s="18">
        <f>'5_매출_제품지역'!O14*'8_가정'!$D$42</f>
        <v>2742.96</v>
      </c>
      <c r="Q31" s="18">
        <f>'5_매출_제품지역'!P14*'8_가정'!$D$42</f>
        <v>3227.51</v>
      </c>
      <c r="R31" s="18">
        <f>'5_매출_제품지역'!Q14*'8_가정'!$D$42</f>
        <v>9953.79</v>
      </c>
      <c r="S31" s="18">
        <f>'5_매출_제품지역'!R14*'8_가정'!$D$42</f>
        <v>12670.24</v>
      </c>
      <c r="T31" s="18">
        <f>'5_매출_제품지역'!S14*'8_가정'!$D$42</f>
        <v>13770.68</v>
      </c>
      <c r="U31" s="18">
        <f>'5_매출_제품지역'!T14*'8_가정'!$D$42</f>
        <v>14781.03</v>
      </c>
      <c r="V31" s="18">
        <f>'5_매출_제품지역'!U14*'8_가정'!$D$42</f>
        <v>15889.28</v>
      </c>
      <c r="W31" s="18">
        <f>'5_매출_제품지역'!V14*'8_가정'!$D$42</f>
        <v>17103.68</v>
      </c>
      <c r="X31" s="18">
        <f>'5_매출_제품지역'!W14*'8_가정'!$D$42</f>
        <v>18613.87</v>
      </c>
      <c r="Y31" s="18">
        <f>'5_매출_제품지역'!X14*'8_가정'!$D$42</f>
        <v>20074.12</v>
      </c>
      <c r="Z31" s="18">
        <f>'5_매출_제품지역'!Y14*'8_가정'!$D$42</f>
        <v>23324.62</v>
      </c>
      <c r="AA31" s="18">
        <f>'5_매출_제품지역'!Z14*'8_가정'!$D$42</f>
        <v>25080.22</v>
      </c>
      <c r="AB31" s="25">
        <f>SUM(P31:AA31)</f>
        <v>177232</v>
      </c>
      <c r="AC31" s="27">
        <f>'5_매출_제품지역'!AC14*'8_가정'!$E$42</f>
        <v>439543.896</v>
      </c>
      <c r="AD31" s="27">
        <f>'5_매출_제품지역'!AD14*'8_가정'!$F$42</f>
        <v>862523.156</v>
      </c>
      <c r="AE31" s="27">
        <f>'5_매출_제품지역'!AE14*'8_가정'!$G$42</f>
        <v>1804300.832928</v>
      </c>
      <c r="AF31" s="24">
        <f>O31+AB31+AC31+AD31+AE31</f>
        <v>3327376.337428</v>
      </c>
    </row>
    <row r="32">
      <c r="A32" s="15" t="inlineStr">
        <is>
          <t xml:space="preserve">  운영성 매출원가</t>
        </is>
      </c>
      <c r="B32" s="23" t="inlineStr">
        <is>
          <t>물류·관세·보증·클라우드</t>
        </is>
      </c>
      <c r="C32" s="18">
        <f>C19*'8_가정'!$C$43</f>
        <v>706.005</v>
      </c>
      <c r="D32" s="18">
        <f>D19*'8_가정'!$C$43</f>
        <v>542.1</v>
      </c>
      <c r="E32" s="18">
        <f>E19*'8_가정'!$C$43</f>
        <v>846.81</v>
      </c>
      <c r="F32" s="18">
        <f>F19*'8_가정'!$C$43</f>
        <v>164.025</v>
      </c>
      <c r="G32" s="18">
        <f>G19*'8_가정'!$C$43</f>
        <v>334.755</v>
      </c>
      <c r="H32" s="18">
        <f>H19*'8_가정'!$C$43</f>
        <v>771.795</v>
      </c>
      <c r="I32" s="18">
        <f>I19*'8_가정'!$C$43</f>
        <v>199.71</v>
      </c>
      <c r="J32" s="18">
        <f>J19*'8_가정'!$C$43</f>
        <v>118.89</v>
      </c>
      <c r="K32" s="18">
        <f>K19*'8_가정'!$C$43</f>
        <v>610.935</v>
      </c>
      <c r="L32" s="18">
        <f>L19*'8_가정'!$C$43</f>
        <v>2674.875</v>
      </c>
      <c r="M32" s="18">
        <f>M19*'8_가정'!$C$43</f>
        <v>3658.8</v>
      </c>
      <c r="N32" s="18">
        <f>N19*'8_가정'!$C$43</f>
        <v>7389.555</v>
      </c>
      <c r="O32" s="25">
        <f>SUM(C32:N32)</f>
        <v>18018.255</v>
      </c>
      <c r="P32" s="18">
        <f>P19*'8_가정'!$D$43</f>
        <v>12200.275</v>
      </c>
      <c r="Q32" s="18">
        <f>Q19*'8_가정'!$D$43</f>
        <v>12953.25</v>
      </c>
      <c r="R32" s="18">
        <f>R19*'8_가정'!$D$43</f>
        <v>16064.85</v>
      </c>
      <c r="S32" s="18">
        <f>S19*'8_가정'!$D$43</f>
        <v>18025.25</v>
      </c>
      <c r="T32" s="18">
        <f>T19*'8_가정'!$D$43</f>
        <v>19411.025</v>
      </c>
      <c r="U32" s="18">
        <f>U19*'8_가정'!$D$43</f>
        <v>20389.325</v>
      </c>
      <c r="V32" s="18">
        <f>V19*'8_가정'!$D$43</f>
        <v>22099.75</v>
      </c>
      <c r="W32" s="18">
        <f>W19*'8_가정'!$D$43</f>
        <v>22894.05</v>
      </c>
      <c r="X32" s="18">
        <f>X19*'8_가정'!$D$43</f>
        <v>24185.05</v>
      </c>
      <c r="Y32" s="18">
        <f>Y19*'8_가정'!$D$43</f>
        <v>25932.475</v>
      </c>
      <c r="Z32" s="18">
        <f>Z19*'8_가정'!$D$43</f>
        <v>27443.325</v>
      </c>
      <c r="AA32" s="18">
        <f>AA19*'8_가정'!$D$43</f>
        <v>28526.375</v>
      </c>
      <c r="AB32" s="25">
        <f>SUM(P32:AA32)</f>
        <v>250125</v>
      </c>
      <c r="AC32" s="27">
        <f>AC19*'8_가정'!$E$43</f>
        <v>990000</v>
      </c>
      <c r="AD32" s="27">
        <f>AD19*'8_가정'!$F$43</f>
        <v>2450000</v>
      </c>
      <c r="AE32" s="27">
        <f>AE19*'8_가정'!$G$43</f>
        <v>5460000</v>
      </c>
      <c r="AF32" s="24">
        <f>O32+AB32+AC32+AD32+AE32</f>
        <v>9168143.255</v>
      </c>
    </row>
    <row r="33">
      <c r="A33" s="12" t="inlineStr">
        <is>
          <t>매출원가</t>
        </is>
      </c>
      <c r="C33" s="28">
        <f>SUM(C26:C32)</f>
        <v>23423.8226</v>
      </c>
      <c r="D33" s="28">
        <f>SUM(D26:D32)</f>
        <v>18265.6466</v>
      </c>
      <c r="E33" s="28">
        <f>SUM(E26:E32)</f>
        <v>28704.4968</v>
      </c>
      <c r="F33" s="28">
        <f>SUM(F26:F32)</f>
        <v>5648.933</v>
      </c>
      <c r="G33" s="28">
        <f>SUM(G26:G32)</f>
        <v>11528.6982</v>
      </c>
      <c r="H33" s="28">
        <f>SUM(H26:H32)</f>
        <v>26591.1546</v>
      </c>
      <c r="I33" s="28">
        <f>SUM(I26:I32)</f>
        <v>6867.8544</v>
      </c>
      <c r="J33" s="28">
        <f>SUM(J26:J32)</f>
        <v>4091.4216</v>
      </c>
      <c r="K33" s="28">
        <f>SUM(K26:K32)</f>
        <v>20442.2686</v>
      </c>
      <c r="L33" s="28">
        <f>SUM(L26:L32)</f>
        <v>91837.625</v>
      </c>
      <c r="M33" s="28">
        <f>SUM(M26:M32)</f>
        <v>125489.416</v>
      </c>
      <c r="N33" s="28">
        <f>SUM(N26:N32)</f>
        <v>238709.7155</v>
      </c>
      <c r="O33" s="29">
        <f>SUM(O26:O32)</f>
        <v>601601.0529</v>
      </c>
      <c r="P33" s="28">
        <f>SUM(P26:P32)</f>
        <v>294845.2918</v>
      </c>
      <c r="Q33" s="28">
        <f>SUM(Q26:Q32)</f>
        <v>312914.1302</v>
      </c>
      <c r="R33" s="28">
        <f>SUM(R26:R32)</f>
        <v>386497.5094</v>
      </c>
      <c r="S33" s="28">
        <f>SUM(S26:S32)</f>
        <v>433928.6296</v>
      </c>
      <c r="T33" s="28">
        <f>SUM(T26:T32)</f>
        <v>467296.9444</v>
      </c>
      <c r="U33" s="28">
        <f>SUM(U26:U32)</f>
        <v>490961.6342</v>
      </c>
      <c r="V33" s="28">
        <f>SUM(V26:V32)</f>
        <v>532563.2526</v>
      </c>
      <c r="W33" s="28">
        <f>SUM(W26:W32)</f>
        <v>551722.007</v>
      </c>
      <c r="X33" s="28">
        <f>SUM(X26:X32)</f>
        <v>582798.6178</v>
      </c>
      <c r="Y33" s="28">
        <f>SUM(Y26:Y32)</f>
        <v>625192.7524</v>
      </c>
      <c r="Z33" s="28">
        <f>SUM(Z26:Z32)</f>
        <v>660455.5992</v>
      </c>
      <c r="AA33" s="28">
        <f>SUM(AA26:AA32)</f>
        <v>686609.4314</v>
      </c>
      <c r="AB33" s="29">
        <f>SUM(AB26:AB32)</f>
        <v>6025785.8</v>
      </c>
      <c r="AC33" s="30">
        <f>SUM(AC26:AC32)</f>
        <v>19910420.322</v>
      </c>
      <c r="AD33" s="30">
        <f>SUM(AD26:AD32)</f>
        <v>42027615.2964</v>
      </c>
      <c r="AE33" s="30">
        <f>SUM(AE26:AE32)</f>
        <v>92164506.8755984</v>
      </c>
      <c r="AF33" s="28">
        <f>SUM(AF26:AF32)</f>
        <v>160729929.346898</v>
      </c>
    </row>
    <row r="34">
      <c r="A34" s="34" t="inlineStr">
        <is>
          <t>매출총이익</t>
        </is>
      </c>
      <c r="C34" s="35">
        <f>C19-C33</f>
        <v>23643.1774</v>
      </c>
      <c r="D34" s="35">
        <f>D19-D33</f>
        <v>17874.3534</v>
      </c>
      <c r="E34" s="35">
        <f>E19-E33</f>
        <v>27749.5032</v>
      </c>
      <c r="F34" s="35">
        <f>F19-F33</f>
        <v>5286.067</v>
      </c>
      <c r="G34" s="35">
        <f>G19-G33</f>
        <v>10788.3018</v>
      </c>
      <c r="H34" s="35">
        <f>H19-H33</f>
        <v>24861.8454</v>
      </c>
      <c r="I34" s="35">
        <f>I19-I33</f>
        <v>6446.1456</v>
      </c>
      <c r="J34" s="35">
        <f>J19-J33</f>
        <v>3834.5784</v>
      </c>
      <c r="K34" s="35">
        <f>K19-K33</f>
        <v>20286.7314</v>
      </c>
      <c r="L34" s="35">
        <f>L19-L33</f>
        <v>86487.375</v>
      </c>
      <c r="M34" s="35">
        <f>M19-M33</f>
        <v>118430.584</v>
      </c>
      <c r="N34" s="35">
        <f>N19-N33</f>
        <v>253927.2845</v>
      </c>
      <c r="O34" s="25">
        <f>O19-O33</f>
        <v>599615.9471</v>
      </c>
      <c r="P34" s="35">
        <f>P19-P33</f>
        <v>193165.7082</v>
      </c>
      <c r="Q34" s="35">
        <f>Q19-Q33</f>
        <v>205215.8698</v>
      </c>
      <c r="R34" s="35">
        <f>R19-R33</f>
        <v>256096.4906</v>
      </c>
      <c r="S34" s="35">
        <f>S19-S33</f>
        <v>287081.3704</v>
      </c>
      <c r="T34" s="35">
        <f>T19-T33</f>
        <v>309144.0556</v>
      </c>
      <c r="U34" s="35">
        <f>U19-U33</f>
        <v>324611.3658</v>
      </c>
      <c r="V34" s="35">
        <f>V19-V33</f>
        <v>351426.7474</v>
      </c>
      <c r="W34" s="35">
        <f>W19-W33</f>
        <v>364039.993</v>
      </c>
      <c r="X34" s="35">
        <f>X19-X33</f>
        <v>384603.3822</v>
      </c>
      <c r="Y34" s="35">
        <f>Y19-Y33</f>
        <v>412106.2476</v>
      </c>
      <c r="Z34" s="35">
        <f>Z19-Z33</f>
        <v>437277.4008</v>
      </c>
      <c r="AA34" s="35">
        <f>AA19-AA33</f>
        <v>454445.5686</v>
      </c>
      <c r="AB34" s="25">
        <f>AB19-AB33</f>
        <v>3979214.2</v>
      </c>
      <c r="AC34" s="26">
        <f>AC19-AC33</f>
        <v>13089579.678</v>
      </c>
      <c r="AD34" s="26">
        <f>AD19-AD33</f>
        <v>27972384.7036</v>
      </c>
      <c r="AE34" s="26">
        <f>AE19-AE33</f>
        <v>63835493.1244016</v>
      </c>
      <c r="AF34" s="35">
        <f>AF19-AF33</f>
        <v>109476287.653102</v>
      </c>
    </row>
    <row r="35">
      <c r="A35" s="15" t="inlineStr">
        <is>
          <t xml:space="preserve">  매출총이익률</t>
        </is>
      </c>
      <c r="C35" s="14">
        <f>IFERROR(C34/C19,0)</f>
        <v>0.502330239870822</v>
      </c>
      <c r="D35" s="14">
        <f>IFERROR(D34/D19,0)</f>
        <v>0.494586425013835</v>
      </c>
      <c r="E35" s="14">
        <f>IFERROR(E34/E19,0)</f>
        <v>0.491541842916357</v>
      </c>
      <c r="F35" s="14">
        <f>IFERROR(F34/F19,0)</f>
        <v>0.483408047553727</v>
      </c>
      <c r="G35" s="14">
        <f>IFERROR(G34/G19,0)</f>
        <v>0.483411829546982</v>
      </c>
      <c r="H35" s="14">
        <f>IFERROR(H34/H19,0)</f>
        <v>0.483195253921054</v>
      </c>
      <c r="I35" s="14">
        <f>IFERROR(I34/I19,0)</f>
        <v>0.484162956286616</v>
      </c>
      <c r="J35" s="14">
        <f>IFERROR(J34/J19,0)</f>
        <v>0.483797426192279</v>
      </c>
      <c r="K35" s="14">
        <f>IFERROR(K34/K19,0)</f>
        <v>0.498090584104692</v>
      </c>
      <c r="L35" s="14">
        <f>IFERROR(L34/L19,0)</f>
        <v>0.48499859806533</v>
      </c>
      <c r="M35" s="14">
        <f>IFERROR(M34/M19,0)</f>
        <v>0.485530436208593</v>
      </c>
      <c r="N35" s="14">
        <f>IFERROR(N34/N19,0)</f>
        <v>0.515445012250399</v>
      </c>
      <c r="O35" s="31">
        <f>IFERROR(O34/O19,0)</f>
        <v>0.499173710578522</v>
      </c>
      <c r="P35" s="14">
        <f>IFERROR(P34/P19,0)</f>
        <v>0.395822447035005</v>
      </c>
      <c r="Q35" s="14">
        <f>IFERROR(Q34/Q19,0)</f>
        <v>0.39607023295312</v>
      </c>
      <c r="R35" s="14">
        <f>IFERROR(R34/R19,0)</f>
        <v>0.398535452556358</v>
      </c>
      <c r="S35" s="14">
        <f>IFERROR(S34/S19,0)</f>
        <v>0.39816558771723</v>
      </c>
      <c r="T35" s="14">
        <f>IFERROR(T34/T19,0)</f>
        <v>0.398155243733909</v>
      </c>
      <c r="U35" s="14">
        <f>IFERROR(U34/U19,0)</f>
        <v>0.39801632202145</v>
      </c>
      <c r="V35" s="14">
        <f>IFERROR(V34/V19,0)</f>
        <v>0.397546066584464</v>
      </c>
      <c r="W35" s="14">
        <f>IFERROR(W34/W19,0)</f>
        <v>0.397526860690878</v>
      </c>
      <c r="X35" s="14">
        <f>IFERROR(X34/X19,0)</f>
        <v>0.397563145620952</v>
      </c>
      <c r="Y35" s="14">
        <f>IFERROR(Y34/Y19,0)</f>
        <v>0.397287809590099</v>
      </c>
      <c r="Z35" s="14">
        <f>IFERROR(Z34/Z19,0)</f>
        <v>0.398345864431515</v>
      </c>
      <c r="AA35" s="14">
        <f>IFERROR(AA34/AA19,0)</f>
        <v>0.398267891205945</v>
      </c>
      <c r="AB35" s="31">
        <f>IFERROR(AB34/AB19,0)</f>
        <v>0.39772255872064</v>
      </c>
      <c r="AC35" s="32">
        <f>IFERROR(AC34/AC19,0)</f>
        <v>0.396653929636364</v>
      </c>
      <c r="AD35" s="32">
        <f>IFERROR(AD34/AD19,0)</f>
        <v>0.399605495765714</v>
      </c>
      <c r="AE35" s="32">
        <f>IFERROR(AE34/AE19,0)</f>
        <v>0.409201879002574</v>
      </c>
      <c r="AF35" s="14">
        <f>IFERROR(AF34/AF19,0)</f>
        <v>0.405158285655217</v>
      </c>
    </row>
    <row r="36"/>
    <row r="37">
      <c r="A37" s="3" t="inlineStr">
        <is>
          <t>Ⅲ. 판매비와관리비</t>
        </is>
      </c>
    </row>
    <row r="38">
      <c r="A38" s="15" t="inlineStr">
        <is>
          <t xml:space="preserve">  급여</t>
        </is>
      </c>
      <c r="B38" s="23" t="inlineStr">
        <is>
          <t>개발비 자본화(8_가정) 차감 후 — 7_비용인력 31·61행</t>
        </is>
      </c>
      <c r="C38" s="18">
        <f>'7_비용인력'!C19</f>
        <v>23833.8</v>
      </c>
      <c r="D38" s="18">
        <f>'7_비용인력'!D19</f>
        <v>23833.8</v>
      </c>
      <c r="E38" s="18">
        <f>'7_비용인력'!E19</f>
        <v>23833.8</v>
      </c>
      <c r="F38" s="18">
        <f>'7_비용인력'!F19</f>
        <v>23833.8</v>
      </c>
      <c r="G38" s="18">
        <f>'7_비용인력'!G19</f>
        <v>23833.8</v>
      </c>
      <c r="H38" s="18">
        <f>'7_비용인력'!H19</f>
        <v>23833.8</v>
      </c>
      <c r="I38" s="18">
        <f>'7_비용인력'!I19</f>
        <v>23833.8</v>
      </c>
      <c r="J38" s="18">
        <f>'7_비용인력'!J19</f>
        <v>23833.8</v>
      </c>
      <c r="K38" s="18">
        <f>'7_비용인력'!K19</f>
        <v>23833.8</v>
      </c>
      <c r="L38" s="18">
        <f>'7_비용인력'!L19</f>
        <v>23833.8</v>
      </c>
      <c r="M38" s="18">
        <f>'7_비용인력'!M19</f>
        <v>23833.8</v>
      </c>
      <c r="N38" s="18">
        <f>'7_비용인력'!N19</f>
        <v>23833.8</v>
      </c>
      <c r="O38" s="36">
        <f>'7_비용인력'!O19</f>
        <v>286005.6</v>
      </c>
      <c r="P38" s="18">
        <f>'7_비용인력'!P19</f>
        <v>36707.504</v>
      </c>
      <c r="Q38" s="18">
        <f>'7_비용인력'!Q19</f>
        <v>40178.704</v>
      </c>
      <c r="R38" s="18">
        <f>'7_비용인력'!R19</f>
        <v>43649.904</v>
      </c>
      <c r="S38" s="18">
        <f>'7_비용인력'!S19</f>
        <v>47121.104</v>
      </c>
      <c r="T38" s="18">
        <f>'7_비용인력'!T19</f>
        <v>50592.304</v>
      </c>
      <c r="U38" s="18">
        <f>'7_비용인력'!U19</f>
        <v>54063.504</v>
      </c>
      <c r="V38" s="18">
        <f>'7_비용인력'!V19</f>
        <v>57534.704</v>
      </c>
      <c r="W38" s="18">
        <f>'7_비용인력'!W19</f>
        <v>61005.904</v>
      </c>
      <c r="X38" s="18">
        <f>'7_비용인력'!X19</f>
        <v>64477.104</v>
      </c>
      <c r="Y38" s="18">
        <f>'7_비용인력'!Y19</f>
        <v>71419.504</v>
      </c>
      <c r="Z38" s="18">
        <f>'7_비용인력'!Z19</f>
        <v>78361.904</v>
      </c>
      <c r="AA38" s="18">
        <f>'7_비용인력'!AA19</f>
        <v>85304.304</v>
      </c>
      <c r="AB38" s="36">
        <f>'7_비용인력'!AB19</f>
        <v>690416.448</v>
      </c>
      <c r="AC38" s="27">
        <f>'7_비용인력'!AC19</f>
        <v>2648795.32728</v>
      </c>
      <c r="AD38" s="27">
        <f>'7_비용인력'!AD19</f>
        <v>5490824.4718668</v>
      </c>
      <c r="AE38" s="27">
        <f>'7_비용인력'!AE19</f>
        <v>9844427.40189748</v>
      </c>
      <c r="AF38" s="37">
        <f>'7_비용인력'!AF19</f>
        <v>18960469.2490443</v>
      </c>
    </row>
    <row r="39">
      <c r="A39" s="15" t="inlineStr">
        <is>
          <t xml:space="preserve">  퇴직급여·4대보험·복리후생</t>
        </is>
      </c>
      <c r="B39" s="23" t="inlineStr">
        <is>
          <t>개발비 자본화(8_가정) 차감 후 — 7_비용인력 31·61행</t>
        </is>
      </c>
      <c r="C39" s="18">
        <f>'7_비용인력'!C20</f>
        <v>5243.436</v>
      </c>
      <c r="D39" s="18">
        <f>'7_비용인력'!D20</f>
        <v>5243.436</v>
      </c>
      <c r="E39" s="18">
        <f>'7_비용인력'!E20</f>
        <v>5243.436</v>
      </c>
      <c r="F39" s="18">
        <f>'7_비용인력'!F20</f>
        <v>5243.436</v>
      </c>
      <c r="G39" s="18">
        <f>'7_비용인력'!G20</f>
        <v>5243.436</v>
      </c>
      <c r="H39" s="18">
        <f>'7_비용인력'!H20</f>
        <v>5243.436</v>
      </c>
      <c r="I39" s="18">
        <f>'7_비용인력'!I20</f>
        <v>5243.436</v>
      </c>
      <c r="J39" s="18">
        <f>'7_비용인력'!J20</f>
        <v>5243.436</v>
      </c>
      <c r="K39" s="18">
        <f>'7_비용인력'!K20</f>
        <v>5243.436</v>
      </c>
      <c r="L39" s="18">
        <f>'7_비용인력'!L20</f>
        <v>5243.436</v>
      </c>
      <c r="M39" s="18">
        <f>'7_비용인력'!M20</f>
        <v>5243.436</v>
      </c>
      <c r="N39" s="18">
        <f>'7_비용인력'!N20</f>
        <v>5243.436</v>
      </c>
      <c r="O39" s="36">
        <f>'7_비용인력'!O20</f>
        <v>62921.232</v>
      </c>
      <c r="P39" s="18">
        <f>'7_비용인력'!P20</f>
        <v>8075.65088</v>
      </c>
      <c r="Q39" s="18">
        <f>'7_비용인력'!Q20</f>
        <v>8839.31488</v>
      </c>
      <c r="R39" s="18">
        <f>'7_비용인력'!R20</f>
        <v>9602.97888</v>
      </c>
      <c r="S39" s="18">
        <f>'7_비용인력'!S20</f>
        <v>10366.64288</v>
      </c>
      <c r="T39" s="18">
        <f>'7_비용인력'!T20</f>
        <v>11130.30688</v>
      </c>
      <c r="U39" s="18">
        <f>'7_비용인력'!U20</f>
        <v>11893.97088</v>
      </c>
      <c r="V39" s="18">
        <f>'7_비용인력'!V20</f>
        <v>12657.63488</v>
      </c>
      <c r="W39" s="18">
        <f>'7_비용인력'!W20</f>
        <v>13421.29888</v>
      </c>
      <c r="X39" s="18">
        <f>'7_비용인력'!X20</f>
        <v>14184.96288</v>
      </c>
      <c r="Y39" s="18">
        <f>'7_비용인력'!Y20</f>
        <v>15712.29088</v>
      </c>
      <c r="Z39" s="18">
        <f>'7_비용인력'!Z20</f>
        <v>17239.61888</v>
      </c>
      <c r="AA39" s="18">
        <f>'7_비용인력'!AA20</f>
        <v>18766.94688</v>
      </c>
      <c r="AB39" s="36">
        <f>'7_비용인력'!AB20</f>
        <v>151891.61856</v>
      </c>
      <c r="AC39" s="27">
        <f>'7_비용인력'!AC20</f>
        <v>582734.9720016</v>
      </c>
      <c r="AD39" s="27">
        <f>'7_비용인력'!AD20</f>
        <v>1207981.3838107</v>
      </c>
      <c r="AE39" s="27">
        <f>'7_비용인력'!AE20</f>
        <v>2165774.02841745</v>
      </c>
      <c r="AF39" s="37">
        <f>'7_비용인력'!AF20</f>
        <v>4171303.23478974</v>
      </c>
    </row>
    <row r="40">
      <c r="A40" s="15" t="inlineStr">
        <is>
          <t xml:space="preserve">  광고선전·마케팅비</t>
        </is>
      </c>
      <c r="C40" s="18">
        <f>'7_비용인력'!C21</f>
        <v>564.804</v>
      </c>
      <c r="D40" s="18">
        <f>'7_비용인력'!D21</f>
        <v>433.68</v>
      </c>
      <c r="E40" s="18">
        <f>'7_비용인력'!E21</f>
        <v>677.448</v>
      </c>
      <c r="F40" s="18">
        <f>'7_비용인력'!F21</f>
        <v>131.22</v>
      </c>
      <c r="G40" s="18">
        <f>'7_비용인력'!G21</f>
        <v>267.804</v>
      </c>
      <c r="H40" s="18">
        <f>'7_비용인력'!H21</f>
        <v>617.436</v>
      </c>
      <c r="I40" s="18">
        <f>'7_비용인력'!I21</f>
        <v>159.768</v>
      </c>
      <c r="J40" s="18">
        <f>'7_비용인력'!J21</f>
        <v>95.112</v>
      </c>
      <c r="K40" s="18">
        <f>'7_비용인력'!K21</f>
        <v>488.748</v>
      </c>
      <c r="L40" s="18">
        <f>'7_비용인력'!L21</f>
        <v>2139.9</v>
      </c>
      <c r="M40" s="18">
        <f>'7_비용인력'!M21</f>
        <v>2927.04</v>
      </c>
      <c r="N40" s="18">
        <f>'7_비용인력'!N21</f>
        <v>5911.644</v>
      </c>
      <c r="O40" s="36">
        <f>'7_비용인력'!O21</f>
        <v>14414.604</v>
      </c>
      <c r="P40" s="18">
        <f>'7_비용인력'!P21</f>
        <v>12200.275</v>
      </c>
      <c r="Q40" s="18">
        <f>'7_비용인력'!Q21</f>
        <v>12953.25</v>
      </c>
      <c r="R40" s="18">
        <f>'7_비용인력'!R21</f>
        <v>16064.85</v>
      </c>
      <c r="S40" s="18">
        <f>'7_비용인력'!S21</f>
        <v>18025.25</v>
      </c>
      <c r="T40" s="18">
        <f>'7_비용인력'!T21</f>
        <v>19411.025</v>
      </c>
      <c r="U40" s="18">
        <f>'7_비용인력'!U21</f>
        <v>20389.325</v>
      </c>
      <c r="V40" s="18">
        <f>'7_비용인력'!V21</f>
        <v>22099.75</v>
      </c>
      <c r="W40" s="18">
        <f>'7_비용인력'!W21</f>
        <v>22894.05</v>
      </c>
      <c r="X40" s="18">
        <f>'7_비용인력'!X21</f>
        <v>24185.05</v>
      </c>
      <c r="Y40" s="18">
        <f>'7_비용인력'!Y21</f>
        <v>25932.475</v>
      </c>
      <c r="Z40" s="18">
        <f>'7_비용인력'!Z21</f>
        <v>27443.325</v>
      </c>
      <c r="AA40" s="18">
        <f>'7_비용인력'!AA21</f>
        <v>28526.375</v>
      </c>
      <c r="AB40" s="36">
        <f>'7_비용인력'!AB21</f>
        <v>250125</v>
      </c>
      <c r="AC40" s="27">
        <f>'7_비용인력'!AC21</f>
        <v>924000</v>
      </c>
      <c r="AD40" s="27">
        <f>'7_비용인력'!AD21</f>
        <v>1820000</v>
      </c>
      <c r="AE40" s="27">
        <f>'7_비용인력'!AE21</f>
        <v>4680000</v>
      </c>
      <c r="AF40" s="37">
        <f>'7_비용인력'!AF21</f>
        <v>7688539.604</v>
      </c>
    </row>
    <row r="41">
      <c r="A41" s="15" t="inlineStr">
        <is>
          <t xml:space="preserve">  지급수수료</t>
        </is>
      </c>
      <c r="C41" s="18">
        <f>'7_비용인력'!C22</f>
        <v>564.804</v>
      </c>
      <c r="D41" s="18">
        <f>'7_비용인력'!D22</f>
        <v>433.68</v>
      </c>
      <c r="E41" s="18">
        <f>'7_비용인력'!E22</f>
        <v>677.448</v>
      </c>
      <c r="F41" s="18">
        <f>'7_비용인력'!F22</f>
        <v>131.22</v>
      </c>
      <c r="G41" s="18">
        <f>'7_비용인력'!G22</f>
        <v>267.804</v>
      </c>
      <c r="H41" s="18">
        <f>'7_비용인력'!H22</f>
        <v>617.436</v>
      </c>
      <c r="I41" s="18">
        <f>'7_비용인력'!I22</f>
        <v>159.768</v>
      </c>
      <c r="J41" s="18">
        <f>'7_비용인력'!J22</f>
        <v>95.112</v>
      </c>
      <c r="K41" s="18">
        <f>'7_비용인력'!K22</f>
        <v>488.748</v>
      </c>
      <c r="L41" s="18">
        <f>'7_비용인력'!L22</f>
        <v>2139.9</v>
      </c>
      <c r="M41" s="18">
        <f>'7_비용인력'!M22</f>
        <v>2927.04</v>
      </c>
      <c r="N41" s="18">
        <f>'7_비용인력'!N22</f>
        <v>5911.644</v>
      </c>
      <c r="O41" s="36">
        <f>'7_비용인력'!O22</f>
        <v>14414.604</v>
      </c>
      <c r="P41" s="18">
        <f>'7_비용인력'!P22</f>
        <v>9760.22</v>
      </c>
      <c r="Q41" s="18">
        <f>'7_비용인력'!Q22</f>
        <v>10362.6</v>
      </c>
      <c r="R41" s="18">
        <f>'7_비용인력'!R22</f>
        <v>12851.88</v>
      </c>
      <c r="S41" s="18">
        <f>'7_비용인력'!S22</f>
        <v>14420.2</v>
      </c>
      <c r="T41" s="18">
        <f>'7_비용인력'!T22</f>
        <v>15528.82</v>
      </c>
      <c r="U41" s="18">
        <f>'7_비용인력'!U22</f>
        <v>16311.46</v>
      </c>
      <c r="V41" s="18">
        <f>'7_비용인력'!V22</f>
        <v>17679.8</v>
      </c>
      <c r="W41" s="18">
        <f>'7_비용인력'!W22</f>
        <v>18315.24</v>
      </c>
      <c r="X41" s="18">
        <f>'7_비용인력'!X22</f>
        <v>19348.04</v>
      </c>
      <c r="Y41" s="18">
        <f>'7_비용인력'!Y22</f>
        <v>20745.98</v>
      </c>
      <c r="Z41" s="18">
        <f>'7_비용인력'!Z22</f>
        <v>21954.66</v>
      </c>
      <c r="AA41" s="18">
        <f>'7_비용인력'!AA22</f>
        <v>22821.1</v>
      </c>
      <c r="AB41" s="36">
        <f>'7_비용인력'!AB22</f>
        <v>200100</v>
      </c>
      <c r="AC41" s="27">
        <f>'7_비용인력'!AC22</f>
        <v>726000</v>
      </c>
      <c r="AD41" s="27">
        <f>'7_비용인력'!AD22</f>
        <v>1540000</v>
      </c>
      <c r="AE41" s="27">
        <f>'7_비용인력'!AE22</f>
        <v>3432000</v>
      </c>
      <c r="AF41" s="37">
        <f>'7_비용인력'!AF22</f>
        <v>5912514.604</v>
      </c>
    </row>
    <row r="42">
      <c r="A42" s="15" t="inlineStr">
        <is>
          <t xml:space="preserve">  판매물류·CS비</t>
        </is>
      </c>
      <c r="C42" s="18">
        <f>'7_비용인력'!C23</f>
        <v>1176.675</v>
      </c>
      <c r="D42" s="18">
        <f>'7_비용인력'!D23</f>
        <v>903.5</v>
      </c>
      <c r="E42" s="18">
        <f>'7_비용인력'!E23</f>
        <v>1411.35</v>
      </c>
      <c r="F42" s="18">
        <f>'7_비용인력'!F23</f>
        <v>273.375</v>
      </c>
      <c r="G42" s="18">
        <f>'7_비용인력'!G23</f>
        <v>557.925</v>
      </c>
      <c r="H42" s="18">
        <f>'7_비용인력'!H23</f>
        <v>1286.325</v>
      </c>
      <c r="I42" s="18">
        <f>'7_비용인력'!I23</f>
        <v>332.85</v>
      </c>
      <c r="J42" s="18">
        <f>'7_비용인력'!J23</f>
        <v>198.15</v>
      </c>
      <c r="K42" s="18">
        <f>'7_비용인력'!K23</f>
        <v>1018.225</v>
      </c>
      <c r="L42" s="18">
        <f>'7_비용인력'!L23</f>
        <v>4458.125</v>
      </c>
      <c r="M42" s="18">
        <f>'7_비용인력'!M23</f>
        <v>6098</v>
      </c>
      <c r="N42" s="18">
        <f>'7_비용인력'!N23</f>
        <v>12315.925</v>
      </c>
      <c r="O42" s="36">
        <f>'7_비용인력'!O23</f>
        <v>30030.425</v>
      </c>
      <c r="P42" s="18">
        <f>'7_비용인력'!P23</f>
        <v>17080.385</v>
      </c>
      <c r="Q42" s="18">
        <f>'7_비용인력'!Q23</f>
        <v>18134.55</v>
      </c>
      <c r="R42" s="18">
        <f>'7_비용인력'!R23</f>
        <v>22490.79</v>
      </c>
      <c r="S42" s="18">
        <f>'7_비용인력'!S23</f>
        <v>25235.35</v>
      </c>
      <c r="T42" s="18">
        <f>'7_비용인력'!T23</f>
        <v>27175.435</v>
      </c>
      <c r="U42" s="18">
        <f>'7_비용인력'!U23</f>
        <v>28545.055</v>
      </c>
      <c r="V42" s="18">
        <f>'7_비용인력'!V23</f>
        <v>30939.65</v>
      </c>
      <c r="W42" s="18">
        <f>'7_비용인력'!W23</f>
        <v>32051.67</v>
      </c>
      <c r="X42" s="18">
        <f>'7_비용인력'!X23</f>
        <v>33859.07</v>
      </c>
      <c r="Y42" s="18">
        <f>'7_비용인력'!Y23</f>
        <v>36305.465</v>
      </c>
      <c r="Z42" s="18">
        <f>'7_비용인력'!Z23</f>
        <v>38420.655</v>
      </c>
      <c r="AA42" s="18">
        <f>'7_비용인력'!AA23</f>
        <v>39936.925</v>
      </c>
      <c r="AB42" s="36">
        <f>'7_비용인력'!AB23</f>
        <v>350175</v>
      </c>
      <c r="AC42" s="27">
        <f>'7_비용인력'!AC23</f>
        <v>1155000</v>
      </c>
      <c r="AD42" s="27">
        <f>'7_비용인력'!AD23</f>
        <v>2240000</v>
      </c>
      <c r="AE42" s="27">
        <f>'7_비용인력'!AE23</f>
        <v>5460000</v>
      </c>
      <c r="AF42" s="37">
        <f>'7_비용인력'!AF23</f>
        <v>9235205.425</v>
      </c>
    </row>
    <row r="43">
      <c r="A43" s="15" t="inlineStr">
        <is>
          <t xml:space="preserve">  연구개발비(경상)</t>
        </is>
      </c>
      <c r="C43" s="18">
        <f>'7_비용인력'!C24</f>
        <v>1647.345</v>
      </c>
      <c r="D43" s="18">
        <f>'7_비용인력'!D24</f>
        <v>1264.9</v>
      </c>
      <c r="E43" s="18">
        <f>'7_비용인력'!E24</f>
        <v>1975.89</v>
      </c>
      <c r="F43" s="18">
        <f>'7_비용인력'!F24</f>
        <v>382.725</v>
      </c>
      <c r="G43" s="18">
        <f>'7_비용인력'!G24</f>
        <v>781.095</v>
      </c>
      <c r="H43" s="18">
        <f>'7_비용인력'!H24</f>
        <v>1800.855</v>
      </c>
      <c r="I43" s="18">
        <f>'7_비용인력'!I24</f>
        <v>465.99</v>
      </c>
      <c r="J43" s="18">
        <f>'7_비용인력'!J24</f>
        <v>277.41</v>
      </c>
      <c r="K43" s="18">
        <f>'7_비용인력'!K24</f>
        <v>1425.515</v>
      </c>
      <c r="L43" s="18">
        <f>'7_비용인력'!L24</f>
        <v>6241.375</v>
      </c>
      <c r="M43" s="18">
        <f>'7_비용인력'!M24</f>
        <v>8537.2</v>
      </c>
      <c r="N43" s="18">
        <f>'7_비용인력'!N24</f>
        <v>17242.295</v>
      </c>
      <c r="O43" s="36">
        <f>'7_비용인력'!O24</f>
        <v>42042.595</v>
      </c>
      <c r="P43" s="18">
        <f>'7_비용인력'!P24</f>
        <v>17080.385</v>
      </c>
      <c r="Q43" s="18">
        <f>'7_비용인력'!Q24</f>
        <v>18134.55</v>
      </c>
      <c r="R43" s="18">
        <f>'7_비용인력'!R24</f>
        <v>22490.79</v>
      </c>
      <c r="S43" s="18">
        <f>'7_비용인력'!S24</f>
        <v>25235.35</v>
      </c>
      <c r="T43" s="18">
        <f>'7_비용인력'!T24</f>
        <v>27175.435</v>
      </c>
      <c r="U43" s="18">
        <f>'7_비용인력'!U24</f>
        <v>28545.055</v>
      </c>
      <c r="V43" s="18">
        <f>'7_비용인력'!V24</f>
        <v>30939.65</v>
      </c>
      <c r="W43" s="18">
        <f>'7_비용인력'!W24</f>
        <v>32051.67</v>
      </c>
      <c r="X43" s="18">
        <f>'7_비용인력'!X24</f>
        <v>33859.07</v>
      </c>
      <c r="Y43" s="18">
        <f>'7_비용인력'!Y24</f>
        <v>36305.465</v>
      </c>
      <c r="Z43" s="18">
        <f>'7_비용인력'!Z24</f>
        <v>38420.655</v>
      </c>
      <c r="AA43" s="18">
        <f>'7_비용인력'!AA24</f>
        <v>39936.925</v>
      </c>
      <c r="AB43" s="36">
        <f>'7_비용인력'!AB24</f>
        <v>350175</v>
      </c>
      <c r="AC43" s="27">
        <f>'7_비용인력'!AC24</f>
        <v>1056000</v>
      </c>
      <c r="AD43" s="27">
        <f>'7_비용인력'!AD24</f>
        <v>2030000</v>
      </c>
      <c r="AE43" s="27">
        <f>'7_비용인력'!AE24</f>
        <v>4836000</v>
      </c>
      <c r="AF43" s="37">
        <f>'7_비용인력'!AF24</f>
        <v>8314217.595</v>
      </c>
    </row>
    <row r="44">
      <c r="A44" s="15" t="inlineStr">
        <is>
          <t xml:space="preserve">  임차·운영비</t>
        </is>
      </c>
      <c r="C44" s="18">
        <f>'7_비용인력'!C25</f>
        <v>3000</v>
      </c>
      <c r="D44" s="18">
        <f>'7_비용인력'!D25</f>
        <v>3000</v>
      </c>
      <c r="E44" s="18">
        <f>'7_비용인력'!E25</f>
        <v>3000</v>
      </c>
      <c r="F44" s="18">
        <f>'7_비용인력'!F25</f>
        <v>3000</v>
      </c>
      <c r="G44" s="18">
        <f>'7_비용인력'!G25</f>
        <v>3000</v>
      </c>
      <c r="H44" s="18">
        <f>'7_비용인력'!H25</f>
        <v>3000</v>
      </c>
      <c r="I44" s="18">
        <f>'7_비용인력'!I25</f>
        <v>3000</v>
      </c>
      <c r="J44" s="18">
        <f>'7_비용인력'!J25</f>
        <v>3000</v>
      </c>
      <c r="K44" s="18">
        <f>'7_비용인력'!K25</f>
        <v>3000</v>
      </c>
      <c r="L44" s="18">
        <f>'7_비용인력'!L25</f>
        <v>3000</v>
      </c>
      <c r="M44" s="18">
        <f>'7_비용인력'!M25</f>
        <v>3000</v>
      </c>
      <c r="N44" s="18">
        <f>'7_비용인력'!N25</f>
        <v>3000</v>
      </c>
      <c r="O44" s="36">
        <f>'7_비용인력'!O25</f>
        <v>36000</v>
      </c>
      <c r="P44" s="18">
        <f>'7_비용인력'!P25</f>
        <v>12000</v>
      </c>
      <c r="Q44" s="18">
        <f>'7_비용인력'!Q25</f>
        <v>12000</v>
      </c>
      <c r="R44" s="18">
        <f>'7_비용인력'!R25</f>
        <v>12000</v>
      </c>
      <c r="S44" s="18">
        <f>'7_비용인력'!S25</f>
        <v>12000</v>
      </c>
      <c r="T44" s="18">
        <f>'7_비용인력'!T25</f>
        <v>12000</v>
      </c>
      <c r="U44" s="18">
        <f>'7_비용인력'!U25</f>
        <v>12000</v>
      </c>
      <c r="V44" s="18">
        <f>'7_비용인력'!V25</f>
        <v>12000</v>
      </c>
      <c r="W44" s="18">
        <f>'7_비용인력'!W25</f>
        <v>12000</v>
      </c>
      <c r="X44" s="18">
        <f>'7_비용인력'!X25</f>
        <v>12000</v>
      </c>
      <c r="Y44" s="18">
        <f>'7_비용인력'!Y25</f>
        <v>12000</v>
      </c>
      <c r="Z44" s="18">
        <f>'7_비용인력'!Z25</f>
        <v>12000</v>
      </c>
      <c r="AA44" s="18">
        <f>'7_비용인력'!AA25</f>
        <v>12000</v>
      </c>
      <c r="AB44" s="36">
        <f>'7_비용인력'!AB25</f>
        <v>144000</v>
      </c>
      <c r="AC44" s="27">
        <f>'7_비용인력'!AC25</f>
        <v>300000</v>
      </c>
      <c r="AD44" s="27">
        <f>'7_비용인력'!AD25</f>
        <v>600000</v>
      </c>
      <c r="AE44" s="27">
        <f>'7_비용인력'!AE25</f>
        <v>1000000</v>
      </c>
      <c r="AF44" s="37">
        <f>'7_비용인력'!AF25</f>
        <v>2080000</v>
      </c>
    </row>
    <row r="45">
      <c r="A45" s="15" t="inlineStr">
        <is>
          <t xml:space="preserve">  해외영업·출장비</t>
        </is>
      </c>
      <c r="C45" s="18">
        <f>'7_비용인력'!C26</f>
        <v>3750</v>
      </c>
      <c r="D45" s="18">
        <f>'7_비용인력'!D26</f>
        <v>3750</v>
      </c>
      <c r="E45" s="18">
        <f>'7_비용인력'!E26</f>
        <v>3750</v>
      </c>
      <c r="F45" s="18">
        <f>'7_비용인력'!F26</f>
        <v>3750</v>
      </c>
      <c r="G45" s="18">
        <f>'7_비용인력'!G26</f>
        <v>3750</v>
      </c>
      <c r="H45" s="18">
        <f>'7_비용인력'!H26</f>
        <v>3750</v>
      </c>
      <c r="I45" s="18">
        <f>'7_비용인력'!I26</f>
        <v>3750</v>
      </c>
      <c r="J45" s="18">
        <f>'7_비용인력'!J26</f>
        <v>3750</v>
      </c>
      <c r="K45" s="18">
        <f>'7_비용인력'!K26</f>
        <v>3750</v>
      </c>
      <c r="L45" s="18">
        <f>'7_비용인력'!L26</f>
        <v>3750</v>
      </c>
      <c r="M45" s="18">
        <f>'7_비용인력'!M26</f>
        <v>3750</v>
      </c>
      <c r="N45" s="18">
        <f>'7_비용인력'!N26</f>
        <v>3750</v>
      </c>
      <c r="O45" s="36">
        <f>'7_비용인력'!O26</f>
        <v>45000</v>
      </c>
      <c r="P45" s="18">
        <f>'7_비용인력'!P26</f>
        <v>15000</v>
      </c>
      <c r="Q45" s="18">
        <f>'7_비용인력'!Q26</f>
        <v>15000</v>
      </c>
      <c r="R45" s="18">
        <f>'7_비용인력'!R26</f>
        <v>15000</v>
      </c>
      <c r="S45" s="18">
        <f>'7_비용인력'!S26</f>
        <v>15000</v>
      </c>
      <c r="T45" s="18">
        <f>'7_비용인력'!T26</f>
        <v>15000</v>
      </c>
      <c r="U45" s="18">
        <f>'7_비용인력'!U26</f>
        <v>15000</v>
      </c>
      <c r="V45" s="18">
        <f>'7_비용인력'!V26</f>
        <v>15000</v>
      </c>
      <c r="W45" s="18">
        <f>'7_비용인력'!W26</f>
        <v>15000</v>
      </c>
      <c r="X45" s="18">
        <f>'7_비용인력'!X26</f>
        <v>15000</v>
      </c>
      <c r="Y45" s="18">
        <f>'7_비용인력'!Y26</f>
        <v>15000</v>
      </c>
      <c r="Z45" s="18">
        <f>'7_비용인력'!Z26</f>
        <v>15000</v>
      </c>
      <c r="AA45" s="18">
        <f>'7_비용인력'!AA26</f>
        <v>15000</v>
      </c>
      <c r="AB45" s="36">
        <f>'7_비용인력'!AB26</f>
        <v>180000</v>
      </c>
      <c r="AC45" s="27">
        <f>'7_비용인력'!AC26</f>
        <v>400000</v>
      </c>
      <c r="AD45" s="27">
        <f>'7_비용인력'!AD26</f>
        <v>800000</v>
      </c>
      <c r="AE45" s="27">
        <f>'7_비용인력'!AE26</f>
        <v>1400000</v>
      </c>
      <c r="AF45" s="37">
        <f>'7_비용인력'!AF26</f>
        <v>2825000</v>
      </c>
    </row>
    <row r="46">
      <c r="A46" s="15" t="inlineStr">
        <is>
          <t xml:space="preserve">  감가상각·무형자산상각비</t>
        </is>
      </c>
      <c r="C46" s="18">
        <f>'7_비용인력'!C27</f>
        <v>1500</v>
      </c>
      <c r="D46" s="18">
        <f>'7_비용인력'!D27</f>
        <v>1500</v>
      </c>
      <c r="E46" s="18">
        <f>'7_비용인력'!E27</f>
        <v>1500</v>
      </c>
      <c r="F46" s="18">
        <f>'7_비용인력'!F27</f>
        <v>1500</v>
      </c>
      <c r="G46" s="18">
        <f>'7_비용인력'!G27</f>
        <v>1500</v>
      </c>
      <c r="H46" s="18">
        <f>'7_비용인력'!H27</f>
        <v>1500</v>
      </c>
      <c r="I46" s="18">
        <f>'7_비용인력'!I27</f>
        <v>1500</v>
      </c>
      <c r="J46" s="18">
        <f>'7_비용인력'!J27</f>
        <v>1500</v>
      </c>
      <c r="K46" s="18">
        <f>'7_비용인력'!K27</f>
        <v>1500</v>
      </c>
      <c r="L46" s="18">
        <f>'7_비용인력'!L27</f>
        <v>1500</v>
      </c>
      <c r="M46" s="18">
        <f>'7_비용인력'!M27</f>
        <v>1500</v>
      </c>
      <c r="N46" s="18">
        <f>'7_비용인력'!N27</f>
        <v>1500</v>
      </c>
      <c r="O46" s="36">
        <f>'7_비용인력'!O27</f>
        <v>18000</v>
      </c>
      <c r="P46" s="18">
        <f>'7_비용인력'!P27</f>
        <v>36329.4166666667</v>
      </c>
      <c r="Q46" s="18">
        <f>'7_비용인력'!Q27</f>
        <v>36329.4166666667</v>
      </c>
      <c r="R46" s="18">
        <f>'7_비용인력'!R27</f>
        <v>36329.4166666667</v>
      </c>
      <c r="S46" s="18">
        <f>'7_비용인력'!S27</f>
        <v>36329.4166666667</v>
      </c>
      <c r="T46" s="18">
        <f>'7_비용인력'!T27</f>
        <v>36329.4166666667</v>
      </c>
      <c r="U46" s="18">
        <f>'7_비용인력'!U27</f>
        <v>36329.4166666667</v>
      </c>
      <c r="V46" s="18">
        <f>'7_비용인력'!V27</f>
        <v>36329.4166666667</v>
      </c>
      <c r="W46" s="18">
        <f>'7_비용인력'!W27</f>
        <v>36329.4166666667</v>
      </c>
      <c r="X46" s="18">
        <f>'7_비용인력'!X27</f>
        <v>36329.4166666667</v>
      </c>
      <c r="Y46" s="18">
        <f>'7_비용인력'!Y27</f>
        <v>36329.4166666667</v>
      </c>
      <c r="Z46" s="18">
        <f>'7_비용인력'!Z27</f>
        <v>36329.4166666667</v>
      </c>
      <c r="AA46" s="18">
        <f>'7_비용인력'!AA27</f>
        <v>36329.4166666667</v>
      </c>
      <c r="AB46" s="36">
        <f>'7_비용인력'!AB27</f>
        <v>435953</v>
      </c>
      <c r="AC46" s="27">
        <f>'7_비용인력'!AC27</f>
        <v>528068.403328</v>
      </c>
      <c r="AD46" s="27">
        <f>'7_비용인력'!AD27</f>
        <v>689880.18775648</v>
      </c>
      <c r="AE46" s="27">
        <f>'7_비용인력'!AE27</f>
        <v>880393.933605717</v>
      </c>
      <c r="AF46" s="37">
        <f>'7_비용인력'!AF27</f>
        <v>2552295.5246902</v>
      </c>
    </row>
    <row r="47">
      <c r="A47" s="15" t="inlineStr">
        <is>
          <t xml:space="preserve">  대손상각비</t>
        </is>
      </c>
      <c r="C47" s="18">
        <f>'7_비용인력'!C28</f>
        <v>188.268</v>
      </c>
      <c r="D47" s="18">
        <f>'7_비용인력'!D28</f>
        <v>144.56</v>
      </c>
      <c r="E47" s="18">
        <f>'7_비용인력'!E28</f>
        <v>225.816</v>
      </c>
      <c r="F47" s="18">
        <f>'7_비용인력'!F28</f>
        <v>43.74</v>
      </c>
      <c r="G47" s="18">
        <f>'7_비용인력'!G28</f>
        <v>89.268</v>
      </c>
      <c r="H47" s="18">
        <f>'7_비용인력'!H28</f>
        <v>205.812</v>
      </c>
      <c r="I47" s="18">
        <f>'7_비용인력'!I28</f>
        <v>53.256</v>
      </c>
      <c r="J47" s="18">
        <f>'7_비용인력'!J28</f>
        <v>31.704</v>
      </c>
      <c r="K47" s="18">
        <f>'7_비용인력'!K28</f>
        <v>162.916</v>
      </c>
      <c r="L47" s="18">
        <f>'7_비용인력'!L28</f>
        <v>713.3</v>
      </c>
      <c r="M47" s="18">
        <f>'7_비용인력'!M28</f>
        <v>975.68</v>
      </c>
      <c r="N47" s="18">
        <f>'7_비용인력'!N28</f>
        <v>1970.548</v>
      </c>
      <c r="O47" s="36">
        <f>'7_비용인력'!O28</f>
        <v>4804.868</v>
      </c>
      <c r="P47" s="18">
        <f>'7_비용인력'!P28</f>
        <v>2440.055</v>
      </c>
      <c r="Q47" s="18">
        <f>'7_비용인력'!Q28</f>
        <v>2590.65</v>
      </c>
      <c r="R47" s="18">
        <f>'7_비용인력'!R28</f>
        <v>3212.97</v>
      </c>
      <c r="S47" s="18">
        <f>'7_비용인력'!S28</f>
        <v>3605.05</v>
      </c>
      <c r="T47" s="18">
        <f>'7_비용인력'!T28</f>
        <v>3882.205</v>
      </c>
      <c r="U47" s="18">
        <f>'7_비용인력'!U28</f>
        <v>4077.865</v>
      </c>
      <c r="V47" s="18">
        <f>'7_비용인력'!V28</f>
        <v>4419.95</v>
      </c>
      <c r="W47" s="18">
        <f>'7_비용인력'!W28</f>
        <v>4578.81</v>
      </c>
      <c r="X47" s="18">
        <f>'7_비용인력'!X28</f>
        <v>4837.01</v>
      </c>
      <c r="Y47" s="18">
        <f>'7_비용인력'!Y28</f>
        <v>5186.495</v>
      </c>
      <c r="Z47" s="18">
        <f>'7_비용인력'!Z28</f>
        <v>5488.665</v>
      </c>
      <c r="AA47" s="18">
        <f>'7_비용인력'!AA28</f>
        <v>5705.275</v>
      </c>
      <c r="AB47" s="36">
        <f>'7_비용인력'!AB28</f>
        <v>50025</v>
      </c>
      <c r="AC47" s="27">
        <f>'7_비용인력'!AC28</f>
        <v>165000</v>
      </c>
      <c r="AD47" s="27">
        <f>'7_비용인력'!AD28</f>
        <v>350000</v>
      </c>
      <c r="AE47" s="27">
        <f>'7_비용인력'!AE28</f>
        <v>780000</v>
      </c>
      <c r="AF47" s="37">
        <f>'7_비용인력'!AF28</f>
        <v>1349829.868</v>
      </c>
    </row>
    <row r="48">
      <c r="A48" s="15" t="inlineStr">
        <is>
          <t xml:space="preserve">  기타 판관비</t>
        </is>
      </c>
      <c r="C48" s="18">
        <f>'7_비용인력'!C29</f>
        <v>941.34</v>
      </c>
      <c r="D48" s="18">
        <f>'7_비용인력'!D29</f>
        <v>722.8</v>
      </c>
      <c r="E48" s="18">
        <f>'7_비용인력'!E29</f>
        <v>1129.08</v>
      </c>
      <c r="F48" s="18">
        <f>'7_비용인력'!F29</f>
        <v>218.7</v>
      </c>
      <c r="G48" s="18">
        <f>'7_비용인력'!G29</f>
        <v>446.34</v>
      </c>
      <c r="H48" s="18">
        <f>'7_비용인력'!H29</f>
        <v>1029.06</v>
      </c>
      <c r="I48" s="18">
        <f>'7_비용인력'!I29</f>
        <v>266.28</v>
      </c>
      <c r="J48" s="18">
        <f>'7_비용인력'!J29</f>
        <v>158.52</v>
      </c>
      <c r="K48" s="18">
        <f>'7_비용인력'!K29</f>
        <v>814.58</v>
      </c>
      <c r="L48" s="18">
        <f>'7_비용인력'!L29</f>
        <v>3566.5</v>
      </c>
      <c r="M48" s="18">
        <f>'7_비용인력'!M29</f>
        <v>4878.4</v>
      </c>
      <c r="N48" s="18">
        <f>'7_비용인력'!N29</f>
        <v>9852.74</v>
      </c>
      <c r="O48" s="36">
        <f>'7_비용인력'!O29</f>
        <v>24024.34</v>
      </c>
      <c r="P48" s="18">
        <f>'7_비용인력'!P29</f>
        <v>14640.33</v>
      </c>
      <c r="Q48" s="18">
        <f>'7_비용인력'!Q29</f>
        <v>15543.9</v>
      </c>
      <c r="R48" s="18">
        <f>'7_비용인력'!R29</f>
        <v>19277.82</v>
      </c>
      <c r="S48" s="18">
        <f>'7_비용인력'!S29</f>
        <v>21630.3</v>
      </c>
      <c r="T48" s="18">
        <f>'7_비용인력'!T29</f>
        <v>23293.23</v>
      </c>
      <c r="U48" s="18">
        <f>'7_비용인력'!U29</f>
        <v>24467.19</v>
      </c>
      <c r="V48" s="18">
        <f>'7_비용인력'!V29</f>
        <v>26519.7</v>
      </c>
      <c r="W48" s="18">
        <f>'7_비용인력'!W29</f>
        <v>27472.86</v>
      </c>
      <c r="X48" s="18">
        <f>'7_비용인력'!X29</f>
        <v>29022.06</v>
      </c>
      <c r="Y48" s="18">
        <f>'7_비용인력'!Y29</f>
        <v>31118.97</v>
      </c>
      <c r="Z48" s="18">
        <f>'7_비용인력'!Z29</f>
        <v>32931.99</v>
      </c>
      <c r="AA48" s="18">
        <f>'7_비용인력'!AA29</f>
        <v>34231.65</v>
      </c>
      <c r="AB48" s="36">
        <f>'7_비용인력'!AB29</f>
        <v>300150</v>
      </c>
      <c r="AC48" s="27">
        <f>'7_비용인력'!AC29</f>
        <v>858000</v>
      </c>
      <c r="AD48" s="27">
        <f>'7_비용인력'!AD29</f>
        <v>1540000</v>
      </c>
      <c r="AE48" s="27">
        <f>'7_비용인력'!AE29</f>
        <v>3744000</v>
      </c>
      <c r="AF48" s="37">
        <f>'7_비용인력'!AF29</f>
        <v>6466174.34</v>
      </c>
    </row>
    <row r="49">
      <c r="A49" s="12" t="inlineStr">
        <is>
          <t>판매비와관리비</t>
        </is>
      </c>
      <c r="C49" s="28">
        <f>SUM(C38:C48)</f>
        <v>42410.472</v>
      </c>
      <c r="D49" s="28">
        <f>SUM(D38:D48)</f>
        <v>41230.356</v>
      </c>
      <c r="E49" s="28">
        <f>SUM(E38:E48)</f>
        <v>43424.268</v>
      </c>
      <c r="F49" s="28">
        <f>SUM(F38:F48)</f>
        <v>38508.216</v>
      </c>
      <c r="G49" s="28">
        <f>SUM(G38:G48)</f>
        <v>39737.472</v>
      </c>
      <c r="H49" s="28">
        <f>SUM(H38:H48)</f>
        <v>42884.16</v>
      </c>
      <c r="I49" s="28">
        <f>SUM(I38:I48)</f>
        <v>38765.148</v>
      </c>
      <c r="J49" s="28">
        <f>SUM(J38:J48)</f>
        <v>38183.244</v>
      </c>
      <c r="K49" s="28">
        <f>SUM(K38:K48)</f>
        <v>41725.968</v>
      </c>
      <c r="L49" s="28">
        <f>SUM(L38:L48)</f>
        <v>56586.336</v>
      </c>
      <c r="M49" s="28">
        <f>SUM(M38:M48)</f>
        <v>63670.596</v>
      </c>
      <c r="N49" s="28">
        <f>SUM(N38:N48)</f>
        <v>90532.032</v>
      </c>
      <c r="O49" s="29">
        <f>SUM(O38:O48)</f>
        <v>577658.268</v>
      </c>
      <c r="P49" s="28">
        <f>SUM(P38:P48)</f>
        <v>181314.221546667</v>
      </c>
      <c r="Q49" s="28">
        <f>SUM(Q38:Q48)</f>
        <v>190066.935546667</v>
      </c>
      <c r="R49" s="28">
        <f>SUM(R38:R48)</f>
        <v>212971.399546667</v>
      </c>
      <c r="S49" s="28">
        <f>SUM(S38:S48)</f>
        <v>228968.663546667</v>
      </c>
      <c r="T49" s="28">
        <f>SUM(T38:T48)</f>
        <v>241518.177546667</v>
      </c>
      <c r="U49" s="28">
        <f>SUM(U38:U48)</f>
        <v>251622.841546667</v>
      </c>
      <c r="V49" s="28">
        <f>SUM(V38:V48)</f>
        <v>266120.255546667</v>
      </c>
      <c r="W49" s="28">
        <f>SUM(W38:W48)</f>
        <v>275120.919546667</v>
      </c>
      <c r="X49" s="28">
        <f>SUM(X38:X48)</f>
        <v>287101.783546667</v>
      </c>
      <c r="Y49" s="28">
        <f>SUM(Y38:Y48)</f>
        <v>306056.061546667</v>
      </c>
      <c r="Z49" s="28">
        <f>SUM(Z38:Z48)</f>
        <v>323590.889546667</v>
      </c>
      <c r="AA49" s="28">
        <f>SUM(AA38:AA48)</f>
        <v>338558.917546667</v>
      </c>
      <c r="AB49" s="29">
        <f>SUM(AB38:AB48)</f>
        <v>3103011.06656</v>
      </c>
      <c r="AC49" s="30">
        <f>SUM(AC38:AC48)</f>
        <v>9343598.7026096</v>
      </c>
      <c r="AD49" s="30">
        <f>SUM(AD38:AD48)</f>
        <v>18308686.043434</v>
      </c>
      <c r="AE49" s="30">
        <f>SUM(AE38:AE48)</f>
        <v>38222595.3639206</v>
      </c>
      <c r="AF49" s="28">
        <f>SUM(AF38:AF48)</f>
        <v>69555549.4445242</v>
      </c>
    </row>
    <row r="50">
      <c r="A50" s="34" t="inlineStr">
        <is>
          <t>영업이익(손실)</t>
        </is>
      </c>
      <c r="C50" s="38">
        <f>C34-C49</f>
        <v>-18767.2946</v>
      </c>
      <c r="D50" s="38">
        <f>D34-D49</f>
        <v>-23356.0026</v>
      </c>
      <c r="E50" s="38">
        <f>E34-E49</f>
        <v>-15674.7648</v>
      </c>
      <c r="F50" s="38">
        <f>F34-F49</f>
        <v>-33222.149</v>
      </c>
      <c r="G50" s="38">
        <f>G34-G49</f>
        <v>-28949.1702</v>
      </c>
      <c r="H50" s="38">
        <f>H34-H49</f>
        <v>-18022.3146</v>
      </c>
      <c r="I50" s="38">
        <f>I34-I49</f>
        <v>-32319.0024</v>
      </c>
      <c r="J50" s="38">
        <f>J34-J49</f>
        <v>-34348.6656</v>
      </c>
      <c r="K50" s="38">
        <f>K34-K49</f>
        <v>-21439.2366</v>
      </c>
      <c r="L50" s="38">
        <f>L34-L49</f>
        <v>29901.039</v>
      </c>
      <c r="M50" s="38">
        <f>M34-M49</f>
        <v>54759.988</v>
      </c>
      <c r="N50" s="38">
        <f>N34-N49</f>
        <v>163395.2525</v>
      </c>
      <c r="O50" s="39">
        <f>O34-O49</f>
        <v>21957.6791000001</v>
      </c>
      <c r="P50" s="38">
        <f>P34-P49</f>
        <v>11851.4866533333</v>
      </c>
      <c r="Q50" s="38">
        <f>Q34-Q49</f>
        <v>15148.9342533334</v>
      </c>
      <c r="R50" s="38">
        <f>R34-R49</f>
        <v>43125.0910533334</v>
      </c>
      <c r="S50" s="38">
        <f>S34-S49</f>
        <v>58112.7068533333</v>
      </c>
      <c r="T50" s="38">
        <f>T34-T49</f>
        <v>67625.8780533333</v>
      </c>
      <c r="U50" s="38">
        <f>U34-U49</f>
        <v>72988.5242533333</v>
      </c>
      <c r="V50" s="38">
        <f>V34-V49</f>
        <v>85306.4918533333</v>
      </c>
      <c r="W50" s="38">
        <f>W34-W49</f>
        <v>88919.0734533334</v>
      </c>
      <c r="X50" s="38">
        <f>X34-X49</f>
        <v>97501.5986533333</v>
      </c>
      <c r="Y50" s="38">
        <f>Y34-Y49</f>
        <v>106050.186053333</v>
      </c>
      <c r="Z50" s="38">
        <f>Z34-Z49</f>
        <v>113686.511253333</v>
      </c>
      <c r="AA50" s="38">
        <f>AA34-AA49</f>
        <v>115886.651053333</v>
      </c>
      <c r="AB50" s="39">
        <f>AB34-AB49</f>
        <v>876203.13344</v>
      </c>
      <c r="AC50" s="40">
        <f>AC34-AC49</f>
        <v>3745980.9753904</v>
      </c>
      <c r="AD50" s="40">
        <f>AD34-AD49</f>
        <v>9663698.66016603</v>
      </c>
      <c r="AE50" s="40">
        <f>AE34-AE49</f>
        <v>25612897.760481</v>
      </c>
      <c r="AF50" s="38">
        <f>AF34-AF49</f>
        <v>39920738.2085774</v>
      </c>
    </row>
    <row r="51">
      <c r="A51" s="15" t="inlineStr">
        <is>
          <t xml:space="preserve">  영업이익률</t>
        </is>
      </c>
      <c r="C51" s="14">
        <f>IFERROR(C50/C19,0)</f>
        <v>-0.398735729916927</v>
      </c>
      <c r="D51" s="14">
        <f>IFERROR(D50/D19,0)</f>
        <v>-0.646264598782512</v>
      </c>
      <c r="E51" s="14">
        <f>IFERROR(E50/E19,0)</f>
        <v>-0.277655521309385</v>
      </c>
      <c r="F51" s="14">
        <f>IFERROR(F50/F19,0)</f>
        <v>-3.03814805669867</v>
      </c>
      <c r="G51" s="14">
        <f>IFERROR(G50/G19,0)</f>
        <v>-1.2971801855088</v>
      </c>
      <c r="H51" s="14">
        <f>IFERROR(H50/H19,0)</f>
        <v>-0.350267517928984</v>
      </c>
      <c r="I51" s="14">
        <f>IFERROR(I50/I19,0)</f>
        <v>-2.42744497521406</v>
      </c>
      <c r="J51" s="14">
        <f>IFERROR(J50/J19,0)</f>
        <v>-4.33366964420893</v>
      </c>
      <c r="K51" s="14">
        <f>IFERROR(K50/K19,0)</f>
        <v>-0.52638750276216</v>
      </c>
      <c r="L51" s="14">
        <f>IFERROR(L50/L19,0)</f>
        <v>0.167677212953876</v>
      </c>
      <c r="M51" s="14">
        <f>IFERROR(M50/M19,0)</f>
        <v>0.224499786815349</v>
      </c>
      <c r="N51" s="14">
        <f>IFERROR(N50/N19,0)</f>
        <v>0.331674747329169</v>
      </c>
      <c r="O51" s="31">
        <f>IFERROR(O50/O19,0)</f>
        <v>0.0182795274292655</v>
      </c>
      <c r="P51" s="14">
        <f>IFERROR(P50/P19,0)</f>
        <v>0.0242852858917797</v>
      </c>
      <c r="Q51" s="14">
        <f>IFERROR(Q50/Q19,0)</f>
        <v>0.0292377091720869</v>
      </c>
      <c r="R51" s="14">
        <f>IFERROR(R50/R19,0)</f>
        <v>0.0671109457189662</v>
      </c>
      <c r="S51" s="14">
        <f>IFERROR(S50/S19,0)</f>
        <v>0.080599030323204</v>
      </c>
      <c r="T51" s="14">
        <f>IFERROR(T50/T19,0)</f>
        <v>0.087097252789759</v>
      </c>
      <c r="U51" s="14">
        <f>IFERROR(U50/U19,0)</f>
        <v>0.0894935514703568</v>
      </c>
      <c r="V51" s="14">
        <f>IFERROR(V50/V19,0)</f>
        <v>0.0965016480427757</v>
      </c>
      <c r="W51" s="14">
        <f>IFERROR(W50/W19,0)</f>
        <v>0.0970984529313657</v>
      </c>
      <c r="X51" s="14">
        <f>IFERROR(X50/X19,0)</f>
        <v>0.100787055074657</v>
      </c>
      <c r="Y51" s="14">
        <f>IFERROR(Y50/Y19,0)</f>
        <v>0.102236853649076</v>
      </c>
      <c r="Z51" s="14">
        <f>IFERROR(Z50/Z19,0)</f>
        <v>0.103564811528244</v>
      </c>
      <c r="AA51" s="14">
        <f>IFERROR(AA50/AA19,0)</f>
        <v>0.101560968624066</v>
      </c>
      <c r="AB51" s="31">
        <f>IFERROR(AB50/AB19,0)</f>
        <v>0.0875765250814593</v>
      </c>
      <c r="AC51" s="32">
        <f>IFERROR(AC50/AC19,0)</f>
        <v>0.11351457501183</v>
      </c>
      <c r="AD51" s="32">
        <f>IFERROR(AD50/AD19,0)</f>
        <v>0.138052838002372</v>
      </c>
      <c r="AE51" s="32">
        <f>IFERROR(AE50/AE19,0)</f>
        <v>0.164185242054365</v>
      </c>
      <c r="AF51" s="14">
        <f>IFERROR(AF50/AF19,0)</f>
        <v>0.147741745737025</v>
      </c>
    </row>
    <row r="52"/>
    <row r="53">
      <c r="A53" s="3" t="inlineStr">
        <is>
          <t>Ⅳ. 영업외손익 · 법인세</t>
        </is>
      </c>
    </row>
    <row r="54">
      <c r="A54" s="12" t="inlineStr">
        <is>
          <t>영업외수익</t>
        </is>
      </c>
      <c r="C54" s="24">
        <f>C55</f>
        <v>4564.01166666667</v>
      </c>
      <c r="D54" s="24">
        <f>D55</f>
        <v>4181.56666666667</v>
      </c>
      <c r="E54" s="24">
        <f>E55</f>
        <v>4892.55666666667</v>
      </c>
      <c r="F54" s="24">
        <f>F55</f>
        <v>3299.39166666667</v>
      </c>
      <c r="G54" s="24">
        <f>G55</f>
        <v>3697.76166666667</v>
      </c>
      <c r="H54" s="24">
        <f>H55</f>
        <v>4717.52166666667</v>
      </c>
      <c r="I54" s="24">
        <f>I55</f>
        <v>3382.65666666667</v>
      </c>
      <c r="J54" s="24">
        <f>J55</f>
        <v>3194.07666666667</v>
      </c>
      <c r="K54" s="24">
        <f>K55</f>
        <v>4342.18166666667</v>
      </c>
      <c r="L54" s="24">
        <f>L55</f>
        <v>9158.04166666667</v>
      </c>
      <c r="M54" s="24">
        <f>M55</f>
        <v>11453.8666666667</v>
      </c>
      <c r="N54" s="24">
        <f>N55</f>
        <v>20158.9616666667</v>
      </c>
      <c r="O54" s="25">
        <f>O55</f>
        <v>77042.595</v>
      </c>
      <c r="P54" s="24">
        <f>P55</f>
        <v>25000</v>
      </c>
      <c r="Q54" s="24">
        <f>Q55</f>
        <v>25000</v>
      </c>
      <c r="R54" s="24">
        <f>R55</f>
        <v>25000</v>
      </c>
      <c r="S54" s="24">
        <f>S55</f>
        <v>25000</v>
      </c>
      <c r="T54" s="24">
        <f>T55</f>
        <v>25000</v>
      </c>
      <c r="U54" s="24">
        <f>U55</f>
        <v>25000</v>
      </c>
      <c r="V54" s="24">
        <f>V55</f>
        <v>25000</v>
      </c>
      <c r="W54" s="24">
        <f>W55</f>
        <v>25000</v>
      </c>
      <c r="X54" s="24">
        <f>X55</f>
        <v>25000</v>
      </c>
      <c r="Y54" s="24">
        <f>Y55</f>
        <v>25000</v>
      </c>
      <c r="Z54" s="24">
        <f>Z55</f>
        <v>25000</v>
      </c>
      <c r="AA54" s="24">
        <f>AA55</f>
        <v>25000</v>
      </c>
      <c r="AB54" s="25">
        <f>AB55</f>
        <v>300000</v>
      </c>
      <c r="AC54" s="26">
        <f>AC55</f>
        <v>100000</v>
      </c>
      <c r="AD54" s="26">
        <f>AD55</f>
        <v>100000</v>
      </c>
      <c r="AE54" s="26">
        <f>AE55</f>
        <v>100000</v>
      </c>
      <c r="AF54" s="24">
        <f>AF55</f>
        <v>677042.595</v>
      </c>
    </row>
    <row r="55">
      <c r="A55" s="15" t="inlineStr">
        <is>
          <t xml:space="preserve">  (정부보조금수익)</t>
        </is>
      </c>
      <c r="C55" s="41">
        <f>'7_비용인력'!C33</f>
        <v>4564.01166666667</v>
      </c>
      <c r="D55" s="41">
        <f>'7_비용인력'!D33</f>
        <v>4181.56666666667</v>
      </c>
      <c r="E55" s="41">
        <f>'7_비용인력'!E33</f>
        <v>4892.55666666667</v>
      </c>
      <c r="F55" s="41">
        <f>'7_비용인력'!F33</f>
        <v>3299.39166666667</v>
      </c>
      <c r="G55" s="41">
        <f>'7_비용인력'!G33</f>
        <v>3697.76166666667</v>
      </c>
      <c r="H55" s="41">
        <f>'7_비용인력'!H33</f>
        <v>4717.52166666667</v>
      </c>
      <c r="I55" s="41">
        <f>'7_비용인력'!I33</f>
        <v>3382.65666666667</v>
      </c>
      <c r="J55" s="41">
        <f>'7_비용인력'!J33</f>
        <v>3194.07666666667</v>
      </c>
      <c r="K55" s="41">
        <f>'7_비용인력'!K33</f>
        <v>4342.18166666667</v>
      </c>
      <c r="L55" s="41">
        <f>'7_비용인력'!L33</f>
        <v>9158.04166666667</v>
      </c>
      <c r="M55" s="41">
        <f>'7_비용인력'!M33</f>
        <v>11453.8666666667</v>
      </c>
      <c r="N55" s="41">
        <f>'7_비용인력'!N33</f>
        <v>20158.9616666667</v>
      </c>
      <c r="O55" s="42">
        <f>'7_비용인력'!O33</f>
        <v>77042.595</v>
      </c>
      <c r="P55" s="41">
        <f>'7_비용인력'!P33</f>
        <v>25000</v>
      </c>
      <c r="Q55" s="41">
        <f>'7_비용인력'!Q33</f>
        <v>25000</v>
      </c>
      <c r="R55" s="41">
        <f>'7_비용인력'!R33</f>
        <v>25000</v>
      </c>
      <c r="S55" s="41">
        <f>'7_비용인력'!S33</f>
        <v>25000</v>
      </c>
      <c r="T55" s="41">
        <f>'7_비용인력'!T33</f>
        <v>25000</v>
      </c>
      <c r="U55" s="41">
        <f>'7_비용인력'!U33</f>
        <v>25000</v>
      </c>
      <c r="V55" s="41">
        <f>'7_비용인력'!V33</f>
        <v>25000</v>
      </c>
      <c r="W55" s="41">
        <f>'7_비용인력'!W33</f>
        <v>25000</v>
      </c>
      <c r="X55" s="41">
        <f>'7_비용인력'!X33</f>
        <v>25000</v>
      </c>
      <c r="Y55" s="41">
        <f>'7_비용인력'!Y33</f>
        <v>25000</v>
      </c>
      <c r="Z55" s="41">
        <f>'7_비용인력'!Z33</f>
        <v>25000</v>
      </c>
      <c r="AA55" s="41">
        <f>'7_비용인력'!AA33</f>
        <v>25000</v>
      </c>
      <c r="AB55" s="42">
        <f>'7_비용인력'!AB33</f>
        <v>300000</v>
      </c>
      <c r="AC55" s="43">
        <f>'7_비용인력'!AC33</f>
        <v>100000</v>
      </c>
      <c r="AD55" s="43">
        <f>'7_비용인력'!AD33</f>
        <v>100000</v>
      </c>
      <c r="AE55" s="43">
        <f>'7_비용인력'!AE33</f>
        <v>100000</v>
      </c>
      <c r="AF55" s="41">
        <f>'7_비용인력'!AF33</f>
        <v>677042.595</v>
      </c>
    </row>
    <row r="56">
      <c r="A56" s="12" t="inlineStr">
        <is>
          <t>영업외비용</t>
        </is>
      </c>
      <c r="C56" s="24">
        <f>C57</f>
        <v>4799.086</v>
      </c>
      <c r="D56" s="24">
        <f>D57</f>
        <v>4799.086</v>
      </c>
      <c r="E56" s="24">
        <f>E57</f>
        <v>4799.086</v>
      </c>
      <c r="F56" s="24">
        <f>F57</f>
        <v>4799.086</v>
      </c>
      <c r="G56" s="24">
        <f>G57</f>
        <v>4799.086</v>
      </c>
      <c r="H56" s="24">
        <f>H57</f>
        <v>4799.086</v>
      </c>
      <c r="I56" s="24">
        <f>I57</f>
        <v>4799.086</v>
      </c>
      <c r="J56" s="24">
        <f>J57</f>
        <v>4799.086</v>
      </c>
      <c r="K56" s="24">
        <f>K57</f>
        <v>4799.086</v>
      </c>
      <c r="L56" s="24">
        <f>L57</f>
        <v>4799.086</v>
      </c>
      <c r="M56" s="24">
        <f>M57</f>
        <v>4799.086</v>
      </c>
      <c r="N56" s="24">
        <f>N57</f>
        <v>4799.086</v>
      </c>
      <c r="O56" s="25">
        <f>O57</f>
        <v>57589.032</v>
      </c>
      <c r="P56" s="24">
        <f>P57</f>
        <v>6400</v>
      </c>
      <c r="Q56" s="24">
        <f>Q57</f>
        <v>6400</v>
      </c>
      <c r="R56" s="24">
        <f>R57</f>
        <v>6400</v>
      </c>
      <c r="S56" s="24">
        <f>S57</f>
        <v>6400</v>
      </c>
      <c r="T56" s="24">
        <f>T57</f>
        <v>6400</v>
      </c>
      <c r="U56" s="24">
        <f>U57</f>
        <v>6400</v>
      </c>
      <c r="V56" s="24">
        <f>V57</f>
        <v>6400</v>
      </c>
      <c r="W56" s="24">
        <f>W57</f>
        <v>6400</v>
      </c>
      <c r="X56" s="24">
        <f>X57</f>
        <v>6400</v>
      </c>
      <c r="Y56" s="24">
        <f>Y57</f>
        <v>6400</v>
      </c>
      <c r="Z56" s="24">
        <f>Z57</f>
        <v>6400</v>
      </c>
      <c r="AA56" s="24">
        <f>AA57</f>
        <v>6400</v>
      </c>
      <c r="AB56" s="25">
        <f>AB57</f>
        <v>76800</v>
      </c>
      <c r="AC56" s="26">
        <f>AC57</f>
        <v>192000</v>
      </c>
      <c r="AD56" s="26">
        <f>AD57</f>
        <v>384000</v>
      </c>
      <c r="AE56" s="26">
        <f>AE57</f>
        <v>528000</v>
      </c>
      <c r="AF56" s="24">
        <f>AF57</f>
        <v>1238389.032</v>
      </c>
    </row>
    <row r="57">
      <c r="A57" s="15" t="inlineStr">
        <is>
          <t xml:space="preserve">  (이자비용)</t>
        </is>
      </c>
      <c r="C57" s="41">
        <f>'7_비용인력'!C34</f>
        <v>4799.086</v>
      </c>
      <c r="D57" s="41">
        <f>'7_비용인력'!D34</f>
        <v>4799.086</v>
      </c>
      <c r="E57" s="41">
        <f>'7_비용인력'!E34</f>
        <v>4799.086</v>
      </c>
      <c r="F57" s="41">
        <f>'7_비용인력'!F34</f>
        <v>4799.086</v>
      </c>
      <c r="G57" s="41">
        <f>'7_비용인력'!G34</f>
        <v>4799.086</v>
      </c>
      <c r="H57" s="41">
        <f>'7_비용인력'!H34</f>
        <v>4799.086</v>
      </c>
      <c r="I57" s="41">
        <f>'7_비용인력'!I34</f>
        <v>4799.086</v>
      </c>
      <c r="J57" s="41">
        <f>'7_비용인력'!J34</f>
        <v>4799.086</v>
      </c>
      <c r="K57" s="41">
        <f>'7_비용인력'!K34</f>
        <v>4799.086</v>
      </c>
      <c r="L57" s="41">
        <f>'7_비용인력'!L34</f>
        <v>4799.086</v>
      </c>
      <c r="M57" s="41">
        <f>'7_비용인력'!M34</f>
        <v>4799.086</v>
      </c>
      <c r="N57" s="41">
        <f>'7_비용인력'!N34</f>
        <v>4799.086</v>
      </c>
      <c r="O57" s="42">
        <f>'7_비용인력'!O34</f>
        <v>57589.032</v>
      </c>
      <c r="P57" s="41">
        <f>'7_비용인력'!P34</f>
        <v>6400</v>
      </c>
      <c r="Q57" s="41">
        <f>'7_비용인력'!Q34</f>
        <v>6400</v>
      </c>
      <c r="R57" s="41">
        <f>'7_비용인력'!R34</f>
        <v>6400</v>
      </c>
      <c r="S57" s="41">
        <f>'7_비용인력'!S34</f>
        <v>6400</v>
      </c>
      <c r="T57" s="41">
        <f>'7_비용인력'!T34</f>
        <v>6400</v>
      </c>
      <c r="U57" s="41">
        <f>'7_비용인력'!U34</f>
        <v>6400</v>
      </c>
      <c r="V57" s="41">
        <f>'7_비용인력'!V34</f>
        <v>6400</v>
      </c>
      <c r="W57" s="41">
        <f>'7_비용인력'!W34</f>
        <v>6400</v>
      </c>
      <c r="X57" s="41">
        <f>'7_비용인력'!X34</f>
        <v>6400</v>
      </c>
      <c r="Y57" s="41">
        <f>'7_비용인력'!Y34</f>
        <v>6400</v>
      </c>
      <c r="Z57" s="41">
        <f>'7_비용인력'!Z34</f>
        <v>6400</v>
      </c>
      <c r="AA57" s="41">
        <f>'7_비용인력'!AA34</f>
        <v>6400</v>
      </c>
      <c r="AB57" s="42">
        <f>'7_비용인력'!AB34</f>
        <v>76800</v>
      </c>
      <c r="AC57" s="43">
        <f>'7_비용인력'!AC34</f>
        <v>192000</v>
      </c>
      <c r="AD57" s="43">
        <f>'7_비용인력'!AD34</f>
        <v>384000</v>
      </c>
      <c r="AE57" s="43">
        <f>'7_비용인력'!AE34</f>
        <v>528000</v>
      </c>
      <c r="AF57" s="41">
        <f>'7_비용인력'!AF34</f>
        <v>1238389.032</v>
      </c>
    </row>
    <row r="58">
      <c r="A58" s="12" t="inlineStr">
        <is>
          <t>법인세차감전순이익</t>
        </is>
      </c>
      <c r="C58" s="28">
        <f>C50+C54-C56</f>
        <v>-19002.3689333333</v>
      </c>
      <c r="D58" s="28">
        <f>D50+D54-D56</f>
        <v>-23973.5219333333</v>
      </c>
      <c r="E58" s="28">
        <f>E50+E54-E56</f>
        <v>-15581.2941333333</v>
      </c>
      <c r="F58" s="28">
        <f>F50+F54-F56</f>
        <v>-34721.8433333333</v>
      </c>
      <c r="G58" s="28">
        <f>G50+G54-G56</f>
        <v>-30050.4945333333</v>
      </c>
      <c r="H58" s="28">
        <f>H50+H54-H56</f>
        <v>-18103.8789333333</v>
      </c>
      <c r="I58" s="28">
        <f>I50+I54-I56</f>
        <v>-33735.4317333333</v>
      </c>
      <c r="J58" s="28">
        <f>J50+J54-J56</f>
        <v>-35953.6749333333</v>
      </c>
      <c r="K58" s="28">
        <f>K50+K54-K56</f>
        <v>-21896.1409333333</v>
      </c>
      <c r="L58" s="28">
        <f>L50+L54-L56</f>
        <v>34259.9946666666</v>
      </c>
      <c r="M58" s="28">
        <f>M50+M54-M56</f>
        <v>61414.7686666667</v>
      </c>
      <c r="N58" s="28">
        <f>N50+N54-N56</f>
        <v>178755.128166667</v>
      </c>
      <c r="O58" s="29">
        <f>O50+O54-O56</f>
        <v>41411.2421000001</v>
      </c>
      <c r="P58" s="28">
        <f>P50+P54-P56</f>
        <v>30451.4866533333</v>
      </c>
      <c r="Q58" s="28">
        <f>Q50+Q54-Q56</f>
        <v>33748.9342533334</v>
      </c>
      <c r="R58" s="28">
        <f>R50+R54-R56</f>
        <v>61725.0910533334</v>
      </c>
      <c r="S58" s="28">
        <f>S50+S54-S56</f>
        <v>76712.7068533333</v>
      </c>
      <c r="T58" s="28">
        <f>T50+T54-T56</f>
        <v>86225.8780533333</v>
      </c>
      <c r="U58" s="28">
        <f>U50+U54-U56</f>
        <v>91588.5242533333</v>
      </c>
      <c r="V58" s="28">
        <f>V50+V54-V56</f>
        <v>103906.491853333</v>
      </c>
      <c r="W58" s="28">
        <f>W50+W54-W56</f>
        <v>107519.073453333</v>
      </c>
      <c r="X58" s="28">
        <f>X50+X54-X56</f>
        <v>116101.598653333</v>
      </c>
      <c r="Y58" s="28">
        <f>Y50+Y54-Y56</f>
        <v>124650.186053333</v>
      </c>
      <c r="Z58" s="28">
        <f>Z50+Z54-Z56</f>
        <v>132286.511253333</v>
      </c>
      <c r="AA58" s="28">
        <f>AA50+AA54-AA56</f>
        <v>134486.651053333</v>
      </c>
      <c r="AB58" s="29">
        <f>AB50+AB54-AB56</f>
        <v>1099403.13344</v>
      </c>
      <c r="AC58" s="30">
        <f>AC50+AC54-AC56</f>
        <v>3653980.9753904</v>
      </c>
      <c r="AD58" s="30">
        <f>AD50+AD54-AD56</f>
        <v>9379698.66016603</v>
      </c>
      <c r="AE58" s="30">
        <f>AE50+AE54-AE56</f>
        <v>25184897.760481</v>
      </c>
      <c r="AF58" s="28">
        <f>AF50+AF54-AF56</f>
        <v>39359391.7715774</v>
      </c>
    </row>
    <row r="59">
      <c r="A59" s="15" t="inlineStr">
        <is>
          <t>법인세등</t>
        </is>
      </c>
      <c r="B59" s="23" t="inlineStr">
        <is>
          <t>이월결손금 공제 후 산출(7_비용인력)</t>
        </is>
      </c>
      <c r="C59" s="18">
        <f>'7_비용인력'!C49</f>
        <v>0</v>
      </c>
      <c r="D59" s="18">
        <f>'7_비용인력'!D49</f>
        <v>0</v>
      </c>
      <c r="E59" s="18">
        <f>'7_비용인력'!E49</f>
        <v>0</v>
      </c>
      <c r="F59" s="18">
        <f>'7_비용인력'!F49</f>
        <v>0</v>
      </c>
      <c r="G59" s="18">
        <f>'7_비용인력'!G49</f>
        <v>0</v>
      </c>
      <c r="H59" s="18">
        <f>'7_비용인력'!H49</f>
        <v>0</v>
      </c>
      <c r="I59" s="18">
        <f>'7_비용인력'!I49</f>
        <v>0</v>
      </c>
      <c r="J59" s="18">
        <f>'7_비용인력'!J49</f>
        <v>0</v>
      </c>
      <c r="K59" s="18">
        <f>'7_비용인력'!K49</f>
        <v>0</v>
      </c>
      <c r="L59" s="18">
        <f>'7_비용인력'!L49</f>
        <v>0</v>
      </c>
      <c r="M59" s="18">
        <f>'7_비용인력'!M49</f>
        <v>0</v>
      </c>
      <c r="N59" s="18">
        <f>'7_비용인력'!N49</f>
        <v>0</v>
      </c>
      <c r="O59" s="25">
        <f>SUM(C59:N59)</f>
        <v>0</v>
      </c>
      <c r="P59" s="18">
        <f>'7_비용인력'!P49</f>
        <v>0</v>
      </c>
      <c r="Q59" s="18">
        <f>'7_비용인력'!Q49</f>
        <v>0</v>
      </c>
      <c r="R59" s="18">
        <f>'7_비용인력'!R49</f>
        <v>0</v>
      </c>
      <c r="S59" s="18">
        <f>'7_비용인력'!S49</f>
        <v>0</v>
      </c>
      <c r="T59" s="18">
        <f>'7_비용인력'!T49</f>
        <v>0</v>
      </c>
      <c r="U59" s="18">
        <f>'7_비용인력'!U49</f>
        <v>0</v>
      </c>
      <c r="V59" s="18">
        <f>'7_비용인력'!V49</f>
        <v>0</v>
      </c>
      <c r="W59" s="18">
        <f>'7_비용인력'!W49</f>
        <v>0</v>
      </c>
      <c r="X59" s="18">
        <f>'7_비용인력'!X49</f>
        <v>0</v>
      </c>
      <c r="Y59" s="18">
        <f>'7_비용인력'!Y49</f>
        <v>0</v>
      </c>
      <c r="Z59" s="18">
        <f>'7_비용인력'!Z49</f>
        <v>0</v>
      </c>
      <c r="AA59" s="18">
        <f>'7_비용인력'!AA49</f>
        <v>0</v>
      </c>
      <c r="AB59" s="25">
        <f>SUM(P59:AA59)</f>
        <v>0</v>
      </c>
      <c r="AC59" s="27">
        <f>'7_비용인력'!AC49</f>
        <v>365796.937204688</v>
      </c>
      <c r="AD59" s="27">
        <f>'7_비용인력'!AD49</f>
        <v>2041533.70523653</v>
      </c>
      <c r="AE59" s="27">
        <f>'7_비용인력'!AE49</f>
        <v>5632745.25803639</v>
      </c>
      <c r="AF59" s="24">
        <f>O59+AB59+AC59+AD59+AE59</f>
        <v>8040075.90047761</v>
      </c>
    </row>
    <row r="60">
      <c r="A60" s="34" t="inlineStr">
        <is>
          <t>당기순이익(손실)</t>
        </is>
      </c>
      <c r="C60" s="38">
        <f>C58-C59</f>
        <v>-19002.3689333333</v>
      </c>
      <c r="D60" s="38">
        <f>D58-D59</f>
        <v>-23973.5219333333</v>
      </c>
      <c r="E60" s="38">
        <f>E58-E59</f>
        <v>-15581.2941333333</v>
      </c>
      <c r="F60" s="38">
        <f>F58-F59</f>
        <v>-34721.8433333333</v>
      </c>
      <c r="G60" s="38">
        <f>G58-G59</f>
        <v>-30050.4945333333</v>
      </c>
      <c r="H60" s="38">
        <f>H58-H59</f>
        <v>-18103.8789333333</v>
      </c>
      <c r="I60" s="38">
        <f>I58-I59</f>
        <v>-33735.4317333333</v>
      </c>
      <c r="J60" s="38">
        <f>J58-J59</f>
        <v>-35953.6749333333</v>
      </c>
      <c r="K60" s="38">
        <f>K58-K59</f>
        <v>-21896.1409333333</v>
      </c>
      <c r="L60" s="38">
        <f>L58-L59</f>
        <v>34259.9946666666</v>
      </c>
      <c r="M60" s="38">
        <f>M58-M59</f>
        <v>61414.7686666667</v>
      </c>
      <c r="N60" s="38">
        <f>N58-N59</f>
        <v>178755.128166667</v>
      </c>
      <c r="O60" s="39">
        <f>O58-O59</f>
        <v>41411.2421000001</v>
      </c>
      <c r="P60" s="38">
        <f>P58-P59</f>
        <v>30451.4866533333</v>
      </c>
      <c r="Q60" s="38">
        <f>Q58-Q59</f>
        <v>33748.9342533334</v>
      </c>
      <c r="R60" s="38">
        <f>R58-R59</f>
        <v>61725.0910533334</v>
      </c>
      <c r="S60" s="38">
        <f>S58-S59</f>
        <v>76712.7068533333</v>
      </c>
      <c r="T60" s="38">
        <f>T58-T59</f>
        <v>86225.8780533333</v>
      </c>
      <c r="U60" s="38">
        <f>U58-U59</f>
        <v>91588.5242533333</v>
      </c>
      <c r="V60" s="38">
        <f>V58-V59</f>
        <v>103906.491853333</v>
      </c>
      <c r="W60" s="38">
        <f>W58-W59</f>
        <v>107519.073453333</v>
      </c>
      <c r="X60" s="38">
        <f>X58-X59</f>
        <v>116101.598653333</v>
      </c>
      <c r="Y60" s="38">
        <f>Y58-Y59</f>
        <v>124650.186053333</v>
      </c>
      <c r="Z60" s="38">
        <f>Z58-Z59</f>
        <v>132286.511253333</v>
      </c>
      <c r="AA60" s="38">
        <f>AA58-AA59</f>
        <v>134486.651053333</v>
      </c>
      <c r="AB60" s="39">
        <f>AB58-AB59</f>
        <v>1099403.13344</v>
      </c>
      <c r="AC60" s="40">
        <f>AC58-AC59</f>
        <v>3288184.03818571</v>
      </c>
      <c r="AD60" s="40">
        <f>AD58-AD59</f>
        <v>7338164.9549295</v>
      </c>
      <c r="AE60" s="40">
        <f>AE58-AE59</f>
        <v>19552152.5024446</v>
      </c>
      <c r="AF60" s="38">
        <f>AF58-AF59</f>
        <v>31319315.8710998</v>
      </c>
    </row>
    <row r="61">
      <c r="A61" s="15" t="inlineStr">
        <is>
          <t xml:space="preserve">  순이익률</t>
        </is>
      </c>
      <c r="C61" s="14">
        <f>IFERROR(C60/C19,0)</f>
        <v>-0.403730191712523</v>
      </c>
      <c r="D61" s="14">
        <f>IFERROR(D60/D19,0)</f>
        <v>-0.663351464674414</v>
      </c>
      <c r="E61" s="14">
        <f>IFERROR(E60/E19,0)</f>
        <v>-0.275999825226438</v>
      </c>
      <c r="F61" s="14">
        <f>IFERROR(F60/F19,0)</f>
        <v>-3.17529431489102</v>
      </c>
      <c r="G61" s="14">
        <f>IFERROR(G60/G19,0)</f>
        <v>-1.34652930650774</v>
      </c>
      <c r="H61" s="14">
        <f>IFERROR(H60/H19,0)</f>
        <v>-0.351852738097552</v>
      </c>
      <c r="I61" s="14">
        <f>IFERROR(I60/I19,0)</f>
        <v>-2.53383143558159</v>
      </c>
      <c r="J61" s="14">
        <f>IFERROR(J60/J19,0)</f>
        <v>-4.53616892926234</v>
      </c>
      <c r="K61" s="14">
        <f>IFERROR(K60/K19,0)</f>
        <v>-0.537605660176615</v>
      </c>
      <c r="L61" s="14">
        <f>IFERROR(L60/L19,0)</f>
        <v>0.192121097247535</v>
      </c>
      <c r="M61" s="14">
        <f>IFERROR(M60/M19,0)</f>
        <v>0.251782423198863</v>
      </c>
      <c r="N61" s="14">
        <f>IFERROR(N60/N19,0)</f>
        <v>0.362853639021565</v>
      </c>
      <c r="O61" s="31">
        <f>IFERROR(O60/O19,0)</f>
        <v>0.0344744056236301</v>
      </c>
      <c r="P61" s="14">
        <f>IFERROR(P60/P19,0)</f>
        <v>0.0623991808654586</v>
      </c>
      <c r="Q61" s="14">
        <f>IFERROR(Q60/Q19,0)</f>
        <v>0.0651360358468596</v>
      </c>
      <c r="R61" s="14">
        <f>IFERROR(R60/R19,0)</f>
        <v>0.0960561272799519</v>
      </c>
      <c r="S61" s="14">
        <f>IFERROR(S60/S19,0)</f>
        <v>0.10639617599386</v>
      </c>
      <c r="T61" s="14">
        <f>IFERROR(T60/T19,0)</f>
        <v>0.11105271109245</v>
      </c>
      <c r="U61" s="14">
        <f>IFERROR(U60/U19,0)</f>
        <v>0.112299603166526</v>
      </c>
      <c r="V61" s="14">
        <f>IFERROR(V60/V19,0)</f>
        <v>0.117542610044608</v>
      </c>
      <c r="W61" s="14">
        <f>IFERROR(W60/W19,0)</f>
        <v>0.117409407087577</v>
      </c>
      <c r="X61" s="14">
        <f>IFERROR(X60/X19,0)</f>
        <v>0.120013808792346</v>
      </c>
      <c r="Y61" s="14">
        <f>IFERROR(Y60/Y19,0)</f>
        <v>0.120168038389445</v>
      </c>
      <c r="Z61" s="14">
        <f>IFERROR(Z60/Z19,0)</f>
        <v>0.12050882250359</v>
      </c>
      <c r="AA61" s="14">
        <f>IFERROR(AA60/AA19,0)</f>
        <v>0.117861672796958</v>
      </c>
      <c r="AB61" s="31">
        <f>IFERROR(AB60/AB19,0)</f>
        <v>0.109885370658671</v>
      </c>
      <c r="AC61" s="32">
        <f>IFERROR(AC60/AC19,0)</f>
        <v>0.0996419405510822</v>
      </c>
      <c r="AD61" s="32">
        <f>IFERROR(AD60/AD19,0)</f>
        <v>0.104830927927564</v>
      </c>
      <c r="AE61" s="32">
        <f>IFERROR(AE60/AE19,0)</f>
        <v>0.125334310913106</v>
      </c>
      <c r="AF61" s="14">
        <f>IFERROR(AF60/AF19,0)</f>
        <v>0.11590893880543</v>
      </c>
    </row>
    <row r="62"/>
    <row r="63">
      <c r="A63" s="3" t="inlineStr">
        <is>
          <t>참고 지표</t>
        </is>
      </c>
    </row>
    <row r="64">
      <c r="A64" s="15" t="inlineStr">
        <is>
          <t>EBITDA(영업이익 + 감가·상각)</t>
        </is>
      </c>
      <c r="C64" s="44">
        <f>C50+C46</f>
        <v>-17267.2946</v>
      </c>
      <c r="D64" s="44">
        <f>D50+D46</f>
        <v>-21856.0026</v>
      </c>
      <c r="E64" s="44">
        <f>E50+E46</f>
        <v>-14174.7648</v>
      </c>
      <c r="F64" s="44">
        <f>F50+F46</f>
        <v>-31722.149</v>
      </c>
      <c r="G64" s="44">
        <f>G50+G46</f>
        <v>-27449.1702</v>
      </c>
      <c r="H64" s="44">
        <f>H50+H46</f>
        <v>-16522.3146</v>
      </c>
      <c r="I64" s="44">
        <f>I50+I46</f>
        <v>-30819.0024</v>
      </c>
      <c r="J64" s="44">
        <f>J50+J46</f>
        <v>-32848.6656</v>
      </c>
      <c r="K64" s="44">
        <f>K50+K46</f>
        <v>-19939.2366</v>
      </c>
      <c r="L64" s="44">
        <f>L50+L46</f>
        <v>31401.039</v>
      </c>
      <c r="M64" s="44">
        <f>M50+M46</f>
        <v>56259.988</v>
      </c>
      <c r="N64" s="44">
        <f>N50+N46</f>
        <v>164895.2525</v>
      </c>
      <c r="O64" s="45">
        <f>O50+O46</f>
        <v>39957.6791000001</v>
      </c>
      <c r="P64" s="44">
        <f>P50+P46</f>
        <v>48180.90332</v>
      </c>
      <c r="Q64" s="44">
        <f>Q50+Q46</f>
        <v>51478.35092</v>
      </c>
      <c r="R64" s="44">
        <f>R50+R46</f>
        <v>79454.5077200001</v>
      </c>
      <c r="S64" s="44">
        <f>S50+S46</f>
        <v>94442.12352</v>
      </c>
      <c r="T64" s="44">
        <f>T50+T46</f>
        <v>103955.29472</v>
      </c>
      <c r="U64" s="44">
        <f>U50+U46</f>
        <v>109317.94092</v>
      </c>
      <c r="V64" s="44">
        <f>V50+V46</f>
        <v>121635.90852</v>
      </c>
      <c r="W64" s="44">
        <f>W50+W46</f>
        <v>125248.49012</v>
      </c>
      <c r="X64" s="44">
        <f>X50+X46</f>
        <v>133831.01532</v>
      </c>
      <c r="Y64" s="44">
        <f>Y50+Y46</f>
        <v>142379.60272</v>
      </c>
      <c r="Z64" s="44">
        <f>Z50+Z46</f>
        <v>150015.92792</v>
      </c>
      <c r="AA64" s="44">
        <f>AA50+AA46</f>
        <v>152216.06772</v>
      </c>
      <c r="AB64" s="45">
        <f>AB50+AB46</f>
        <v>1312156.13344</v>
      </c>
      <c r="AC64" s="46">
        <f>AC50+AC46</f>
        <v>4274049.3787184</v>
      </c>
      <c r="AD64" s="46">
        <f>AD50+AD46</f>
        <v>10353578.8479225</v>
      </c>
      <c r="AE64" s="46">
        <f>AE50+AE46</f>
        <v>26493291.6940867</v>
      </c>
      <c r="AF64" s="44">
        <f>AF50+AF46</f>
        <v>42473033.7332676</v>
      </c>
    </row>
    <row r="65">
      <c r="A65" s="15" t="inlineStr">
        <is>
          <t xml:space="preserve">  EBITDA 마진</t>
        </is>
      </c>
      <c r="C65" s="14">
        <f>IFERROR(C64/C19,0)</f>
        <v>-0.366866267236068</v>
      </c>
      <c r="D65" s="14">
        <f>IFERROR(D64/D19,0)</f>
        <v>-0.604759341449917</v>
      </c>
      <c r="E65" s="14">
        <f>IFERROR(E64/E19,0)</f>
        <v>-0.251085216282283</v>
      </c>
      <c r="F65" s="14">
        <f>IFERROR(F64/F19,0)</f>
        <v>-2.90097384545039</v>
      </c>
      <c r="G65" s="14">
        <f>IFERROR(G64/G19,0)</f>
        <v>-1.22996685038312</v>
      </c>
      <c r="H65" s="14">
        <f>IFERROR(H64/H19,0)</f>
        <v>-0.321114698851379</v>
      </c>
      <c r="I65" s="14">
        <f>IFERROR(I64/I19,0)</f>
        <v>-2.31478161333934</v>
      </c>
      <c r="J65" s="14">
        <f>IFERROR(J64/J19,0)</f>
        <v>-4.14441907645723</v>
      </c>
      <c r="K65" s="14">
        <f>IFERROR(K64/K19,0)</f>
        <v>-0.489558707554814</v>
      </c>
      <c r="L65" s="14">
        <f>IFERROR(L64/L19,0)</f>
        <v>0.176088820972943</v>
      </c>
      <c r="M65" s="14">
        <f>IFERROR(M64/M19,0)</f>
        <v>0.230649344047229</v>
      </c>
      <c r="N65" s="14">
        <f>IFERROR(N64/N19,0)</f>
        <v>0.334719585617808</v>
      </c>
      <c r="O65" s="31">
        <f>IFERROR(O64/O19,0)</f>
        <v>0.0332643303416452</v>
      </c>
      <c r="P65" s="14">
        <f>IFERROR(P64/P19,0)</f>
        <v>0.0987291338105084</v>
      </c>
      <c r="Q65" s="14">
        <f>IFERROR(Q64/Q19,0)</f>
        <v>0.0993541213981048</v>
      </c>
      <c r="R65" s="14">
        <f>IFERROR(R64/R19,0)</f>
        <v>0.123646513537319</v>
      </c>
      <c r="S65" s="14">
        <f>IFERROR(S64/S19,0)</f>
        <v>0.130985871929654</v>
      </c>
      <c r="T65" s="14">
        <f>IFERROR(T64/T19,0)</f>
        <v>0.133886920860696</v>
      </c>
      <c r="U65" s="14">
        <f>IFERROR(U64/U19,0)</f>
        <v>0.134038204943028</v>
      </c>
      <c r="V65" s="14">
        <f>IFERROR(V64/V19,0)</f>
        <v>0.137598738130522</v>
      </c>
      <c r="W65" s="14">
        <f>IFERROR(W64/W19,0)</f>
        <v>0.136769695750643</v>
      </c>
      <c r="X65" s="14">
        <f>IFERROR(X64/X19,0)</f>
        <v>0.138340643620749</v>
      </c>
      <c r="Y65" s="14">
        <f>IFERROR(Y64/Y19,0)</f>
        <v>0.137259944066272</v>
      </c>
      <c r="Z65" s="14">
        <f>IFERROR(Z64/Z19,0)</f>
        <v>0.136659759631896</v>
      </c>
      <c r="AA65" s="14">
        <f>IFERROR(AA64/AA19,0)</f>
        <v>0.133399413455092</v>
      </c>
      <c r="AB65" s="31">
        <f>IFERROR(AB64/AB19,0)</f>
        <v>0.131150038324838</v>
      </c>
      <c r="AC65" s="32">
        <f>IFERROR(AC64/AC19,0)</f>
        <v>0.129516647839951</v>
      </c>
      <c r="AD65" s="32">
        <f>IFERROR(AD64/AD19,0)</f>
        <v>0.147908269256036</v>
      </c>
      <c r="AE65" s="32">
        <f>IFERROR(AE64/AE19,0)</f>
        <v>0.169828792910812</v>
      </c>
      <c r="AF65" s="14">
        <f>IFERROR(AF64/AF19,0)</f>
        <v>0.157187477789483</v>
      </c>
    </row>
    <row r="66">
      <c r="A66" s="15" t="inlineStr">
        <is>
          <t>인원(기말, 명)</t>
        </is>
      </c>
      <c r="B66" s="23" t="inlineStr">
        <is>
          <t>7_비용인력</t>
        </is>
      </c>
      <c r="C66" s="17">
        <f>'7_비용인력'!C14</f>
        <v>7</v>
      </c>
      <c r="D66" s="17">
        <f>'7_비용인력'!D14</f>
        <v>7</v>
      </c>
      <c r="E66" s="17">
        <f>'7_비용인력'!E14</f>
        <v>7</v>
      </c>
      <c r="F66" s="17">
        <f>'7_비용인력'!F14</f>
        <v>7</v>
      </c>
      <c r="G66" s="17">
        <f>'7_비용인력'!G14</f>
        <v>7</v>
      </c>
      <c r="H66" s="17">
        <f>'7_비용인력'!H14</f>
        <v>7</v>
      </c>
      <c r="I66" s="17">
        <f>'7_비용인력'!I14</f>
        <v>7</v>
      </c>
      <c r="J66" s="17">
        <f>'7_비용인력'!J14</f>
        <v>7</v>
      </c>
      <c r="K66" s="17">
        <f>'7_비용인력'!K14</f>
        <v>7</v>
      </c>
      <c r="L66" s="17">
        <f>'7_비용인력'!L14</f>
        <v>7</v>
      </c>
      <c r="M66" s="17">
        <f>'7_비용인력'!M14</f>
        <v>7</v>
      </c>
      <c r="N66" s="17">
        <f>'7_비용인력'!N14</f>
        <v>7</v>
      </c>
      <c r="O66" s="47">
        <f>'7_비용인력'!O14</f>
        <v>7</v>
      </c>
      <c r="P66" s="17">
        <f>'7_비용인력'!P14</f>
        <v>8</v>
      </c>
      <c r="Q66" s="17">
        <f>'7_비용인력'!Q14</f>
        <v>9</v>
      </c>
      <c r="R66" s="17">
        <f>'7_비용인력'!R14</f>
        <v>10</v>
      </c>
      <c r="S66" s="17">
        <f>'7_비용인력'!S14</f>
        <v>11</v>
      </c>
      <c r="T66" s="17">
        <f>'7_비용인력'!T14</f>
        <v>12</v>
      </c>
      <c r="U66" s="17">
        <f>'7_비용인력'!U14</f>
        <v>13</v>
      </c>
      <c r="V66" s="17">
        <f>'7_비용인력'!V14</f>
        <v>14</v>
      </c>
      <c r="W66" s="17">
        <f>'7_비용인력'!W14</f>
        <v>15</v>
      </c>
      <c r="X66" s="17">
        <f>'7_비용인력'!X14</f>
        <v>16</v>
      </c>
      <c r="Y66" s="17">
        <f>'7_비용인력'!Y14</f>
        <v>18</v>
      </c>
      <c r="Z66" s="17">
        <f>'7_비용인력'!Z14</f>
        <v>20</v>
      </c>
      <c r="AA66" s="17">
        <f>'7_비용인력'!AA14</f>
        <v>22</v>
      </c>
      <c r="AB66" s="47">
        <f>'7_비용인력'!AB14</f>
        <v>22</v>
      </c>
      <c r="AC66" s="48">
        <f>'7_비용인력'!AC14</f>
        <v>85</v>
      </c>
      <c r="AD66" s="48">
        <f>'7_비용인력'!AD14</f>
        <v>130</v>
      </c>
      <c r="AE66" s="48">
        <f>'7_비용인력'!AE14</f>
        <v>260</v>
      </c>
    </row>
    <row r="67">
      <c r="A67" s="15" t="inlineStr">
        <is>
          <t>인당 매출(백만원, 평균 인원 기준)</t>
        </is>
      </c>
      <c r="B67" s="23" t="inlineStr">
        <is>
          <t>연 매출 ÷ 평균 인원</t>
        </is>
      </c>
      <c r="O67" s="47">
        <f>IFERROR(O19/1000/'7_비용인력'!O15,0)</f>
        <v>171.602428571429</v>
      </c>
      <c r="AB67" s="47">
        <f>IFERROR(AB19/1000/'7_비용인력'!AB15,0)</f>
        <v>714.642857142857</v>
      </c>
      <c r="AC67" s="48">
        <f>IFERROR(AC19/1000/'7_비용인력'!AC15,0)</f>
        <v>616.822429906542</v>
      </c>
      <c r="AD67" s="48">
        <f>IFERROR(AD19/1000/'7_비용인력'!AD15,0)</f>
        <v>651.162790697674</v>
      </c>
      <c r="AE67" s="48">
        <f>IFERROR(AE19/1000/'7_비용인력'!AE15,0)</f>
        <v>800</v>
      </c>
    </row>
    <row r="68">
      <c r="A68" s="15" t="inlineStr">
        <is>
          <t>추정 유료 이용자(명, 평균)</t>
        </is>
      </c>
      <c r="B68" s="23" t="inlineStr">
        <is>
          <t>구독형 매출 ÷ ARPU(120만원)</t>
        </is>
      </c>
      <c r="C68" s="18">
        <f>'5_매출_제품지역'!C58</f>
        <v>470.67</v>
      </c>
      <c r="D68" s="18">
        <f>'5_매출_제품지역'!D58</f>
        <v>361.4</v>
      </c>
      <c r="E68" s="18">
        <f>'5_매출_제품지역'!E58</f>
        <v>564.54</v>
      </c>
      <c r="F68" s="18">
        <f>'5_매출_제품지역'!F58</f>
        <v>109.35</v>
      </c>
      <c r="G68" s="18">
        <f>'5_매출_제품지역'!G58</f>
        <v>223.17</v>
      </c>
      <c r="H68" s="18">
        <f>'5_매출_제품지역'!H58</f>
        <v>514.53</v>
      </c>
      <c r="I68" s="18">
        <f>'5_매출_제품지역'!I58</f>
        <v>133.14</v>
      </c>
      <c r="J68" s="18">
        <f>'5_매출_제품지역'!J58</f>
        <v>79.26</v>
      </c>
      <c r="K68" s="18">
        <f>'5_매출_제품지역'!K58</f>
        <v>407.29</v>
      </c>
      <c r="L68" s="18">
        <f>'5_매출_제품지역'!L58</f>
        <v>1547</v>
      </c>
      <c r="M68" s="18">
        <f>'5_매출_제품지역'!M58</f>
        <v>2162.95</v>
      </c>
      <c r="N68" s="18">
        <f>'5_매출_제품지역'!N58</f>
        <v>4642.9345</v>
      </c>
      <c r="O68" s="49">
        <f>'5_매출_제품지역'!AA58</f>
        <v>934.686208333333</v>
      </c>
      <c r="P68" s="18">
        <f>'5_매출_제품지역'!O58</f>
        <v>4725.3064</v>
      </c>
      <c r="Q68" s="18">
        <f>'5_매출_제품지역'!P58</f>
        <v>5004.8161</v>
      </c>
      <c r="R68" s="18">
        <f>'5_매출_제품지역'!Q58</f>
        <v>6082.2382</v>
      </c>
      <c r="S68" s="18">
        <f>'5_매출_제품지역'!R58</f>
        <v>6800.4863</v>
      </c>
      <c r="T68" s="18">
        <f>'5_매출_제품지역'!S58</f>
        <v>7308.4137</v>
      </c>
      <c r="U68" s="18">
        <f>'5_매출_제품지역'!T58</f>
        <v>7671.4031</v>
      </c>
      <c r="V68" s="18">
        <f>'5_매출_제품지역'!U58</f>
        <v>8325.2483</v>
      </c>
      <c r="W68" s="18">
        <f>'5_매출_제품지역'!V58</f>
        <v>8613.4945</v>
      </c>
      <c r="X68" s="18">
        <f>'5_매출_제품지역'!W58</f>
        <v>9077.9204</v>
      </c>
      <c r="Y68" s="18">
        <f>'5_매출_제품지역'!X58</f>
        <v>9736.7417</v>
      </c>
      <c r="Z68" s="18">
        <f>'5_매출_제품지역'!Y58</f>
        <v>10272.6691</v>
      </c>
      <c r="AA68" s="18">
        <f>'5_매출_제품지역'!Z58</f>
        <v>10664.0622</v>
      </c>
      <c r="AB68" s="49">
        <f>'5_매출_제품지역'!AB58</f>
        <v>7856.9</v>
      </c>
      <c r="AC68" s="27">
        <f>'5_매출_제품지역'!AC58</f>
        <v>24986.2098666667</v>
      </c>
      <c r="AD68" s="27">
        <f>'5_매출_제품지역'!AD58</f>
        <v>50165.5202333333</v>
      </c>
      <c r="AE68" s="27">
        <f>'5_매출_제품지역'!AE58</f>
        <v>105594.409623467</v>
      </c>
    </row>
    <row r="69">
      <c r="A69" s="15" t="inlineStr">
        <is>
          <t>IR 매출 목표</t>
        </is>
      </c>
      <c r="B69" s="23" t="inlineStr">
        <is>
          <t>IR p.24</t>
        </is>
      </c>
      <c r="O69" s="49">
        <f>'8_가정'!$C$6</f>
        <v>1200000</v>
      </c>
      <c r="AB69" s="49">
        <f>'8_가정'!$D$6</f>
        <v>10005000</v>
      </c>
      <c r="AC69" s="27">
        <f>'8_가정'!$E$6</f>
        <v>33000000</v>
      </c>
      <c r="AD69" s="27">
        <f>'8_가정'!$F$6</f>
        <v>70000000</v>
      </c>
      <c r="AE69" s="27">
        <f>'8_가정'!$G$6</f>
        <v>156000000</v>
      </c>
      <c r="AF69" s="24">
        <f>O69+AB69+AC69+AD69+AE69</f>
        <v>270205000</v>
      </c>
    </row>
    <row r="70">
      <c r="A70" s="15" t="inlineStr">
        <is>
          <t>IR 대비 달성률</t>
        </is>
      </c>
      <c r="O70" s="50">
        <f>IFERROR(O19/O69,0)</f>
        <v>1.00101416666667</v>
      </c>
      <c r="AB70" s="50">
        <f>IFERROR(AB19/AB69,0)</f>
        <v>1</v>
      </c>
      <c r="AC70" s="51">
        <f>IFERROR(AC19/AC69,0)</f>
        <v>1</v>
      </c>
      <c r="AD70" s="51">
        <f>IFERROR(AD19/AD69,0)</f>
        <v>1</v>
      </c>
      <c r="AE70" s="51">
        <f>IFERROR(AE19/AE69,0)</f>
        <v>1</v>
      </c>
      <c r="AF70" s="52">
        <f>IFERROR(AF19/AF69,0)</f>
        <v>1.00000450398771</v>
      </c>
    </row>
    <row r="71"/>
    <row r="72">
      <c r="A72" s="53" t="inlineStr">
        <is>
          <t>※ 매출액 = 베이비 매출 + 엘더리 매출(각 제품별 내역은 거래처별 빌드 4_매출_거래처 × 제품 믹스 8_가정). 매출액 = 4번 시트 B합계(검증 행 참조).</t>
        </is>
      </c>
    </row>
    <row r="73">
      <c r="A73" s="53" t="inlineStr">
        <is>
          <t>※ 2026-01~09 매출은 거래처 매출표 실적(잠정), 10~12월은 확정·예상 발주이며, 2026 비용은 추정치입니다(회계 마감 시 실적으로 교체). 2027~2030은 IR 매출 목표와 일치하는 계획.</t>
        </is>
      </c>
    </row>
    <row r="74">
      <c r="A74" s="53" t="inlineStr">
        <is>
          <t>※ 매출원가는 제품별 원가율 + 운영성 원가, 판관비는 인원·변동비율·고정비로 산출(7_비용인력·8_가정).</t>
        </is>
      </c>
    </row>
    <row r="75">
      <c r="A75" s="53" t="inlineStr">
        <is>
          <t>※ 천원 미만 단수 처리로 표시된 항목 합계와 소계·이익이 ±1천원 차이날 수 있습니다(내부 계산값은 정확히 일치).</t>
        </is>
      </c>
    </row>
    <row r="76">
      <c r="A76" s="53" t="inlineStr">
        <is>
          <t>※ 신제품(P4·P5) 매출은 연 단위 제품 믹스로 배분되어, 출시 분기 이전 월에도 사전 예약·PoC 물량이 배분됩니다.</t>
        </is>
      </c>
    </row>
    <row r="77">
      <c r="A77" s="53" t="inlineStr">
        <is>
          <t>※ 2026 비용은 연간 추정치를 월 균등 배분했고 매출은 4분기에 집중되어 2026 Q4 월 영업이익률이 일시적으로 높게 표시됩니다. 2027-01부터 원가율(소모품 비중 확대), 기존 개발비 상각 개시, 해외 거점 임차·출장 확대, 개발비 자본화율 하향(40%→20%)이 함께 적용되므로 손익은 연간 기준으로 해석하십시오.</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1F3864"/>
    <outlinePr summaryBelow="1" summaryRight="1"/>
    <pageSetUpPr fitToPage="1"/>
  </sheetPr>
  <dimension ref="A1:I7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3_연간손익 — 2024A~2030E 연간 요약</t>
        </is>
      </c>
    </row>
    <row r="2">
      <c r="A2" s="2" t="inlineStr">
        <is>
          <t>단위: 천원. 2024·2025 = 투자사 양식 IS(2025 감사보고서, 효림회계법인 적정의견), 2026E~ = 손익계산서 시트(선택 시나리오).</t>
        </is>
      </c>
    </row>
    <row r="3"/>
    <row r="4"/>
    <row r="5">
      <c r="A5" s="21" t="inlineStr">
        <is>
          <t>구분</t>
        </is>
      </c>
      <c r="B5" s="11" t="inlineStr">
        <is>
          <t>2024A</t>
        </is>
      </c>
      <c r="C5" s="11" t="inlineStr">
        <is>
          <t>2025A</t>
        </is>
      </c>
      <c r="D5" s="11" t="inlineStr">
        <is>
          <t>2026E</t>
        </is>
      </c>
      <c r="E5" s="11" t="inlineStr">
        <is>
          <t>2027E</t>
        </is>
      </c>
      <c r="F5" s="11" t="inlineStr">
        <is>
          <t>2028E</t>
        </is>
      </c>
      <c r="G5" s="11" t="inlineStr">
        <is>
          <t>2029E</t>
        </is>
      </c>
      <c r="H5" s="11" t="inlineStr">
        <is>
          <t>2030E</t>
        </is>
      </c>
      <c r="I5" s="11" t="inlineStr">
        <is>
          <t>CAGR('25~'30)</t>
        </is>
      </c>
    </row>
    <row r="6">
      <c r="A6" s="22" t="inlineStr"/>
      <c r="B6" s="22" t="inlineStr">
        <is>
          <t>실적</t>
        </is>
      </c>
      <c r="C6" s="22" t="inlineStr">
        <is>
          <t>실적</t>
        </is>
      </c>
      <c r="D6" s="22" t="inlineStr">
        <is>
          <t>잠정+계획</t>
        </is>
      </c>
      <c r="E6" s="22" t="inlineStr">
        <is>
          <t>계획</t>
        </is>
      </c>
      <c r="F6" s="22" t="inlineStr">
        <is>
          <t>계획</t>
        </is>
      </c>
      <c r="G6" s="22" t="inlineStr">
        <is>
          <t>계획</t>
        </is>
      </c>
      <c r="H6" s="22" t="inlineStr">
        <is>
          <t>계획</t>
        </is>
      </c>
      <c r="I6" s="22" t="inlineStr"/>
    </row>
    <row r="7">
      <c r="A7" s="12" t="inlineStr">
        <is>
          <t>매출액</t>
        </is>
      </c>
      <c r="B7" s="54" t="n">
        <v>810523.323</v>
      </c>
      <c r="C7" s="54" t="n">
        <v>854163.091</v>
      </c>
      <c r="D7" s="37">
        <f>'2_손익계산서'!O19</f>
        <v>1201217</v>
      </c>
      <c r="E7" s="37">
        <f>'2_손익계산서'!AB19</f>
        <v>10005000</v>
      </c>
      <c r="F7" s="37">
        <f>'2_손익계산서'!AC19</f>
        <v>33000000</v>
      </c>
      <c r="G7" s="37">
        <f>'2_손익계산서'!AD19</f>
        <v>70000000</v>
      </c>
      <c r="H7" s="37">
        <f>'2_손익계산서'!AE19</f>
        <v>156000000</v>
      </c>
      <c r="I7" s="14">
        <f>IFERROR((H7/C7)^(1/5)-1,"n/a")</f>
        <v>1.83345786870168</v>
      </c>
    </row>
    <row r="8">
      <c r="A8" s="55" t="inlineStr">
        <is>
          <t xml:space="preserve">  전년 대비 성장률</t>
        </is>
      </c>
      <c r="C8" s="14">
        <f>C7/B7-1</f>
        <v>0.0538414710121797</v>
      </c>
      <c r="D8" s="14">
        <f>IFERROR(D7/C7-1,0)</f>
        <v>0.40630871628238</v>
      </c>
      <c r="E8" s="14">
        <f>IFERROR(E7/D7-1,0)</f>
        <v>7.32905295213105</v>
      </c>
      <c r="F8" s="14">
        <f>IFERROR(F7/E7-1,0)</f>
        <v>2.29835082458771</v>
      </c>
      <c r="G8" s="14">
        <f>IFERROR(G7/F7-1,0)</f>
        <v>1.12121212121212</v>
      </c>
      <c r="H8" s="14">
        <f>IFERROR(H7/G7-1,0)</f>
        <v>1.22857142857143</v>
      </c>
    </row>
    <row r="9">
      <c r="A9" s="15" t="inlineStr">
        <is>
          <t>매출원가</t>
        </is>
      </c>
      <c r="B9" s="56" t="n">
        <v>333442.717</v>
      </c>
      <c r="C9" s="56" t="n">
        <v>400727.704</v>
      </c>
      <c r="D9" s="18">
        <f>'2_손익계산서'!O33</f>
        <v>601601.0529</v>
      </c>
      <c r="E9" s="18">
        <f>'2_손익계산서'!AB33</f>
        <v>6025785.8</v>
      </c>
      <c r="F9" s="18">
        <f>'2_손익계산서'!AC33</f>
        <v>19910420.322</v>
      </c>
      <c r="G9" s="18">
        <f>'2_손익계산서'!AD33</f>
        <v>42027615.2964</v>
      </c>
      <c r="H9" s="18">
        <f>'2_손익계산서'!AE33</f>
        <v>92164506.8755984</v>
      </c>
    </row>
    <row r="10">
      <c r="A10" s="34" t="inlineStr">
        <is>
          <t>매출총이익</t>
        </is>
      </c>
      <c r="B10" s="35">
        <f>B7-B9</f>
        <v>477080.606</v>
      </c>
      <c r="C10" s="35">
        <f>C7-C9</f>
        <v>453435.387</v>
      </c>
      <c r="D10" s="35">
        <f>D7-D9</f>
        <v>599615.9471</v>
      </c>
      <c r="E10" s="35">
        <f>E7-E9</f>
        <v>3979214.2</v>
      </c>
      <c r="F10" s="35">
        <f>F7-F9</f>
        <v>13089579.678</v>
      </c>
      <c r="G10" s="35">
        <f>G7-G9</f>
        <v>27972384.7036</v>
      </c>
      <c r="H10" s="35">
        <f>H7-H9</f>
        <v>63835493.1244016</v>
      </c>
      <c r="I10" s="14">
        <f>IFERROR((H10/C10)^(1/5)-1,"n/a")</f>
        <v>1.68973417766799</v>
      </c>
    </row>
    <row r="11">
      <c r="A11" s="55" t="inlineStr">
        <is>
          <t xml:space="preserve">  매출총이익률</t>
        </is>
      </c>
      <c r="B11" s="14">
        <f>IFERROR(B10/B7,0)</f>
        <v>0.588608115845668</v>
      </c>
      <c r="C11" s="14">
        <f>IFERROR(C10/C7,0)</f>
        <v>0.530853407010535</v>
      </c>
      <c r="D11" s="14">
        <f>IFERROR(D10/D7,0)</f>
        <v>0.499173710578522</v>
      </c>
      <c r="E11" s="14">
        <f>IFERROR(E10/E7,0)</f>
        <v>0.39772255872064</v>
      </c>
      <c r="F11" s="14">
        <f>IFERROR(F10/F7,0)</f>
        <v>0.396653929636364</v>
      </c>
      <c r="G11" s="14">
        <f>IFERROR(G10/G7,0)</f>
        <v>0.399605495765714</v>
      </c>
      <c r="H11" s="14">
        <f>IFERROR(H10/H7,0)</f>
        <v>0.409201879002574</v>
      </c>
    </row>
    <row r="12">
      <c r="A12" s="15" t="inlineStr">
        <is>
          <t>판매비와관리비</t>
        </is>
      </c>
      <c r="B12" s="56" t="n">
        <v>506844.642</v>
      </c>
      <c r="C12" s="56" t="n">
        <v>426639.596</v>
      </c>
      <c r="D12" s="18">
        <f>'2_손익계산서'!O49</f>
        <v>577658.268</v>
      </c>
      <c r="E12" s="18">
        <f>'2_손익계산서'!AB49</f>
        <v>3103011.06656</v>
      </c>
      <c r="F12" s="18">
        <f>'2_손익계산서'!AC49</f>
        <v>9343598.7026096</v>
      </c>
      <c r="G12" s="18">
        <f>'2_손익계산서'!AD49</f>
        <v>18308686.043434</v>
      </c>
      <c r="H12" s="18">
        <f>'2_손익계산서'!AE49</f>
        <v>38222595.3639206</v>
      </c>
    </row>
    <row r="13">
      <c r="A13" s="34" t="inlineStr">
        <is>
          <t>영업이익(손실)</t>
        </is>
      </c>
      <c r="B13" s="38">
        <f>B10-B12</f>
        <v>-29764.036</v>
      </c>
      <c r="C13" s="38">
        <f>C10-C12</f>
        <v>26795.791</v>
      </c>
      <c r="D13" s="38">
        <f>D10-D12</f>
        <v>21957.6791000001</v>
      </c>
      <c r="E13" s="38">
        <f>E10-E12</f>
        <v>876203.13344</v>
      </c>
      <c r="F13" s="38">
        <f>F10-F12</f>
        <v>3745980.9753904</v>
      </c>
      <c r="G13" s="38">
        <f>G10-G12</f>
        <v>9663698.66016603</v>
      </c>
      <c r="H13" s="38">
        <f>H10-H12</f>
        <v>25612897.760481</v>
      </c>
      <c r="I13" s="14">
        <f>IFERROR((H13/C13)^(1/5)-1,"n/a")</f>
        <v>2.94528541366021</v>
      </c>
    </row>
    <row r="14">
      <c r="A14" s="55" t="inlineStr">
        <is>
          <t xml:space="preserve">  영업이익률</t>
        </is>
      </c>
      <c r="B14" s="14">
        <f>IFERROR(B13/B7,0)</f>
        <v>-0.0367219981898041</v>
      </c>
      <c r="C14" s="14">
        <f>IFERROR(C13/C7,0)</f>
        <v>0.0313708134691575</v>
      </c>
      <c r="D14" s="14">
        <f>IFERROR(D13/D7,0)</f>
        <v>0.0182795274292655</v>
      </c>
      <c r="E14" s="14">
        <f>IFERROR(E13/E7,0)</f>
        <v>0.0875765250814593</v>
      </c>
      <c r="F14" s="14">
        <f>IFERROR(F13/F7,0)</f>
        <v>0.11351457501183</v>
      </c>
      <c r="G14" s="14">
        <f>IFERROR(G13/G7,0)</f>
        <v>0.138052838002372</v>
      </c>
      <c r="H14" s="14">
        <f>IFERROR(H13/H7,0)</f>
        <v>0.164185242054365</v>
      </c>
    </row>
    <row r="15">
      <c r="A15" s="15" t="inlineStr">
        <is>
          <t>영업외수익</t>
        </is>
      </c>
      <c r="B15" s="56" t="n">
        <v>99422.60000000001</v>
      </c>
      <c r="C15" s="56" t="n">
        <v>35830.08</v>
      </c>
      <c r="D15" s="18">
        <f>'2_손익계산서'!O54</f>
        <v>77042.595</v>
      </c>
      <c r="E15" s="18">
        <f>'2_손익계산서'!AB54</f>
        <v>300000</v>
      </c>
      <c r="F15" s="18">
        <f>'2_손익계산서'!AC54</f>
        <v>100000</v>
      </c>
      <c r="G15" s="18">
        <f>'2_손익계산서'!AD54</f>
        <v>100000</v>
      </c>
      <c r="H15" s="18">
        <f>'2_손익계산서'!AE54</f>
        <v>100000</v>
      </c>
    </row>
    <row r="16">
      <c r="A16" s="55" t="inlineStr">
        <is>
          <t xml:space="preserve">  (정부보조금수익)</t>
        </is>
      </c>
      <c r="B16" s="57" t="n">
        <v>88251.93799999999</v>
      </c>
      <c r="C16" s="57" t="n">
        <v>30520.905</v>
      </c>
      <c r="D16" s="41">
        <f>'2_손익계산서'!O55</f>
        <v>77042.595</v>
      </c>
      <c r="E16" s="41">
        <f>'2_손익계산서'!AB55</f>
        <v>300000</v>
      </c>
      <c r="F16" s="41">
        <f>'2_손익계산서'!AC55</f>
        <v>100000</v>
      </c>
      <c r="G16" s="41">
        <f>'2_손익계산서'!AD55</f>
        <v>100000</v>
      </c>
      <c r="H16" s="41">
        <f>'2_손익계산서'!AE55</f>
        <v>100000</v>
      </c>
    </row>
    <row r="17">
      <c r="A17" s="15" t="inlineStr">
        <is>
          <t>영업외비용</t>
        </is>
      </c>
      <c r="B17" s="56" t="n">
        <v>62966.483</v>
      </c>
      <c r="C17" s="56" t="n">
        <v>57458.686</v>
      </c>
      <c r="D17" s="18">
        <f>'2_손익계산서'!O56</f>
        <v>57589.032</v>
      </c>
      <c r="E17" s="18">
        <f>'2_손익계산서'!AB56</f>
        <v>76800</v>
      </c>
      <c r="F17" s="18">
        <f>'2_손익계산서'!AC56</f>
        <v>192000</v>
      </c>
      <c r="G17" s="18">
        <f>'2_손익계산서'!AD56</f>
        <v>384000</v>
      </c>
      <c r="H17" s="18">
        <f>'2_손익계산서'!AE56</f>
        <v>528000</v>
      </c>
    </row>
    <row r="18">
      <c r="A18" s="55" t="inlineStr">
        <is>
          <t xml:space="preserve">  (이자비용)</t>
        </is>
      </c>
      <c r="B18" s="57" t="n">
        <v>47544.865</v>
      </c>
      <c r="C18" s="57" t="n">
        <v>49788.161</v>
      </c>
      <c r="D18" s="41">
        <f>'2_손익계산서'!O57</f>
        <v>57589.032</v>
      </c>
      <c r="E18" s="41">
        <f>'2_손익계산서'!AB57</f>
        <v>76800</v>
      </c>
      <c r="F18" s="41">
        <f>'2_손익계산서'!AC57</f>
        <v>192000</v>
      </c>
      <c r="G18" s="41">
        <f>'2_손익계산서'!AD57</f>
        <v>384000</v>
      </c>
      <c r="H18" s="41">
        <f>'2_손익계산서'!AE57</f>
        <v>528000</v>
      </c>
    </row>
    <row r="19">
      <c r="A19" s="12" t="inlineStr">
        <is>
          <t>법인세차감전순이익</t>
        </is>
      </c>
      <c r="B19" s="24">
        <f>B13+B15-B17</f>
        <v>6692.08099999998</v>
      </c>
      <c r="C19" s="24">
        <f>C13+C15-C17</f>
        <v>5167.18499999997</v>
      </c>
      <c r="D19" s="24">
        <f>D13+D15-D17</f>
        <v>41411.2421000001</v>
      </c>
      <c r="E19" s="24">
        <f>E13+E15-E17</f>
        <v>1099403.13344</v>
      </c>
      <c r="F19" s="24">
        <f>F13+F15-F17</f>
        <v>3653980.9753904</v>
      </c>
      <c r="G19" s="24">
        <f>G13+G15-G17</f>
        <v>9379698.66016603</v>
      </c>
      <c r="H19" s="24">
        <f>H13+H15-H17</f>
        <v>25184897.760481</v>
      </c>
    </row>
    <row r="20">
      <c r="A20" s="15" t="inlineStr">
        <is>
          <t>법인세등</t>
        </is>
      </c>
      <c r="B20" s="56" t="n">
        <v>0</v>
      </c>
      <c r="C20" s="56" t="n">
        <v>0</v>
      </c>
      <c r="D20" s="18">
        <f>'2_손익계산서'!O59</f>
        <v>0</v>
      </c>
      <c r="E20" s="18">
        <f>'2_손익계산서'!AB59</f>
        <v>0</v>
      </c>
      <c r="F20" s="18">
        <f>'2_손익계산서'!AC59</f>
        <v>365796.937204688</v>
      </c>
      <c r="G20" s="18">
        <f>'2_손익계산서'!AD59</f>
        <v>2041533.70523653</v>
      </c>
      <c r="H20" s="18">
        <f>'2_손익계산서'!AE59</f>
        <v>5632745.25803639</v>
      </c>
    </row>
    <row r="21">
      <c r="A21" s="34" t="inlineStr">
        <is>
          <t>당기순이익(손실)</t>
        </is>
      </c>
      <c r="B21" s="38">
        <f>B19-B20</f>
        <v>6692.08099999998</v>
      </c>
      <c r="C21" s="38">
        <f>C19-C20</f>
        <v>5167.18499999997</v>
      </c>
      <c r="D21" s="38">
        <f>D19-D20</f>
        <v>41411.2421000001</v>
      </c>
      <c r="E21" s="38">
        <f>E19-E20</f>
        <v>1099403.13344</v>
      </c>
      <c r="F21" s="38">
        <f>F19-F20</f>
        <v>3288184.03818571</v>
      </c>
      <c r="G21" s="38">
        <f>G19-G20</f>
        <v>7338164.9549295</v>
      </c>
      <c r="H21" s="38">
        <f>H19-H20</f>
        <v>19552152.5024446</v>
      </c>
      <c r="I21" s="14">
        <f>IFERROR((H21/C21)^(1/5)-1,"n/a")</f>
        <v>4.19503063627064</v>
      </c>
    </row>
    <row r="22">
      <c r="A22" s="55" t="inlineStr">
        <is>
          <t xml:space="preserve">  순이익률</t>
        </is>
      </c>
      <c r="B22" s="14">
        <f>IFERROR(B21/B7,0)</f>
        <v>0.00825649405772866</v>
      </c>
      <c r="C22" s="14">
        <f>IFERROR(C21/C7,0)</f>
        <v>0.00604941264079973</v>
      </c>
      <c r="D22" s="14">
        <f>IFERROR(D21/D7,0)</f>
        <v>0.0344744056236301</v>
      </c>
      <c r="E22" s="14">
        <f>IFERROR(E21/E7,0)</f>
        <v>0.109885370658671</v>
      </c>
      <c r="F22" s="14">
        <f>IFERROR(F21/F7,0)</f>
        <v>0.0996419405510822</v>
      </c>
      <c r="G22" s="14">
        <f>IFERROR(G21/G7,0)</f>
        <v>0.104830927927564</v>
      </c>
      <c r="H22" s="14">
        <f>IFERROR(H21/H7,0)</f>
        <v>0.125334310913106</v>
      </c>
    </row>
    <row r="23">
      <c r="A23" s="15" t="inlineStr">
        <is>
          <t>EBITDA</t>
        </is>
      </c>
      <c r="D23" s="18">
        <f>'2_손익계산서'!O64</f>
        <v>39957.6791000001</v>
      </c>
      <c r="E23" s="18">
        <f>'2_손익계산서'!AB64</f>
        <v>1312156.13344</v>
      </c>
      <c r="F23" s="18">
        <f>'2_손익계산서'!AC64</f>
        <v>4274049.3787184</v>
      </c>
      <c r="G23" s="18">
        <f>'2_손익계산서'!AD64</f>
        <v>10353578.8479225</v>
      </c>
      <c r="H23" s="18">
        <f>'2_손익계산서'!AE64</f>
        <v>26493291.6940867</v>
      </c>
    </row>
    <row r="24">
      <c r="A24" s="15" t="inlineStr">
        <is>
          <t>인원(기말, 명)</t>
        </is>
      </c>
      <c r="D24" s="17">
        <f>'2_손익계산서'!O66</f>
        <v>7</v>
      </c>
      <c r="E24" s="17">
        <f>'2_손익계산서'!AB66</f>
        <v>22</v>
      </c>
      <c r="F24" s="17">
        <f>'2_손익계산서'!AC66</f>
        <v>85</v>
      </c>
      <c r="G24" s="17">
        <f>'2_손익계산서'!AD66</f>
        <v>130</v>
      </c>
      <c r="H24" s="17">
        <f>'2_손익계산서'!AE66</f>
        <v>260</v>
      </c>
    </row>
    <row r="25">
      <c r="A25" s="15" t="inlineStr">
        <is>
          <t>인당 매출(백만원, 평균 인원 기준)</t>
        </is>
      </c>
      <c r="D25" s="17">
        <f>'2_손익계산서'!O67</f>
        <v>171.602428571429</v>
      </c>
      <c r="E25" s="17">
        <f>'2_손익계산서'!AB67</f>
        <v>714.642857142857</v>
      </c>
      <c r="F25" s="17">
        <f>'2_손익계산서'!AC67</f>
        <v>616.822429906542</v>
      </c>
      <c r="G25" s="17">
        <f>'2_손익계산서'!AD67</f>
        <v>651.162790697674</v>
      </c>
      <c r="H25" s="17">
        <f>'2_손익계산서'!AE67</f>
        <v>800</v>
      </c>
    </row>
    <row r="26">
      <c r="A26" s="15" t="inlineStr">
        <is>
          <t>추정 유료 이용자(명, 평균)</t>
        </is>
      </c>
      <c r="D26" s="18">
        <f>'2_손익계산서'!O68</f>
        <v>934.686208333333</v>
      </c>
      <c r="E26" s="18">
        <f>'2_손익계산서'!AB68</f>
        <v>7856.9</v>
      </c>
      <c r="F26" s="18">
        <f>'2_손익계산서'!AC68</f>
        <v>24986.2098666667</v>
      </c>
      <c r="G26" s="18">
        <f>'2_손익계산서'!AD68</f>
        <v>50165.5202333333</v>
      </c>
      <c r="H26" s="18">
        <f>'2_손익계산서'!AE68</f>
        <v>105594.409623467</v>
      </c>
    </row>
    <row r="27">
      <c r="A27" s="15" t="inlineStr">
        <is>
          <t>IR 매출 목표</t>
        </is>
      </c>
      <c r="D27" s="18">
        <f>'8_가정'!$C$6</f>
        <v>1200000</v>
      </c>
      <c r="E27" s="18">
        <f>'8_가정'!$D$6</f>
        <v>10005000</v>
      </c>
      <c r="F27" s="18">
        <f>'8_가정'!$E$6</f>
        <v>33000000</v>
      </c>
      <c r="G27" s="18">
        <f>'8_가정'!$F$6</f>
        <v>70000000</v>
      </c>
      <c r="H27" s="18">
        <f>'8_가정'!$G$6</f>
        <v>156000000</v>
      </c>
    </row>
    <row r="28">
      <c r="A28" s="15" t="inlineStr">
        <is>
          <t>IR 대비 달성률</t>
        </is>
      </c>
      <c r="D28" s="58">
        <f>IFERROR(D7/D27,0)</f>
        <v>1.00101416666667</v>
      </c>
      <c r="E28" s="58">
        <f>IFERROR(E7/E27,0)</f>
        <v>1</v>
      </c>
      <c r="F28" s="58">
        <f>IFERROR(F7/F27,0)</f>
        <v>1</v>
      </c>
      <c r="G28" s="58">
        <f>IFERROR(G7/G27,0)</f>
        <v>1</v>
      </c>
      <c r="H28" s="58">
        <f>IFERROR(H7/H27,0)</f>
        <v>1</v>
      </c>
    </row>
    <row r="29">
      <c r="A29" s="59" t="inlineStr">
        <is>
          <t>검증: 당기순이익 − 손익계산서(0이어야 함)</t>
        </is>
      </c>
      <c r="D29" s="60">
        <f>D21-'2_손익계산서'!O60</f>
        <v>0</v>
      </c>
      <c r="E29" s="60">
        <f>E21-'2_손익계산서'!AB60</f>
        <v>0</v>
      </c>
      <c r="F29" s="60">
        <f>F21-'2_손익계산서'!AC60</f>
        <v>0</v>
      </c>
      <c r="G29" s="60">
        <f>G21-'2_손익계산서'!AD60</f>
        <v>0</v>
      </c>
      <c r="H29" s="60">
        <f>H21-'2_손익계산서'!AE60</f>
        <v>0</v>
      </c>
    </row>
    <row r="30">
      <c r="A30" s="59" t="inlineStr">
        <is>
          <t>검증: 제품·카테고리·지역·채널·근거수준 합계 − 매출액(0이어야 함)</t>
        </is>
      </c>
      <c r="D30" s="60">
        <f>ABS(D38-D7)+ABS(D43-D7)+ABS(D53-D7)+ABS(D64-D7)+ABS(D70-D7)</f>
        <v>0</v>
      </c>
      <c r="E30" s="60">
        <f>ABS(E38-E7)+ABS(E43-E7)+ABS(E53-E7)+ABS(E64-E7)+ABS(E70-E7)</f>
        <v>0</v>
      </c>
      <c r="F30" s="60">
        <f>ABS(F38-F7)+ABS(F43-F7)+ABS(F53-F7)+ABS(F64-F7)+ABS(F70-F7)</f>
        <v>0</v>
      </c>
      <c r="G30" s="60">
        <f>ABS(G38-G7)+ABS(G43-G7)+ABS(G53-G7)+ABS(G64-G7)+ABS(G70-G7)</f>
        <v>0</v>
      </c>
      <c r="H30" s="60">
        <f>ABS(H38-H7)+ABS(H43-H7)+ABS(H53-H7)+ABS(H64-H7)+ABS(H70-H7)</f>
        <v>0</v>
      </c>
    </row>
    <row r="31">
      <c r="A31" s="3" t="inlineStr">
        <is>
          <t>제품별 매출</t>
        </is>
      </c>
    </row>
    <row r="32">
      <c r="A32" s="15" t="inlineStr">
        <is>
          <t>스마트 기저귀(전용 기저귀·패드, 소모품)</t>
        </is>
      </c>
      <c r="D32" s="18">
        <f>'5_매출_제품지역'!AA9</f>
        <v>739027.42</v>
      </c>
      <c r="E32" s="18">
        <f>'5_매출_제품지역'!AB9</f>
        <v>6988950</v>
      </c>
      <c r="F32" s="18">
        <f>'5_매출_제품지역'!AC9</f>
        <v>22089683.12</v>
      </c>
      <c r="G32" s="18">
        <f>'5_매출_제품지역'!AD9</f>
        <v>43454750.8</v>
      </c>
      <c r="H32" s="18">
        <f>'5_매출_제품지역'!AE9</f>
        <v>90093769.33472</v>
      </c>
    </row>
    <row r="33">
      <c r="A33" s="15" t="inlineStr">
        <is>
          <t>센서·BLE 게이트웨이(하드웨어)</t>
        </is>
      </c>
      <c r="D33" s="18">
        <f>'5_매출_제품지역'!AA10</f>
        <v>246970.51</v>
      </c>
      <c r="E33" s="18">
        <f>'5_매출_제품지역'!AB10</f>
        <v>1386630</v>
      </c>
      <c r="F33" s="18">
        <f>'5_매출_제품지역'!AC10</f>
        <v>4110700.72</v>
      </c>
      <c r="G33" s="18">
        <f>'5_매출_제품지역'!AD10</f>
        <v>8636200.68</v>
      </c>
      <c r="H33" s="18">
        <f>'5_매출_제품지역'!AE10</f>
        <v>18303207.17344</v>
      </c>
    </row>
    <row r="34">
      <c r="A34" s="15" t="inlineStr">
        <is>
          <t>앱·웹 모니터링 구독(SW·AI)</t>
        </is>
      </c>
      <c r="D34" s="18">
        <f>'5_매출_제품지역'!AA11</f>
        <v>135625.52</v>
      </c>
      <c r="E34" s="18">
        <f>'5_매출_제품지역'!AB11</f>
        <v>1052700</v>
      </c>
      <c r="F34" s="18">
        <f>'5_매출_제품지역'!AC11</f>
        <v>3783068</v>
      </c>
      <c r="G34" s="18">
        <f>'5_매출_제품지역'!AD11</f>
        <v>8107672.8</v>
      </c>
      <c r="H34" s="18">
        <f>'5_매출_제품지역'!AE11</f>
        <v>18316315.04</v>
      </c>
    </row>
    <row r="35">
      <c r="A35" s="15" t="inlineStr">
        <is>
          <t>바이탈 모니터링 센서(60GHz, 2026 Q4 출시)</t>
        </is>
      </c>
      <c r="D35" s="18">
        <f>'5_매출_제품지역'!AA12</f>
        <v>0</v>
      </c>
      <c r="E35" s="18">
        <f>'5_매출_제품지역'!AB12</f>
        <v>238240</v>
      </c>
      <c r="F35" s="18">
        <f>'5_매출_제품지역'!AC12</f>
        <v>1792446.08</v>
      </c>
      <c r="G35" s="18">
        <f>'5_매출_제품지역'!AD12</f>
        <v>5949350.24</v>
      </c>
      <c r="H35" s="18">
        <f>'5_매출_제품지역'!AE12</f>
        <v>17723889.71392</v>
      </c>
    </row>
    <row r="36">
      <c r="A36" s="15" t="inlineStr">
        <is>
          <t>스마트 욕창 케어(2027 출시)</t>
        </is>
      </c>
      <c r="D36" s="18">
        <f>'5_매출_제품지역'!AA13</f>
        <v>0</v>
      </c>
      <c r="E36" s="18">
        <f>'5_매출_제품지역'!AB13</f>
        <v>16240</v>
      </c>
      <c r="F36" s="18">
        <f>'5_매출_제품지역'!AC13</f>
        <v>424931.36</v>
      </c>
      <c r="G36" s="18">
        <f>'5_매출_제품지역'!AD13</f>
        <v>2283801.56</v>
      </c>
      <c r="H36" s="18">
        <f>'5_매출_제품지역'!AE13</f>
        <v>8282271.76896</v>
      </c>
    </row>
    <row r="37">
      <c r="A37" s="15" t="inlineStr">
        <is>
          <t>R&amp;D·PoC 용역</t>
        </is>
      </c>
      <c r="D37" s="18">
        <f>'5_매출_제품지역'!AA14</f>
        <v>79593.55</v>
      </c>
      <c r="E37" s="18">
        <f>'5_매출_제품지역'!AB14</f>
        <v>322240</v>
      </c>
      <c r="F37" s="18">
        <f>'5_매출_제품지역'!AC14</f>
        <v>799170.72</v>
      </c>
      <c r="G37" s="18">
        <f>'5_매출_제품지역'!AD14</f>
        <v>1568223.92</v>
      </c>
      <c r="H37" s="18">
        <f>'5_매출_제품지역'!AE14</f>
        <v>3280546.96896</v>
      </c>
    </row>
    <row r="38">
      <c r="A38" s="12" t="inlineStr">
        <is>
          <t>합계</t>
        </is>
      </c>
      <c r="D38" s="28">
        <f>SUM(D32:D37)</f>
        <v>1201217</v>
      </c>
      <c r="E38" s="28">
        <f>SUM(E32:E37)</f>
        <v>10005000</v>
      </c>
      <c r="F38" s="28">
        <f>SUM(F32:F37)</f>
        <v>33000000</v>
      </c>
      <c r="G38" s="28">
        <f>SUM(G32:G37)</f>
        <v>70000000</v>
      </c>
      <c r="H38" s="28">
        <f>SUM(H32:H37)</f>
        <v>156000000</v>
      </c>
    </row>
    <row r="39"/>
    <row r="40">
      <c r="A40" s="3" t="inlineStr">
        <is>
          <t>카테고리별 매출(베이비 / 엘더리)</t>
        </is>
      </c>
    </row>
    <row r="41">
      <c r="A41" s="15" t="inlineStr">
        <is>
          <t>베이비</t>
        </is>
      </c>
      <c r="D41" s="18">
        <f>'5_매출_제품지역'!AA18</f>
        <v>234543</v>
      </c>
      <c r="E41" s="18">
        <f>'5_매출_제품지역'!AB18</f>
        <v>2471000</v>
      </c>
      <c r="F41" s="18">
        <f>'5_매출_제품지역'!AC18</f>
        <v>4227400</v>
      </c>
      <c r="G41" s="18">
        <f>'5_매출_제품지역'!AD18</f>
        <v>5893680</v>
      </c>
      <c r="H41" s="18">
        <f>'5_매출_제품지역'!AE18</f>
        <v>7479513.6</v>
      </c>
    </row>
    <row r="42">
      <c r="A42" s="15" t="inlineStr">
        <is>
          <t>엘더리</t>
        </is>
      </c>
      <c r="D42" s="18">
        <f>'5_매출_제품지역'!AA19</f>
        <v>966674</v>
      </c>
      <c r="E42" s="18">
        <f>'5_매출_제품지역'!AB19</f>
        <v>7534000</v>
      </c>
      <c r="F42" s="18">
        <f>'5_매출_제품지역'!AC19</f>
        <v>28772600</v>
      </c>
      <c r="G42" s="18">
        <f>'5_매출_제품지역'!AD19</f>
        <v>64106320</v>
      </c>
      <c r="H42" s="18">
        <f>'5_매출_제품지역'!AE19</f>
        <v>148520486.4</v>
      </c>
    </row>
    <row r="43">
      <c r="A43" s="12" t="inlineStr">
        <is>
          <t>합계</t>
        </is>
      </c>
      <c r="D43" s="28">
        <f>SUM(D41:D42)</f>
        <v>1201217</v>
      </c>
      <c r="E43" s="28">
        <f>SUM(E41:E42)</f>
        <v>10005000</v>
      </c>
      <c r="F43" s="28">
        <f>SUM(F41:F42)</f>
        <v>33000000</v>
      </c>
      <c r="G43" s="28">
        <f>SUM(G41:G42)</f>
        <v>70000000</v>
      </c>
      <c r="H43" s="28">
        <f>SUM(H41:H42)</f>
        <v>156000000</v>
      </c>
    </row>
    <row r="44"/>
    <row r="45">
      <c r="A45" s="3" t="inlineStr">
        <is>
          <t>지역별 매출</t>
        </is>
      </c>
    </row>
    <row r="46">
      <c r="A46" s="15" t="inlineStr">
        <is>
          <t>한국</t>
        </is>
      </c>
      <c r="D46" s="18">
        <f>'5_매출_제품지역'!AA24</f>
        <v>657067</v>
      </c>
      <c r="E46" s="18">
        <f>'5_매출_제품지역'!AB24</f>
        <v>6433000</v>
      </c>
      <c r="F46" s="18">
        <f>'5_매출_제품지역'!AC24</f>
        <v>11750264</v>
      </c>
      <c r="G46" s="18">
        <f>'5_매출_제품지역'!AD24</f>
        <v>17075924</v>
      </c>
      <c r="H46" s="18">
        <f>'5_매출_제품지역'!AE24</f>
        <v>22028629.152</v>
      </c>
    </row>
    <row r="47">
      <c r="A47" s="15" t="inlineStr">
        <is>
          <t>일본</t>
        </is>
      </c>
      <c r="D47" s="18">
        <f>'5_매출_제품지역'!AA25</f>
        <v>0</v>
      </c>
      <c r="E47" s="18">
        <f>'5_매출_제품지역'!AB25</f>
        <v>480000</v>
      </c>
      <c r="F47" s="18">
        <f>'5_매출_제품지역'!AC25</f>
        <v>9074868</v>
      </c>
      <c r="G47" s="18">
        <f>'5_매출_제품지역'!AD25</f>
        <v>29187987.8459796</v>
      </c>
      <c r="H47" s="18">
        <f>'5_매출_제품지역'!AE25</f>
        <v>60535684.6095676</v>
      </c>
    </row>
    <row r="48">
      <c r="A48" s="15" t="inlineStr">
        <is>
          <t>동남아·APAC</t>
        </is>
      </c>
      <c r="D48" s="18">
        <f>'5_매출_제품지역'!AA26</f>
        <v>404488</v>
      </c>
      <c r="E48" s="18">
        <f>'5_매출_제품지역'!AB26</f>
        <v>1792400</v>
      </c>
      <c r="F48" s="18">
        <f>'5_매출_제품지역'!AC26</f>
        <v>3851185.51693002</v>
      </c>
      <c r="G48" s="18">
        <f>'5_매출_제품지역'!AD26</f>
        <v>7310435.26160815</v>
      </c>
      <c r="H48" s="18">
        <f>'5_매출_제품지역'!AE26</f>
        <v>15200008.1443238</v>
      </c>
    </row>
    <row r="49">
      <c r="A49" s="15" t="inlineStr">
        <is>
          <t>인도</t>
        </is>
      </c>
      <c r="D49" s="18">
        <f>'5_매출_제품지역'!AA27</f>
        <v>20000</v>
      </c>
      <c r="E49" s="18">
        <f>'5_매출_제품지역'!AB27</f>
        <v>200000</v>
      </c>
      <c r="F49" s="18">
        <f>'5_매출_제품지역'!AC27</f>
        <v>460000</v>
      </c>
      <c r="G49" s="18">
        <f>'5_매출_제품지역'!AD27</f>
        <v>1260000</v>
      </c>
      <c r="H49" s="18">
        <f>'5_매출_제품지역'!AE27</f>
        <v>2060000</v>
      </c>
    </row>
    <row r="50">
      <c r="A50" s="15" t="inlineStr">
        <is>
          <t>유럽</t>
        </is>
      </c>
      <c r="D50" s="18">
        <f>'5_매출_제품지역'!AA28</f>
        <v>119662</v>
      </c>
      <c r="E50" s="18">
        <f>'5_매출_제품지역'!AB28</f>
        <v>839760</v>
      </c>
      <c r="F50" s="18">
        <f>'5_매출_제품지역'!AC28</f>
        <v>1515892.17155756</v>
      </c>
      <c r="G50" s="18">
        <f>'5_매출_제품지역'!AD28</f>
        <v>6289124.45300113</v>
      </c>
      <c r="H50" s="18">
        <f>'5_매출_제품지역'!AE28</f>
        <v>13085224.4025048</v>
      </c>
    </row>
    <row r="51">
      <c r="A51" s="15" t="inlineStr">
        <is>
          <t>미국</t>
        </is>
      </c>
      <c r="D51" s="18">
        <f>'5_매출_제품지역'!AA29</f>
        <v>0</v>
      </c>
      <c r="E51" s="18">
        <f>'5_매출_제품지역'!AB29</f>
        <v>162400</v>
      </c>
      <c r="F51" s="18">
        <f>'5_매출_제품지역'!AC29</f>
        <v>3707790.31151242</v>
      </c>
      <c r="G51" s="18">
        <f>'5_매출_제품지역'!AD29</f>
        <v>4676528.4394111</v>
      </c>
      <c r="H51" s="18">
        <f>'5_매출_제품지역'!AE29</f>
        <v>35290453.6916038</v>
      </c>
    </row>
    <row r="52">
      <c r="A52" s="15" t="inlineStr">
        <is>
          <t>글로벌(삼성채널)</t>
        </is>
      </c>
      <c r="D52" s="18">
        <f>'5_매출_제품지역'!AA30</f>
        <v>0</v>
      </c>
      <c r="E52" s="18">
        <f>'5_매출_제품지역'!AB30</f>
        <v>97440</v>
      </c>
      <c r="F52" s="18">
        <f>'5_매출_제품지역'!AC30</f>
        <v>2640000</v>
      </c>
      <c r="G52" s="18">
        <f>'5_매출_제품지역'!AD30</f>
        <v>4200000.00000001</v>
      </c>
      <c r="H52" s="18">
        <f>'5_매출_제품지역'!AE30</f>
        <v>7800000</v>
      </c>
    </row>
    <row r="53">
      <c r="A53" s="12" t="inlineStr">
        <is>
          <t>합계</t>
        </is>
      </c>
      <c r="D53" s="28">
        <f>SUM(D46:D52)</f>
        <v>1201217</v>
      </c>
      <c r="E53" s="28">
        <f>SUM(E46:E52)</f>
        <v>10005000</v>
      </c>
      <c r="F53" s="28">
        <f>SUM(F46:F52)</f>
        <v>33000000</v>
      </c>
      <c r="G53" s="28">
        <f>SUM(G46:G52)</f>
        <v>70000000</v>
      </c>
      <c r="H53" s="28">
        <f>SUM(H46:H52)</f>
        <v>156000000</v>
      </c>
    </row>
    <row r="54"/>
    <row r="55">
      <c r="A55" s="3" t="inlineStr">
        <is>
          <t>채널별 매출</t>
        </is>
      </c>
    </row>
    <row r="56">
      <c r="A56" s="15" t="inlineStr">
        <is>
          <t>온라인·B2C</t>
        </is>
      </c>
      <c r="D56" s="18">
        <f>'5_매출_제품지역'!AA35</f>
        <v>183451</v>
      </c>
      <c r="E56" s="18">
        <f>'5_매출_제품지역'!AB35</f>
        <v>1056000</v>
      </c>
      <c r="F56" s="18">
        <f>'5_매출_제품지역'!AC35</f>
        <v>1417200</v>
      </c>
      <c r="G56" s="18">
        <f>'5_매출_제품지역'!AD35</f>
        <v>1677180</v>
      </c>
      <c r="H56" s="18">
        <f>'5_매출_제품지역'!AE35</f>
        <v>1870581.6</v>
      </c>
    </row>
    <row r="57">
      <c r="A57" s="15" t="inlineStr">
        <is>
          <t>국내 B2B</t>
        </is>
      </c>
      <c r="D57" s="18">
        <f>'5_매출_제품지역'!AA36</f>
        <v>14821</v>
      </c>
      <c r="E57" s="18">
        <f>'5_매출_제품지역'!AB36</f>
        <v>340000</v>
      </c>
      <c r="F57" s="18">
        <f>'5_매출_제품지역'!AC36</f>
        <v>428000</v>
      </c>
      <c r="G57" s="18">
        <f>'5_매출_제품지역'!AD36</f>
        <v>489600</v>
      </c>
      <c r="H57" s="18">
        <f>'5_매출_제품지역'!AE36</f>
        <v>533952</v>
      </c>
    </row>
    <row r="58">
      <c r="A58" s="15" t="inlineStr">
        <is>
          <t>총판</t>
        </is>
      </c>
      <c r="D58" s="18">
        <f>'5_매출_제품지역'!AA37</f>
        <v>371143</v>
      </c>
      <c r="E58" s="18">
        <f>'5_매출_제품지역'!AB37</f>
        <v>3936200</v>
      </c>
      <c r="F58" s="18">
        <f>'5_매출_제품지역'!AC37</f>
        <v>9971528</v>
      </c>
      <c r="G58" s="18">
        <f>'5_매출_제품지역'!AD37</f>
        <v>17912437.6</v>
      </c>
      <c r="H58" s="18">
        <f>'5_매출_제품지역'!AE37</f>
        <v>25987755.04</v>
      </c>
    </row>
    <row r="59">
      <c r="A59" s="15" t="inlineStr">
        <is>
          <t>B2G·제도</t>
        </is>
      </c>
      <c r="D59" s="18">
        <f>'5_매출_제품지역'!AA38</f>
        <v>15795</v>
      </c>
      <c r="E59" s="18">
        <f>'5_매출_제품지역'!AB38</f>
        <v>420000</v>
      </c>
      <c r="F59" s="18">
        <f>'5_매출_제품지역'!AC38</f>
        <v>1284000</v>
      </c>
      <c r="G59" s="18">
        <f>'5_매출_제품지역'!AD38</f>
        <v>2413200</v>
      </c>
      <c r="H59" s="18">
        <f>'5_매출_제품지역'!AE38</f>
        <v>3675408</v>
      </c>
    </row>
    <row r="60">
      <c r="A60" s="15" t="inlineStr">
        <is>
          <t>파트너</t>
        </is>
      </c>
      <c r="D60" s="18">
        <f>'5_매출_제품지역'!AA39</f>
        <v>360000</v>
      </c>
      <c r="E60" s="18">
        <f>'5_매출_제품지역'!AB39</f>
        <v>2737440</v>
      </c>
      <c r="F60" s="18">
        <f>'5_매출_제품지역'!AC39</f>
        <v>6969600</v>
      </c>
      <c r="G60" s="18">
        <f>'5_매출_제품지역'!AD39</f>
        <v>9828480.00000001</v>
      </c>
      <c r="H60" s="18">
        <f>'5_매출_제품지역'!AE39</f>
        <v>14554176</v>
      </c>
    </row>
    <row r="61">
      <c r="A61" s="15" t="inlineStr">
        <is>
          <t>기관(직접)</t>
        </is>
      </c>
      <c r="D61" s="18">
        <f>'5_매출_제품지역'!AA40</f>
        <v>256007</v>
      </c>
      <c r="E61" s="18">
        <f>'5_매출_제품지역'!AB40</f>
        <v>740800</v>
      </c>
      <c r="F61" s="18">
        <f>'5_매출_제품지역'!AC40</f>
        <v>1251136</v>
      </c>
      <c r="G61" s="18">
        <f>'5_매출_제품지역'!AD40</f>
        <v>1767906.4</v>
      </c>
      <c r="H61" s="18">
        <f>'5_매출_제품지역'!AE40</f>
        <v>2269978.912</v>
      </c>
    </row>
    <row r="62">
      <c r="A62" s="15" t="inlineStr">
        <is>
          <t>신규 파이프라인</t>
        </is>
      </c>
      <c r="D62" s="18">
        <f>'5_매출_제품지역'!AA41</f>
        <v>0</v>
      </c>
      <c r="E62" s="18">
        <f>'5_매출_제품지역'!AB41</f>
        <v>714560</v>
      </c>
      <c r="F62" s="18">
        <f>'5_매출_제품지역'!AC41</f>
        <v>11618536</v>
      </c>
      <c r="G62" s="18">
        <f>'5_매출_제품지역'!AD41</f>
        <v>35851196</v>
      </c>
      <c r="H62" s="18">
        <f>'5_매출_제품지역'!AE41</f>
        <v>107048148.448</v>
      </c>
    </row>
    <row r="63">
      <c r="A63" s="15" t="inlineStr">
        <is>
          <t>기타</t>
        </is>
      </c>
      <c r="D63" s="18">
        <f>'5_매출_제품지역'!AA42</f>
        <v>0</v>
      </c>
      <c r="E63" s="18">
        <f>'5_매출_제품지역'!AB42</f>
        <v>60000</v>
      </c>
      <c r="F63" s="18">
        <f>'5_매출_제품지역'!AC42</f>
        <v>60000</v>
      </c>
      <c r="G63" s="18">
        <f>'5_매출_제품지역'!AD42</f>
        <v>60000</v>
      </c>
      <c r="H63" s="18">
        <f>'5_매출_제품지역'!AE42</f>
        <v>60000</v>
      </c>
    </row>
    <row r="64">
      <c r="A64" s="12" t="inlineStr">
        <is>
          <t>합계</t>
        </is>
      </c>
      <c r="D64" s="28">
        <f>SUM(D56:D63)</f>
        <v>1201217</v>
      </c>
      <c r="E64" s="28">
        <f>SUM(E56:E63)</f>
        <v>10005000</v>
      </c>
      <c r="F64" s="28">
        <f>SUM(F56:F63)</f>
        <v>33000000</v>
      </c>
      <c r="G64" s="28">
        <f>SUM(G56:G63)</f>
        <v>70000000</v>
      </c>
      <c r="H64" s="28">
        <f>SUM(H56:H63)</f>
        <v>156000000</v>
      </c>
    </row>
    <row r="65"/>
    <row r="66">
      <c r="A66" s="3" t="inlineStr">
        <is>
          <t>근거수준별 매출</t>
        </is>
      </c>
    </row>
    <row r="67">
      <c r="A67" s="15" t="inlineStr">
        <is>
          <t>A 계약·기존 거래</t>
        </is>
      </c>
      <c r="D67" s="18">
        <f>'5_매출_제품지역'!AA47</f>
        <v>863265</v>
      </c>
      <c r="E67" s="18">
        <f>'5_매출_제품지역'!AB47</f>
        <v>5716800</v>
      </c>
      <c r="F67" s="18">
        <f>'5_매출_제품지역'!AC47</f>
        <v>10033136</v>
      </c>
      <c r="G67" s="18">
        <f>'5_매출_제품지역'!AD47</f>
        <v>14422446.4</v>
      </c>
      <c r="H67" s="18">
        <f>'5_매출_제품지역'!AE47</f>
        <v>18698950.912</v>
      </c>
    </row>
    <row r="68">
      <c r="A68" s="15" t="inlineStr">
        <is>
          <t>B 등록·입찰·협의 단계</t>
        </is>
      </c>
      <c r="D68" s="18">
        <f>'5_매출_제품지역'!AA48</f>
        <v>337952</v>
      </c>
      <c r="E68" s="18">
        <f>'5_매출_제품지역'!AB48</f>
        <v>3476200</v>
      </c>
      <c r="F68" s="18">
        <f>'5_매출_제품지역'!AC48</f>
        <v>8708328</v>
      </c>
      <c r="G68" s="18">
        <f>'5_매출_제품지역'!AD48</f>
        <v>15526357.6</v>
      </c>
      <c r="H68" s="18">
        <f>'5_매출_제품지역'!AE48</f>
        <v>22452900.64</v>
      </c>
    </row>
    <row r="69">
      <c r="A69" s="15" t="inlineStr">
        <is>
          <t>C 신규 파이프라인(미확정)</t>
        </is>
      </c>
      <c r="D69" s="18">
        <f>'5_매출_제품지역'!AA49</f>
        <v>0</v>
      </c>
      <c r="E69" s="18">
        <f>'5_매출_제품지역'!AB49</f>
        <v>812000</v>
      </c>
      <c r="F69" s="18">
        <f>'5_매출_제품지역'!AC49</f>
        <v>14258536</v>
      </c>
      <c r="G69" s="18">
        <f>'5_매출_제품지역'!AD49</f>
        <v>40051196</v>
      </c>
      <c r="H69" s="18">
        <f>'5_매출_제품지역'!AE49</f>
        <v>114848148.448</v>
      </c>
    </row>
    <row r="70">
      <c r="A70" s="12" t="inlineStr">
        <is>
          <t>합계</t>
        </is>
      </c>
      <c r="D70" s="28">
        <f>SUM(D67:D69)</f>
        <v>1201217</v>
      </c>
      <c r="E70" s="28">
        <f>SUM(E67:E69)</f>
        <v>10005000</v>
      </c>
      <c r="F70" s="28">
        <f>SUM(F67:F69)</f>
        <v>33000000</v>
      </c>
      <c r="G70" s="28">
        <f>SUM(G67:G69)</f>
        <v>70000000</v>
      </c>
      <c r="H70" s="28">
        <f>SUM(H67:H69)</f>
        <v>156000000</v>
      </c>
    </row>
    <row r="71">
      <c r="A71" s="2" t="inlineStr">
        <is>
          <t xml:space="preserve">  비중 — A 계약·기존 거래</t>
        </is>
      </c>
      <c r="D71" s="14">
        <f>IFERROR(D67/D70,0)</f>
        <v>0.71865866034197</v>
      </c>
      <c r="E71" s="14">
        <f>IFERROR(E67/E70,0)</f>
        <v>0.571394302848576</v>
      </c>
      <c r="F71" s="14">
        <f>IFERROR(F67/F70,0)</f>
        <v>0.304034424242424</v>
      </c>
      <c r="G71" s="14">
        <f>IFERROR(G67/G70,0)</f>
        <v>0.206034948571429</v>
      </c>
      <c r="H71" s="14">
        <f>IFERROR(H67/H70,0)</f>
        <v>0.119865069948718</v>
      </c>
    </row>
    <row r="72">
      <c r="A72" s="2" t="inlineStr">
        <is>
          <t xml:space="preserve">  비중 — B 등록·입찰·협의 단계</t>
        </is>
      </c>
      <c r="D72" s="14">
        <f>IFERROR(D68/D70,0)</f>
        <v>0.28134133965803</v>
      </c>
      <c r="E72" s="14">
        <f>IFERROR(E68/E70,0)</f>
        <v>0.347446276861569</v>
      </c>
      <c r="F72" s="14">
        <f>IFERROR(F68/F70,0)</f>
        <v>0.263888727272727</v>
      </c>
      <c r="G72" s="14">
        <f>IFERROR(G68/G70,0)</f>
        <v>0.221805108571429</v>
      </c>
      <c r="H72" s="14">
        <f>IFERROR(H68/H70,0)</f>
        <v>0.14392885025641</v>
      </c>
    </row>
    <row r="73">
      <c r="A73" s="2" t="inlineStr">
        <is>
          <t xml:space="preserve">  비중 — C 신규 파이프라인(미확정)</t>
        </is>
      </c>
      <c r="D73" s="14">
        <f>IFERROR(D69/D70,0)</f>
        <v>0</v>
      </c>
      <c r="E73" s="14">
        <f>IFERROR(E69/E70,0)</f>
        <v>0.0811594202898551</v>
      </c>
      <c r="F73" s="14">
        <f>IFERROR(F69/F70,0)</f>
        <v>0.432076848484849</v>
      </c>
      <c r="G73" s="14">
        <f>IFERROR(G69/G70,0)</f>
        <v>0.572159942857143</v>
      </c>
      <c r="H73" s="14">
        <f>IFERROR(H69/H70,0)</f>
        <v>0.736206079794872</v>
      </c>
    </row>
    <row r="74"/>
    <row r="75">
      <c r="A75" s="2" t="inlineStr">
        <is>
          <t>※ 천원 미만 단수 처리로 항목 합계와 소계·이익이 ±1천원 차이날 수 있습니다(내부 계산값은 정확히 일치).</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tabColor rgb="002F5597"/>
    <outlinePr summaryBelow="1" summaryRight="1"/>
    <pageSetUpPr fitToPage="1"/>
  </sheetPr>
  <dimension ref="A1:BA97"/>
  <sheetViews>
    <sheetView zoomScale="85"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11" customWidth="1" min="3" max="3"/>
    <col width="40" customWidth="1" min="4" max="4"/>
    <col width="8" customWidth="1" min="5" max="5"/>
    <col width="10" customWidth="1" min="6" max="6"/>
    <col width="8" customWidth="1" min="7" max="7"/>
    <col width="20" customWidth="1" min="8" max="8"/>
    <col width="7" customWidth="1" min="9" max="9"/>
    <col width="6" customWidth="1" min="10" max="10"/>
    <col width="11" customWidth="1" min="11" max="11"/>
    <col width="8" customWidth="1" min="12" max="12"/>
    <col width="8" customWidth="1" min="13" max="13"/>
    <col width="8" customWidth="1" min="14" max="14"/>
    <col hidden="1" outlineLevel="1" width="1" customWidth="1" min="15" max="22"/>
    <col width="1" customWidth="1" min="23" max="23"/>
    <col outlineLevel="1" width="10.5" customWidth="1" min="24" max="47"/>
    <col width="10.5" customWidth="1" min="48" max="48"/>
    <col width="10.5" customWidth="1" min="49" max="49"/>
    <col width="10.5" customWidth="1" min="50" max="50"/>
    <col width="10.5" customWidth="1" min="51" max="51"/>
    <col width="10.5" customWidth="1" min="52" max="52"/>
    <col width="10.5" customWidth="1" min="53" max="53"/>
  </cols>
  <sheetData>
    <row r="1">
      <c r="A1" s="1" t="inlineStr">
        <is>
          <t>4_매출_거래처 — 거래처별 월별(2026~27)·연간(2028~30) 매출</t>
        </is>
      </c>
    </row>
    <row r="2">
      <c r="A2" s="2" t="inlineStr">
        <is>
          <t>단위: 천원. A블록=경영계획(S1, 입력) / B블록=선택 시나리오 적용(손익계산서·5번 시트 연동). 파란색 = 입력(2026-01~09 = 실적, 10~12월 = 확정·예상 발주, 2027 = IR 목표 기준 계획).</t>
        </is>
      </c>
    </row>
    <row r="3">
      <c r="A3" s="2" t="str">
        <f>"현재 선택: "&amp;'1_요약'!$C$4&amp;"  |  입력방식 M=월별 입력 + 2028~30 성장률 · N=월별 입력 + 2028~30 연간 입력 · C=신규 파이프라인(2028~30 = 지역 목표 − 지정 거래처, 8_가정 §2b) · S=삼성 글로벌 채널(IR − 타 행)"</f>
        <v>현재 선택: S1 경영계획(100%)  |  입력방식 M=월별 입력 + 2028~30 성장률 · N=월별 입력 + 2028~30 연간 입력 · C=신규 파이프라인(2028~30 = 지역 목표 − 지정 거래처, 8_가정 §2b) · S=삼성 글로벌 채널(IR − 타 행)</v>
      </c>
    </row>
    <row r="5">
      <c r="W5" s="61" t="inlineStr">
        <is>
          <t>연도</t>
        </is>
      </c>
      <c r="X5" s="62" t="n">
        <v>2026</v>
      </c>
      <c r="Y5" s="62" t="n">
        <v>2026</v>
      </c>
      <c r="Z5" s="62" t="n">
        <v>2026</v>
      </c>
      <c r="AA5" s="62" t="n">
        <v>2026</v>
      </c>
      <c r="AB5" s="62" t="n">
        <v>2026</v>
      </c>
      <c r="AC5" s="62" t="n">
        <v>2026</v>
      </c>
      <c r="AD5" s="62" t="n">
        <v>2026</v>
      </c>
      <c r="AE5" s="62" t="n">
        <v>2026</v>
      </c>
      <c r="AF5" s="62" t="n">
        <v>2026</v>
      </c>
      <c r="AG5" s="62" t="n">
        <v>2026</v>
      </c>
      <c r="AH5" s="62" t="n">
        <v>2026</v>
      </c>
      <c r="AI5" s="62" t="n">
        <v>2026</v>
      </c>
      <c r="AJ5" s="62" t="n">
        <v>2027</v>
      </c>
      <c r="AK5" s="62" t="n">
        <v>2027</v>
      </c>
      <c r="AL5" s="62" t="n">
        <v>2027</v>
      </c>
      <c r="AM5" s="62" t="n">
        <v>2027</v>
      </c>
      <c r="AN5" s="62" t="n">
        <v>2027</v>
      </c>
      <c r="AO5" s="62" t="n">
        <v>2027</v>
      </c>
      <c r="AP5" s="62" t="n">
        <v>2027</v>
      </c>
      <c r="AQ5" s="62" t="n">
        <v>2027</v>
      </c>
      <c r="AR5" s="62" t="n">
        <v>2027</v>
      </c>
      <c r="AS5" s="62" t="n">
        <v>2027</v>
      </c>
      <c r="AT5" s="62" t="n">
        <v>2027</v>
      </c>
      <c r="AU5" s="62" t="n">
        <v>2027</v>
      </c>
    </row>
    <row r="6">
      <c r="W6" s="61" t="inlineStr">
        <is>
          <t>월 인덱스(1=2026-01)</t>
        </is>
      </c>
      <c r="X6" s="62" t="n">
        <v>1</v>
      </c>
      <c r="Y6" s="62" t="n">
        <v>2</v>
      </c>
      <c r="Z6" s="62" t="n">
        <v>3</v>
      </c>
      <c r="AA6" s="62" t="n">
        <v>4</v>
      </c>
      <c r="AB6" s="62" t="n">
        <v>5</v>
      </c>
      <c r="AC6" s="62" t="n">
        <v>6</v>
      </c>
      <c r="AD6" s="62" t="n">
        <v>7</v>
      </c>
      <c r="AE6" s="62" t="n">
        <v>8</v>
      </c>
      <c r="AF6" s="62" t="n">
        <v>9</v>
      </c>
      <c r="AG6" s="62" t="n">
        <v>10</v>
      </c>
      <c r="AH6" s="62" t="n">
        <v>11</v>
      </c>
      <c r="AI6" s="62" t="n">
        <v>12</v>
      </c>
      <c r="AJ6" s="62" t="n">
        <v>13</v>
      </c>
      <c r="AK6" s="62" t="n">
        <v>14</v>
      </c>
      <c r="AL6" s="62" t="n">
        <v>15</v>
      </c>
      <c r="AM6" s="62" t="n">
        <v>16</v>
      </c>
      <c r="AN6" s="62" t="n">
        <v>17</v>
      </c>
      <c r="AO6" s="62" t="n">
        <v>18</v>
      </c>
      <c r="AP6" s="62" t="n">
        <v>19</v>
      </c>
      <c r="AQ6" s="62" t="n">
        <v>20</v>
      </c>
      <c r="AR6" s="62" t="n">
        <v>21</v>
      </c>
      <c r="AS6" s="62" t="n">
        <v>22</v>
      </c>
      <c r="AT6" s="62" t="n">
        <v>23</v>
      </c>
      <c r="AU6" s="62" t="n">
        <v>24</v>
      </c>
      <c r="AV6" s="62" t="n">
        <v>2026</v>
      </c>
      <c r="AW6" s="62" t="n">
        <v>2027</v>
      </c>
      <c r="AX6" s="62" t="n">
        <v>2028</v>
      </c>
      <c r="AY6" s="62" t="n">
        <v>2029</v>
      </c>
      <c r="AZ6" s="62" t="n">
        <v>2030</v>
      </c>
    </row>
    <row r="7">
      <c r="A7" s="11" t="inlineStr">
        <is>
          <t>No</t>
        </is>
      </c>
      <c r="B7" s="11" t="inlineStr">
        <is>
          <t>국가</t>
        </is>
      </c>
      <c r="C7" s="11" t="inlineStr">
        <is>
          <t>지역</t>
        </is>
      </c>
      <c r="D7" s="11" t="inlineStr">
        <is>
          <t>거래처</t>
        </is>
      </c>
      <c r="E7" s="11" t="inlineStr">
        <is>
          <t>카테고리</t>
        </is>
      </c>
      <c r="F7" s="11" t="inlineStr">
        <is>
          <t>거래형태</t>
        </is>
      </c>
      <c r="G7" s="11" t="inlineStr">
        <is>
          <t>모델 단계</t>
        </is>
      </c>
      <c r="H7" s="11" t="inlineStr">
        <is>
          <t>근거수준</t>
        </is>
      </c>
      <c r="I7" s="11" t="inlineStr">
        <is>
          <t>믹스</t>
        </is>
      </c>
      <c r="J7" s="11" t="inlineStr">
        <is>
          <t>입력방식</t>
        </is>
      </c>
      <c r="K7" s="11" t="inlineStr">
        <is>
          <t>2027 매출</t>
        </is>
      </c>
      <c r="L7" s="11" t="inlineStr">
        <is>
          <t>2028 성장</t>
        </is>
      </c>
      <c r="M7" s="11" t="inlineStr">
        <is>
          <t>2029 성장</t>
        </is>
      </c>
      <c r="N7" s="11" t="inlineStr">
        <is>
          <t>2030 성장</t>
        </is>
      </c>
      <c r="O7" s="11" t="inlineStr"/>
      <c r="P7" s="11" t="inlineStr"/>
      <c r="Q7" s="11" t="inlineStr"/>
      <c r="R7" s="11" t="inlineStr"/>
      <c r="S7" s="11" t="inlineStr"/>
      <c r="T7" s="11" t="inlineStr"/>
      <c r="U7" s="11" t="inlineStr"/>
      <c r="V7" s="11" t="inlineStr">
        <is>
          <t>근거 · 가정</t>
        </is>
      </c>
      <c r="X7" s="11" t="inlineStr">
        <is>
          <t>2026-01</t>
        </is>
      </c>
      <c r="Y7" s="11" t="inlineStr">
        <is>
          <t>2026-02</t>
        </is>
      </c>
      <c r="Z7" s="11" t="inlineStr">
        <is>
          <t>2026-03</t>
        </is>
      </c>
      <c r="AA7" s="11" t="inlineStr">
        <is>
          <t>2026-04</t>
        </is>
      </c>
      <c r="AB7" s="11" t="inlineStr">
        <is>
          <t>2026-05</t>
        </is>
      </c>
      <c r="AC7" s="11" t="inlineStr">
        <is>
          <t>2026-06</t>
        </is>
      </c>
      <c r="AD7" s="11" t="inlineStr">
        <is>
          <t>2026-07</t>
        </is>
      </c>
      <c r="AE7" s="11" t="inlineStr">
        <is>
          <t>2026-08</t>
        </is>
      </c>
      <c r="AF7" s="11" t="inlineStr">
        <is>
          <t>2026-09</t>
        </is>
      </c>
      <c r="AG7" s="11" t="inlineStr">
        <is>
          <t>2026-10</t>
        </is>
      </c>
      <c r="AH7" s="11" t="inlineStr">
        <is>
          <t>2026-11</t>
        </is>
      </c>
      <c r="AI7" s="11" t="inlineStr">
        <is>
          <t>2026-12</t>
        </is>
      </c>
      <c r="AJ7" s="11" t="inlineStr">
        <is>
          <t>2027-01</t>
        </is>
      </c>
      <c r="AK7" s="11" t="inlineStr">
        <is>
          <t>2027-02</t>
        </is>
      </c>
      <c r="AL7" s="11" t="inlineStr">
        <is>
          <t>2027-03</t>
        </is>
      </c>
      <c r="AM7" s="11" t="inlineStr">
        <is>
          <t>2027-04</t>
        </is>
      </c>
      <c r="AN7" s="11" t="inlineStr">
        <is>
          <t>2027-05</t>
        </is>
      </c>
      <c r="AO7" s="11" t="inlineStr">
        <is>
          <t>2027-06</t>
        </is>
      </c>
      <c r="AP7" s="11" t="inlineStr">
        <is>
          <t>2027-07</t>
        </is>
      </c>
      <c r="AQ7" s="11" t="inlineStr">
        <is>
          <t>2027-08</t>
        </is>
      </c>
      <c r="AR7" s="11" t="inlineStr">
        <is>
          <t>2027-09</t>
        </is>
      </c>
      <c r="AS7" s="11" t="inlineStr">
        <is>
          <t>2027-10</t>
        </is>
      </c>
      <c r="AT7" s="11" t="inlineStr">
        <is>
          <t>2027-11</t>
        </is>
      </c>
      <c r="AU7" s="11" t="inlineStr">
        <is>
          <t>2027-12</t>
        </is>
      </c>
      <c r="AV7" s="11" t="inlineStr">
        <is>
          <t>FY2026</t>
        </is>
      </c>
      <c r="AW7" s="11" t="inlineStr">
        <is>
          <t>FY2027</t>
        </is>
      </c>
      <c r="AX7" s="11" t="inlineStr">
        <is>
          <t>2028E</t>
        </is>
      </c>
      <c r="AY7" s="11" t="inlineStr">
        <is>
          <t>2029E</t>
        </is>
      </c>
      <c r="AZ7" s="11" t="inlineStr">
        <is>
          <t>2030E</t>
        </is>
      </c>
      <c r="BA7" s="11" t="inlineStr">
        <is>
          <t>5개년 합계</t>
        </is>
      </c>
    </row>
    <row r="9">
      <c r="A9" s="3" t="inlineStr">
        <is>
          <t>A. 경영계획(S1) — 거래처별 매출 입력</t>
        </is>
      </c>
    </row>
    <row r="10">
      <c r="A10" s="63" t="n">
        <v>1</v>
      </c>
      <c r="B10" s="15" t="inlineStr">
        <is>
          <t>한국</t>
        </is>
      </c>
      <c r="C10" s="15" t="inlineStr">
        <is>
          <t>한국</t>
        </is>
      </c>
      <c r="D10" s="15" t="inlineStr">
        <is>
          <t>네이버(Bebefit/Monit) — 베이비</t>
        </is>
      </c>
      <c r="E10" s="15" t="inlineStr">
        <is>
          <t>베이비</t>
        </is>
      </c>
      <c r="F10" s="15" t="inlineStr">
        <is>
          <t>온라인·B2C</t>
        </is>
      </c>
      <c r="G10" s="15" t="inlineStr">
        <is>
          <t>기존</t>
        </is>
      </c>
      <c r="H10" s="15" t="inlineStr">
        <is>
          <t>A 계약·기존 거래</t>
        </is>
      </c>
      <c r="I10" s="15" t="inlineStr">
        <is>
          <t>BABY</t>
        </is>
      </c>
      <c r="J10" s="64" t="inlineStr">
        <is>
          <t>M</t>
        </is>
      </c>
      <c r="K10" s="44">
        <f>AW10</f>
        <v>195000</v>
      </c>
      <c r="L10" s="65" t="n">
        <v>0.4</v>
      </c>
      <c r="M10" s="65" t="n">
        <v>0.2</v>
      </c>
      <c r="N10" s="65" t="n">
        <v>0.12</v>
      </c>
      <c r="V10" s="66" t="inlineStr">
        <is>
          <t>거래처 매출표</t>
        </is>
      </c>
      <c r="X10" s="56" t="n">
        <v>2371</v>
      </c>
      <c r="Y10" s="56" t="n">
        <v>1579</v>
      </c>
      <c r="Z10" s="56" t="n">
        <v>2546</v>
      </c>
      <c r="AA10" s="56" t="n">
        <v>3668</v>
      </c>
      <c r="AB10" s="56" t="n">
        <v>1798</v>
      </c>
      <c r="AC10" s="56" t="n">
        <v>1795</v>
      </c>
      <c r="AD10" s="56" t="n">
        <v>2955</v>
      </c>
      <c r="AE10" s="56" t="n">
        <v>1587</v>
      </c>
      <c r="AF10" s="56" t="n">
        <v>1879</v>
      </c>
      <c r="AG10" s="56" t="n">
        <v>2500</v>
      </c>
      <c r="AH10" s="56" t="n">
        <v>2500</v>
      </c>
      <c r="AI10" s="56" t="n">
        <v>2500</v>
      </c>
      <c r="AJ10" s="56" t="n">
        <v>5000</v>
      </c>
      <c r="AK10" s="56" t="n">
        <v>5000</v>
      </c>
      <c r="AL10" s="56" t="n">
        <v>5000</v>
      </c>
      <c r="AM10" s="56" t="n">
        <v>10000</v>
      </c>
      <c r="AN10" s="56" t="n">
        <v>10000</v>
      </c>
      <c r="AO10" s="56" t="n">
        <v>10000</v>
      </c>
      <c r="AP10" s="56" t="n">
        <v>20000</v>
      </c>
      <c r="AQ10" s="56" t="n">
        <v>20000</v>
      </c>
      <c r="AR10" s="56" t="n">
        <v>20000</v>
      </c>
      <c r="AS10" s="56" t="n">
        <v>30000</v>
      </c>
      <c r="AT10" s="56" t="n">
        <v>30000</v>
      </c>
      <c r="AU10" s="56" t="n">
        <v>30000</v>
      </c>
      <c r="AV10" s="25">
        <f>SUM(X10:AI10)</f>
        <v>27678</v>
      </c>
      <c r="AW10" s="25">
        <f>SUM(AJ10:AU10)</f>
        <v>195000</v>
      </c>
      <c r="AX10" s="46">
        <f>$K10*(1+$L10)</f>
        <v>273000</v>
      </c>
      <c r="AY10" s="46">
        <f>AX10*(1+$M10)</f>
        <v>327600</v>
      </c>
      <c r="AZ10" s="46">
        <f>AY10*(1+$N10)</f>
        <v>366912</v>
      </c>
      <c r="BA10" s="24">
        <f>SUM(AV10:AZ10)</f>
        <v>1190190</v>
      </c>
    </row>
    <row r="11">
      <c r="A11" s="63" t="n">
        <v>2</v>
      </c>
      <c r="B11" s="15" t="inlineStr">
        <is>
          <t>한국</t>
        </is>
      </c>
      <c r="C11" s="15" t="inlineStr">
        <is>
          <t>한국</t>
        </is>
      </c>
      <c r="D11" s="15" t="inlineStr">
        <is>
          <t>네이버(위탁상품) — 베이비</t>
        </is>
      </c>
      <c r="E11" s="15" t="inlineStr">
        <is>
          <t>베이비</t>
        </is>
      </c>
      <c r="F11" s="15" t="inlineStr">
        <is>
          <t>온라인·B2C</t>
        </is>
      </c>
      <c r="G11" s="15" t="inlineStr">
        <is>
          <t>기존</t>
        </is>
      </c>
      <c r="H11" s="15" t="inlineStr">
        <is>
          <t>A 계약·기존 거래</t>
        </is>
      </c>
      <c r="I11" s="15" t="inlineStr">
        <is>
          <t>BABY</t>
        </is>
      </c>
      <c r="J11" s="64" t="inlineStr">
        <is>
          <t>M</t>
        </is>
      </c>
      <c r="K11" s="44">
        <f>AW11</f>
        <v>120000</v>
      </c>
      <c r="L11" s="65" t="n">
        <v>0.4</v>
      </c>
      <c r="M11" s="65" t="n">
        <v>0.2</v>
      </c>
      <c r="N11" s="65" t="n">
        <v>0.12</v>
      </c>
      <c r="V11" s="66" t="inlineStr">
        <is>
          <t>거래처 매출표</t>
        </is>
      </c>
      <c r="X11" s="56" t="n">
        <v>437</v>
      </c>
      <c r="Y11" s="56" t="n">
        <v>655</v>
      </c>
      <c r="Z11" s="56" t="n">
        <v>1002</v>
      </c>
      <c r="AA11" s="56" t="n">
        <v>735</v>
      </c>
      <c r="AB11" s="56" t="n">
        <v>721</v>
      </c>
      <c r="AC11" s="56" t="n">
        <v>498</v>
      </c>
      <c r="AD11" s="56" t="n">
        <v>835</v>
      </c>
      <c r="AE11" s="56" t="n">
        <v>473</v>
      </c>
      <c r="AF11" s="56" t="n">
        <v>1046</v>
      </c>
      <c r="AG11" s="56" t="n">
        <v>700</v>
      </c>
      <c r="AH11" s="56" t="n">
        <v>700</v>
      </c>
      <c r="AI11" s="56" t="n">
        <v>700</v>
      </c>
      <c r="AJ11" s="56" t="n">
        <v>10000</v>
      </c>
      <c r="AK11" s="56" t="n">
        <v>10000</v>
      </c>
      <c r="AL11" s="56" t="n">
        <v>10000</v>
      </c>
      <c r="AM11" s="56" t="n">
        <v>10000</v>
      </c>
      <c r="AN11" s="56" t="n">
        <v>10000</v>
      </c>
      <c r="AO11" s="56" t="n">
        <v>10000</v>
      </c>
      <c r="AP11" s="56" t="n">
        <v>10000</v>
      </c>
      <c r="AQ11" s="56" t="n">
        <v>10000</v>
      </c>
      <c r="AR11" s="56" t="n">
        <v>10000</v>
      </c>
      <c r="AS11" s="56" t="n">
        <v>10000</v>
      </c>
      <c r="AT11" s="56" t="n">
        <v>10000</v>
      </c>
      <c r="AU11" s="56" t="n">
        <v>10000</v>
      </c>
      <c r="AV11" s="25">
        <f>SUM(X11:AI11)</f>
        <v>8502</v>
      </c>
      <c r="AW11" s="25">
        <f>SUM(AJ11:AU11)</f>
        <v>120000</v>
      </c>
      <c r="AX11" s="46">
        <f>$K11*(1+$L11)</f>
        <v>168000</v>
      </c>
      <c r="AY11" s="46">
        <f>AX11*(1+$M11)</f>
        <v>201600</v>
      </c>
      <c r="AZ11" s="46">
        <f>AY11*(1+$N11)</f>
        <v>225792</v>
      </c>
      <c r="BA11" s="24">
        <f>SUM(AV11:AZ11)</f>
        <v>723894</v>
      </c>
    </row>
    <row r="12">
      <c r="A12" s="63" t="n">
        <v>3</v>
      </c>
      <c r="B12" s="15" t="inlineStr">
        <is>
          <t>한국</t>
        </is>
      </c>
      <c r="C12" s="15" t="inlineStr">
        <is>
          <t>한국</t>
        </is>
      </c>
      <c r="D12" s="15" t="inlineStr">
        <is>
          <t>쿠팡 — 베이비</t>
        </is>
      </c>
      <c r="E12" s="15" t="inlineStr">
        <is>
          <t>베이비</t>
        </is>
      </c>
      <c r="F12" s="15" t="inlineStr">
        <is>
          <t>온라인·B2C</t>
        </is>
      </c>
      <c r="G12" s="15" t="inlineStr">
        <is>
          <t>기존</t>
        </is>
      </c>
      <c r="H12" s="15" t="inlineStr">
        <is>
          <t>A 계약·기존 거래</t>
        </is>
      </c>
      <c r="I12" s="15" t="inlineStr">
        <is>
          <t>BABY</t>
        </is>
      </c>
      <c r="J12" s="64" t="inlineStr">
        <is>
          <t>M</t>
        </is>
      </c>
      <c r="K12" s="44">
        <f>AW12</f>
        <v>165000</v>
      </c>
      <c r="L12" s="65" t="n">
        <v>0.4</v>
      </c>
      <c r="M12" s="65" t="n">
        <v>0.2</v>
      </c>
      <c r="N12" s="65" t="n">
        <v>0.12</v>
      </c>
      <c r="V12" s="66" t="inlineStr">
        <is>
          <t>거래처 매출표</t>
        </is>
      </c>
      <c r="X12" s="56" t="n">
        <v>2678</v>
      </c>
      <c r="Y12" s="56" t="n">
        <v>3941</v>
      </c>
      <c r="Z12" s="56" t="n">
        <v>4603</v>
      </c>
      <c r="AA12" s="56" t="n">
        <v>3442</v>
      </c>
      <c r="AB12" s="56" t="n">
        <v>1575</v>
      </c>
      <c r="AC12" s="56" t="n">
        <v>7345</v>
      </c>
      <c r="AD12" s="56" t="n">
        <v>3789</v>
      </c>
      <c r="AE12" s="56" t="n">
        <v>3603</v>
      </c>
      <c r="AF12" s="56" t="n">
        <v>2983</v>
      </c>
      <c r="AG12" s="56" t="n">
        <v>3000</v>
      </c>
      <c r="AH12" s="56" t="n">
        <v>3000</v>
      </c>
      <c r="AI12" s="56" t="n">
        <v>3000</v>
      </c>
      <c r="AJ12" s="56" t="n">
        <v>5000</v>
      </c>
      <c r="AK12" s="56" t="n">
        <v>5000</v>
      </c>
      <c r="AL12" s="56" t="n">
        <v>5000</v>
      </c>
      <c r="AM12" s="56" t="n">
        <v>10000</v>
      </c>
      <c r="AN12" s="56" t="n">
        <v>10000</v>
      </c>
      <c r="AO12" s="56" t="n">
        <v>10000</v>
      </c>
      <c r="AP12" s="56" t="n">
        <v>20000</v>
      </c>
      <c r="AQ12" s="56" t="n">
        <v>20000</v>
      </c>
      <c r="AR12" s="56" t="n">
        <v>20000</v>
      </c>
      <c r="AS12" s="56" t="n">
        <v>20000</v>
      </c>
      <c r="AT12" s="56" t="n">
        <v>20000</v>
      </c>
      <c r="AU12" s="56" t="n">
        <v>20000</v>
      </c>
      <c r="AV12" s="25">
        <f>SUM(X12:AI12)</f>
        <v>42959</v>
      </c>
      <c r="AW12" s="25">
        <f>SUM(AJ12:AU12)</f>
        <v>165000</v>
      </c>
      <c r="AX12" s="46">
        <f>$K12*(1+$L12)</f>
        <v>231000</v>
      </c>
      <c r="AY12" s="46">
        <f>AX12*(1+$M12)</f>
        <v>277200</v>
      </c>
      <c r="AZ12" s="46">
        <f>AY12*(1+$N12)</f>
        <v>310464</v>
      </c>
      <c r="BA12" s="24">
        <f>SUM(AV12:AZ12)</f>
        <v>1026623</v>
      </c>
    </row>
    <row r="13">
      <c r="A13" s="63" t="n">
        <v>4</v>
      </c>
      <c r="B13" s="15" t="inlineStr">
        <is>
          <t>한국</t>
        </is>
      </c>
      <c r="C13" s="15" t="inlineStr">
        <is>
          <t>한국</t>
        </is>
      </c>
      <c r="D13" s="15" t="inlineStr">
        <is>
          <t>기타 B2C — 베이비</t>
        </is>
      </c>
      <c r="E13" s="15" t="inlineStr">
        <is>
          <t>베이비</t>
        </is>
      </c>
      <c r="F13" s="15" t="inlineStr">
        <is>
          <t>온라인·B2C</t>
        </is>
      </c>
      <c r="G13" s="15" t="inlineStr">
        <is>
          <t>기존</t>
        </is>
      </c>
      <c r="H13" s="15" t="inlineStr">
        <is>
          <t>A 계약·기존 거래</t>
        </is>
      </c>
      <c r="I13" s="15" t="inlineStr">
        <is>
          <t>BABY</t>
        </is>
      </c>
      <c r="J13" s="64" t="inlineStr">
        <is>
          <t>M</t>
        </is>
      </c>
      <c r="K13" s="44">
        <f>AW13</f>
        <v>171000</v>
      </c>
      <c r="L13" s="65" t="n">
        <v>0.4</v>
      </c>
      <c r="M13" s="65" t="n">
        <v>0.2</v>
      </c>
      <c r="N13" s="65" t="n">
        <v>0.12</v>
      </c>
      <c r="V13" s="66" t="inlineStr">
        <is>
          <t>거래처 매출표</t>
        </is>
      </c>
      <c r="X13" s="56" t="n">
        <v>2252</v>
      </c>
      <c r="Y13" s="56" t="n">
        <v>3394</v>
      </c>
      <c r="Z13" s="56" t="n">
        <v>2263</v>
      </c>
      <c r="AA13" s="56" t="n">
        <v>2605</v>
      </c>
      <c r="AB13" s="56" t="n">
        <v>2220</v>
      </c>
      <c r="AC13" s="56" t="n">
        <v>1490</v>
      </c>
      <c r="AD13" s="56" t="n">
        <v>4052</v>
      </c>
      <c r="AE13" s="56" t="n">
        <v>1576</v>
      </c>
      <c r="AF13" s="56" t="n">
        <v>1220</v>
      </c>
      <c r="AG13" s="56" t="n">
        <v>2500</v>
      </c>
      <c r="AH13" s="56" t="n">
        <v>2500</v>
      </c>
      <c r="AI13" s="56" t="n">
        <v>2500</v>
      </c>
      <c r="AJ13" s="56" t="n">
        <v>5000</v>
      </c>
      <c r="AK13" s="56" t="n">
        <v>5000</v>
      </c>
      <c r="AL13" s="56" t="n">
        <v>5000</v>
      </c>
      <c r="AM13" s="56" t="n">
        <v>10000</v>
      </c>
      <c r="AN13" s="56" t="n">
        <v>10000</v>
      </c>
      <c r="AO13" s="56" t="n">
        <v>10000</v>
      </c>
      <c r="AP13" s="56" t="n">
        <v>18000</v>
      </c>
      <c r="AQ13" s="56" t="n">
        <v>18000</v>
      </c>
      <c r="AR13" s="56" t="n">
        <v>18000</v>
      </c>
      <c r="AS13" s="56" t="n">
        <v>24000</v>
      </c>
      <c r="AT13" s="56" t="n">
        <v>24000</v>
      </c>
      <c r="AU13" s="56" t="n">
        <v>24000</v>
      </c>
      <c r="AV13" s="25">
        <f>SUM(X13:AI13)</f>
        <v>28572</v>
      </c>
      <c r="AW13" s="25">
        <f>SUM(AJ13:AU13)</f>
        <v>171000</v>
      </c>
      <c r="AX13" s="46">
        <f>$K13*(1+$L13)</f>
        <v>239400</v>
      </c>
      <c r="AY13" s="46">
        <f>AX13*(1+$M13)</f>
        <v>287280</v>
      </c>
      <c r="AZ13" s="46">
        <f>AY13*(1+$N13)</f>
        <v>321753.6</v>
      </c>
      <c r="BA13" s="24">
        <f>SUM(AV13:AZ13)</f>
        <v>1048005.6</v>
      </c>
    </row>
    <row r="14">
      <c r="A14" s="63" t="n">
        <v>5</v>
      </c>
      <c r="B14" s="15" t="inlineStr">
        <is>
          <t>한국</t>
        </is>
      </c>
      <c r="C14" s="15" t="inlineStr">
        <is>
          <t>한국</t>
        </is>
      </c>
      <c r="D14" s="15" t="inlineStr">
        <is>
          <t>B2B(국내) — 베이비</t>
        </is>
      </c>
      <c r="E14" s="15" t="inlineStr">
        <is>
          <t>베이비</t>
        </is>
      </c>
      <c r="F14" s="15" t="inlineStr">
        <is>
          <t>국내 B2B</t>
        </is>
      </c>
      <c r="G14" s="15" t="inlineStr">
        <is>
          <t>기존</t>
        </is>
      </c>
      <c r="H14" s="15" t="inlineStr">
        <is>
          <t>A 계약·기존 거래</t>
        </is>
      </c>
      <c r="I14" s="15" t="inlineStr">
        <is>
          <t>BABY</t>
        </is>
      </c>
      <c r="J14" s="64" t="inlineStr">
        <is>
          <t>M</t>
        </is>
      </c>
      <c r="K14" s="44">
        <f>AW14</f>
        <v>220000</v>
      </c>
      <c r="L14" s="65" t="n">
        <v>0.4</v>
      </c>
      <c r="M14" s="65" t="n">
        <v>0.2</v>
      </c>
      <c r="N14" s="65" t="n">
        <v>0.12</v>
      </c>
      <c r="V14" s="66" t="inlineStr">
        <is>
          <t>거래처 매출표</t>
        </is>
      </c>
      <c r="X14" s="56" t="n">
        <v>0</v>
      </c>
      <c r="Y14" s="56" t="n">
        <v>0</v>
      </c>
      <c r="Z14" s="56" t="n">
        <v>0</v>
      </c>
      <c r="AA14" s="56" t="n">
        <v>0</v>
      </c>
      <c r="AB14" s="56" t="n">
        <v>0</v>
      </c>
      <c r="AC14" s="56" t="n">
        <v>0</v>
      </c>
      <c r="AD14" s="56" t="n">
        <v>0</v>
      </c>
      <c r="AE14" s="56" t="n">
        <v>0</v>
      </c>
      <c r="AF14" s="56" t="n">
        <v>0</v>
      </c>
      <c r="AG14" s="56" t="n">
        <v>0</v>
      </c>
      <c r="AH14" s="56" t="n">
        <v>0</v>
      </c>
      <c r="AI14" s="56" t="n">
        <v>10000</v>
      </c>
      <c r="AJ14" s="56" t="n">
        <v>10517</v>
      </c>
      <c r="AK14" s="56" t="n">
        <v>11531</v>
      </c>
      <c r="AL14" s="56" t="n">
        <v>12641</v>
      </c>
      <c r="AM14" s="56" t="n">
        <v>13859</v>
      </c>
      <c r="AN14" s="56" t="n">
        <v>15194</v>
      </c>
      <c r="AO14" s="56" t="n">
        <v>16657</v>
      </c>
      <c r="AP14" s="56" t="n">
        <v>18262</v>
      </c>
      <c r="AQ14" s="56" t="n">
        <v>20021</v>
      </c>
      <c r="AR14" s="56" t="n">
        <v>21949</v>
      </c>
      <c r="AS14" s="56" t="n">
        <v>24064</v>
      </c>
      <c r="AT14" s="56" t="n">
        <v>26382</v>
      </c>
      <c r="AU14" s="56" t="n">
        <v>28923</v>
      </c>
      <c r="AV14" s="25">
        <f>SUM(X14:AI14)</f>
        <v>10000</v>
      </c>
      <c r="AW14" s="25">
        <f>SUM(AJ14:AU14)</f>
        <v>220000</v>
      </c>
      <c r="AX14" s="46">
        <f>$K14*(1+$L14)</f>
        <v>308000</v>
      </c>
      <c r="AY14" s="46">
        <f>AX14*(1+$M14)</f>
        <v>369600</v>
      </c>
      <c r="AZ14" s="46">
        <f>AY14*(1+$N14)</f>
        <v>413952</v>
      </c>
      <c r="BA14" s="24">
        <f>SUM(AV14:AZ14)</f>
        <v>1321552</v>
      </c>
    </row>
    <row r="15">
      <c r="A15" s="63" t="n">
        <v>6</v>
      </c>
      <c r="B15" s="15" t="inlineStr">
        <is>
          <t>한국</t>
        </is>
      </c>
      <c r="C15" s="15" t="inlineStr">
        <is>
          <t>한국</t>
        </is>
      </c>
      <c r="D15" s="15" t="inlineStr">
        <is>
          <t>APP KOREA — 유아(스마트 베이비 기저귀)</t>
        </is>
      </c>
      <c r="E15" s="15" t="inlineStr">
        <is>
          <t>베이비</t>
        </is>
      </c>
      <c r="F15" s="15" t="inlineStr">
        <is>
          <t>파트너</t>
        </is>
      </c>
      <c r="G15" s="15" t="inlineStr">
        <is>
          <t>계약</t>
        </is>
      </c>
      <c r="H15" s="15" t="inlineStr">
        <is>
          <t>A 계약·기존 거래</t>
        </is>
      </c>
      <c r="I15" s="15" t="inlineStr">
        <is>
          <t>BABY</t>
        </is>
      </c>
      <c r="J15" s="64" t="inlineStr">
        <is>
          <t>M</t>
        </is>
      </c>
      <c r="K15" s="44">
        <f>AW15</f>
        <v>1200000</v>
      </c>
      <c r="L15" s="65" t="n">
        <v>0.64</v>
      </c>
      <c r="M15" s="65" t="n">
        <v>0.3</v>
      </c>
      <c r="N15" s="65" t="n">
        <v>0.2</v>
      </c>
      <c r="V15" s="66" t="inlineStr">
        <is>
          <t>거래처 매출표 · IR p.12 APP 베이비 협업</t>
        </is>
      </c>
      <c r="X15" s="56" t="n">
        <v>0</v>
      </c>
      <c r="Y15" s="56" t="n">
        <v>0</v>
      </c>
      <c r="Z15" s="56" t="n">
        <v>0</v>
      </c>
      <c r="AA15" s="56" t="n">
        <v>0</v>
      </c>
      <c r="AB15" s="56" t="n">
        <v>0</v>
      </c>
      <c r="AC15" s="56" t="n">
        <v>0</v>
      </c>
      <c r="AD15" s="56" t="n">
        <v>0</v>
      </c>
      <c r="AE15" s="56" t="n">
        <v>0</v>
      </c>
      <c r="AF15" s="56" t="n">
        <v>0</v>
      </c>
      <c r="AG15" s="56" t="n">
        <v>0</v>
      </c>
      <c r="AH15" s="56" t="n">
        <v>0</v>
      </c>
      <c r="AI15" s="56" t="n">
        <v>0</v>
      </c>
      <c r="AJ15" s="56" t="n">
        <v>100000</v>
      </c>
      <c r="AK15" s="56" t="n">
        <v>100000</v>
      </c>
      <c r="AL15" s="56" t="n">
        <v>100000</v>
      </c>
      <c r="AM15" s="56" t="n">
        <v>100000</v>
      </c>
      <c r="AN15" s="56" t="n">
        <v>100000</v>
      </c>
      <c r="AO15" s="56" t="n">
        <v>100000</v>
      </c>
      <c r="AP15" s="56" t="n">
        <v>100000</v>
      </c>
      <c r="AQ15" s="56" t="n">
        <v>100000</v>
      </c>
      <c r="AR15" s="56" t="n">
        <v>100000</v>
      </c>
      <c r="AS15" s="56" t="n">
        <v>100000</v>
      </c>
      <c r="AT15" s="56" t="n">
        <v>100000</v>
      </c>
      <c r="AU15" s="56" t="n">
        <v>100000</v>
      </c>
      <c r="AV15" s="25">
        <f>SUM(X15:AI15)</f>
        <v>0</v>
      </c>
      <c r="AW15" s="25">
        <f>SUM(AJ15:AU15)</f>
        <v>1200000</v>
      </c>
      <c r="AX15" s="46">
        <f>$K15*(1+$L15)</f>
        <v>1968000</v>
      </c>
      <c r="AY15" s="46">
        <f>AX15*(1+$M15)</f>
        <v>2558400</v>
      </c>
      <c r="AZ15" s="46">
        <f>AY15*(1+$N15)</f>
        <v>3070080</v>
      </c>
      <c r="BA15" s="24">
        <f>SUM(AV15:AZ15)</f>
        <v>8796480</v>
      </c>
    </row>
    <row r="16">
      <c r="A16" s="63" t="n">
        <v>7</v>
      </c>
      <c r="B16" s="15" t="inlineStr">
        <is>
          <t>대만</t>
        </is>
      </c>
      <c r="C16" s="15" t="inlineStr">
        <is>
          <t>동남아·APAC</t>
        </is>
      </c>
      <c r="D16" s="15" t="inlineStr">
        <is>
          <t>Little Loft(대만, 베이비)</t>
        </is>
      </c>
      <c r="E16" s="15" t="inlineStr">
        <is>
          <t>베이비</t>
        </is>
      </c>
      <c r="F16" s="15" t="inlineStr">
        <is>
          <t>총판</t>
        </is>
      </c>
      <c r="G16" s="15" t="inlineStr">
        <is>
          <t>계약</t>
        </is>
      </c>
      <c r="H16" s="15" t="inlineStr">
        <is>
          <t>A 계약·기존 거래</t>
        </is>
      </c>
      <c r="I16" s="15" t="inlineStr">
        <is>
          <t>BABY</t>
        </is>
      </c>
      <c r="J16" s="64" t="inlineStr">
        <is>
          <t>M</t>
        </is>
      </c>
      <c r="K16" s="44">
        <f>AW16</f>
        <v>100000</v>
      </c>
      <c r="L16" s="65" t="n">
        <v>1.6</v>
      </c>
      <c r="M16" s="65" t="n">
        <v>0.8</v>
      </c>
      <c r="N16" s="65" t="n">
        <v>0.48</v>
      </c>
      <c r="V16" s="66" t="inlineStr">
        <is>
          <t>거래처 매출표</t>
        </is>
      </c>
      <c r="X16" s="56" t="n">
        <v>0</v>
      </c>
      <c r="Y16" s="56" t="n">
        <v>0</v>
      </c>
      <c r="Z16" s="56" t="n">
        <v>0</v>
      </c>
      <c r="AA16" s="56" t="n">
        <v>0</v>
      </c>
      <c r="AB16" s="56" t="n">
        <v>15004</v>
      </c>
      <c r="AC16" s="56" t="n">
        <v>15946</v>
      </c>
      <c r="AD16" s="56" t="n">
        <v>0</v>
      </c>
      <c r="AE16" s="56" t="n">
        <v>0</v>
      </c>
      <c r="AF16" s="56" t="n">
        <v>0</v>
      </c>
      <c r="AG16" s="56" t="n">
        <v>0</v>
      </c>
      <c r="AH16" s="56" t="n">
        <v>20000</v>
      </c>
      <c r="AI16" s="56" t="n">
        <v>0</v>
      </c>
      <c r="AJ16" s="56" t="n">
        <v>4781</v>
      </c>
      <c r="AK16" s="56" t="n">
        <v>5241</v>
      </c>
      <c r="AL16" s="56" t="n">
        <v>5746</v>
      </c>
      <c r="AM16" s="56" t="n">
        <v>6299</v>
      </c>
      <c r="AN16" s="56" t="n">
        <v>6906</v>
      </c>
      <c r="AO16" s="56" t="n">
        <v>7572</v>
      </c>
      <c r="AP16" s="56" t="n">
        <v>8301</v>
      </c>
      <c r="AQ16" s="56" t="n">
        <v>9100</v>
      </c>
      <c r="AR16" s="56" t="n">
        <v>9977</v>
      </c>
      <c r="AS16" s="56" t="n">
        <v>10938</v>
      </c>
      <c r="AT16" s="56" t="n">
        <v>11992</v>
      </c>
      <c r="AU16" s="56" t="n">
        <v>13147</v>
      </c>
      <c r="AV16" s="25">
        <f>SUM(X16:AI16)</f>
        <v>50950</v>
      </c>
      <c r="AW16" s="25">
        <f>SUM(AJ16:AU16)</f>
        <v>100000</v>
      </c>
      <c r="AX16" s="46">
        <f>$K16*(1+$L16)</f>
        <v>260000</v>
      </c>
      <c r="AY16" s="46">
        <f>AX16*(1+$M16)</f>
        <v>468000</v>
      </c>
      <c r="AZ16" s="46">
        <f>AY16*(1+$N16)</f>
        <v>692640</v>
      </c>
      <c r="BA16" s="24">
        <f>SUM(AV16:AZ16)</f>
        <v>1571590</v>
      </c>
    </row>
    <row r="17">
      <c r="A17" s="63" t="n">
        <v>8</v>
      </c>
      <c r="B17" s="15" t="inlineStr">
        <is>
          <t>태국</t>
        </is>
      </c>
      <c r="C17" s="15" t="inlineStr">
        <is>
          <t>동남아·APAC</t>
        </is>
      </c>
      <c r="D17" s="15" t="inlineStr">
        <is>
          <t>Punnita House(태국, 베이비)</t>
        </is>
      </c>
      <c r="E17" s="15" t="inlineStr">
        <is>
          <t>베이비</t>
        </is>
      </c>
      <c r="F17" s="15" t="inlineStr">
        <is>
          <t>총판</t>
        </is>
      </c>
      <c r="G17" s="15" t="inlineStr">
        <is>
          <t>계약</t>
        </is>
      </c>
      <c r="H17" s="15" t="inlineStr">
        <is>
          <t>A 계약·기존 거래</t>
        </is>
      </c>
      <c r="I17" s="15" t="inlineStr">
        <is>
          <t>BABY</t>
        </is>
      </c>
      <c r="J17" s="64" t="inlineStr">
        <is>
          <t>M</t>
        </is>
      </c>
      <c r="K17" s="44">
        <f>AW17</f>
        <v>120000</v>
      </c>
      <c r="L17" s="65" t="n">
        <v>1.6</v>
      </c>
      <c r="M17" s="65" t="n">
        <v>0.8</v>
      </c>
      <c r="N17" s="65" t="n">
        <v>0.48</v>
      </c>
      <c r="V17" s="66" t="inlineStr">
        <is>
          <t>거래처 매출표 · USD 30,000 발주: 2026-12 선금 50%(2,000만원) + 잔금 50%(2,000만원)는 2027-01에 반영(잔금 수령월은 가정)</t>
        </is>
      </c>
      <c r="X17" s="56" t="n">
        <v>0</v>
      </c>
      <c r="Y17" s="56" t="n">
        <v>0</v>
      </c>
      <c r="Z17" s="56" t="n">
        <v>22595</v>
      </c>
      <c r="AA17" s="56" t="n">
        <v>0</v>
      </c>
      <c r="AB17" s="56" t="n">
        <v>0</v>
      </c>
      <c r="AC17" s="56" t="n">
        <v>23287</v>
      </c>
      <c r="AD17" s="56" t="n">
        <v>0</v>
      </c>
      <c r="AE17" s="56" t="n">
        <v>0</v>
      </c>
      <c r="AF17" s="56" t="n">
        <v>0</v>
      </c>
      <c r="AG17" s="56" t="n">
        <v>0</v>
      </c>
      <c r="AH17" s="56" t="n">
        <v>0</v>
      </c>
      <c r="AI17" s="56" t="n">
        <v>20000</v>
      </c>
      <c r="AJ17" s="56" t="n">
        <v>20000</v>
      </c>
      <c r="AK17" s="56" t="n">
        <v>0</v>
      </c>
      <c r="AL17" s="56" t="n">
        <v>6386</v>
      </c>
      <c r="AM17" s="56" t="n">
        <v>7001</v>
      </c>
      <c r="AN17" s="56" t="n">
        <v>7676</v>
      </c>
      <c r="AO17" s="56" t="n">
        <v>8415</v>
      </c>
      <c r="AP17" s="56" t="n">
        <v>9225</v>
      </c>
      <c r="AQ17" s="56" t="n">
        <v>10114</v>
      </c>
      <c r="AR17" s="56" t="n">
        <v>11088</v>
      </c>
      <c r="AS17" s="56" t="n">
        <v>12156</v>
      </c>
      <c r="AT17" s="56" t="n">
        <v>13327</v>
      </c>
      <c r="AU17" s="56" t="n">
        <v>14612</v>
      </c>
      <c r="AV17" s="25">
        <f>SUM(X17:AI17)</f>
        <v>65882</v>
      </c>
      <c r="AW17" s="25">
        <f>SUM(AJ17:AU17)</f>
        <v>120000</v>
      </c>
      <c r="AX17" s="46">
        <f>$K17*(1+$L17)</f>
        <v>312000</v>
      </c>
      <c r="AY17" s="46">
        <f>AX17*(1+$M17)</f>
        <v>561600</v>
      </c>
      <c r="AZ17" s="46">
        <f>AY17*(1+$N17)</f>
        <v>831168</v>
      </c>
      <c r="BA17" s="24">
        <f>SUM(AV17:AZ17)</f>
        <v>1890650</v>
      </c>
    </row>
    <row r="18">
      <c r="A18" s="63" t="n">
        <v>9</v>
      </c>
      <c r="B18" s="15" t="inlineStr">
        <is>
          <t>미정</t>
        </is>
      </c>
      <c r="C18" s="15" t="inlineStr">
        <is>
          <t>동남아·APAC</t>
        </is>
      </c>
      <c r="D18" s="15" t="inlineStr">
        <is>
          <t>신규 거래선-1 Swara Baby(베이비)</t>
        </is>
      </c>
      <c r="E18" s="15" t="inlineStr">
        <is>
          <t>베이비</t>
        </is>
      </c>
      <c r="F18" s="15" t="inlineStr">
        <is>
          <t>총판</t>
        </is>
      </c>
      <c r="G18" s="15" t="inlineStr">
        <is>
          <t>진행 중</t>
        </is>
      </c>
      <c r="H18" s="15" t="inlineStr">
        <is>
          <t>B 등록·입찰·협의 단계</t>
        </is>
      </c>
      <c r="I18" s="15" t="inlineStr">
        <is>
          <t>BABY</t>
        </is>
      </c>
      <c r="J18" s="64" t="inlineStr">
        <is>
          <t>M</t>
        </is>
      </c>
      <c r="K18" s="44">
        <f>AW18</f>
        <v>100000</v>
      </c>
      <c r="L18" s="65" t="n">
        <v>1.6</v>
      </c>
      <c r="M18" s="65" t="n">
        <v>0.8</v>
      </c>
      <c r="N18" s="65" t="n">
        <v>0.48</v>
      </c>
      <c r="V18" s="66" t="inlineStr">
        <is>
          <t>거래처 매출표 · 2027 신규</t>
        </is>
      </c>
      <c r="X18" s="56" t="n">
        <v>0</v>
      </c>
      <c r="Y18" s="56" t="n">
        <v>0</v>
      </c>
      <c r="Z18" s="56" t="n">
        <v>0</v>
      </c>
      <c r="AA18" s="56" t="n">
        <v>0</v>
      </c>
      <c r="AB18" s="56" t="n">
        <v>0</v>
      </c>
      <c r="AC18" s="56" t="n">
        <v>0</v>
      </c>
      <c r="AD18" s="56" t="n">
        <v>0</v>
      </c>
      <c r="AE18" s="56" t="n">
        <v>0</v>
      </c>
      <c r="AF18" s="56" t="n">
        <v>0</v>
      </c>
      <c r="AG18" s="56" t="n">
        <v>0</v>
      </c>
      <c r="AH18" s="56" t="n">
        <v>0</v>
      </c>
      <c r="AI18" s="56" t="n">
        <v>0</v>
      </c>
      <c r="AJ18" s="56" t="n">
        <v>4781</v>
      </c>
      <c r="AK18" s="56" t="n">
        <v>5241</v>
      </c>
      <c r="AL18" s="56" t="n">
        <v>5746</v>
      </c>
      <c r="AM18" s="56" t="n">
        <v>6299</v>
      </c>
      <c r="AN18" s="56" t="n">
        <v>6906</v>
      </c>
      <c r="AO18" s="56" t="n">
        <v>7572</v>
      </c>
      <c r="AP18" s="56" t="n">
        <v>8301</v>
      </c>
      <c r="AQ18" s="56" t="n">
        <v>9100</v>
      </c>
      <c r="AR18" s="56" t="n">
        <v>9977</v>
      </c>
      <c r="AS18" s="56" t="n">
        <v>10938</v>
      </c>
      <c r="AT18" s="56" t="n">
        <v>11992</v>
      </c>
      <c r="AU18" s="56" t="n">
        <v>13147</v>
      </c>
      <c r="AV18" s="25">
        <f>SUM(X18:AI18)</f>
        <v>0</v>
      </c>
      <c r="AW18" s="25">
        <f>SUM(AJ18:AU18)</f>
        <v>100000</v>
      </c>
      <c r="AX18" s="46">
        <f>$K18*(1+$L18)</f>
        <v>260000</v>
      </c>
      <c r="AY18" s="46">
        <f>AX18*(1+$M18)</f>
        <v>468000</v>
      </c>
      <c r="AZ18" s="46">
        <f>AY18*(1+$N18)</f>
        <v>692640</v>
      </c>
      <c r="BA18" s="24">
        <f>SUM(AV18:AZ18)</f>
        <v>1520640</v>
      </c>
    </row>
    <row r="19">
      <c r="A19" s="63" t="n">
        <v>10</v>
      </c>
      <c r="B19" s="15" t="inlineStr">
        <is>
          <t>미정</t>
        </is>
      </c>
      <c r="C19" s="15" t="inlineStr">
        <is>
          <t>동남아·APAC</t>
        </is>
      </c>
      <c r="D19" s="15" t="inlineStr">
        <is>
          <t>신규 거래선-2(베이비)</t>
        </is>
      </c>
      <c r="E19" s="15" t="inlineStr">
        <is>
          <t>베이비</t>
        </is>
      </c>
      <c r="F19" s="15" t="inlineStr">
        <is>
          <t>총판</t>
        </is>
      </c>
      <c r="G19" s="15" t="inlineStr">
        <is>
          <t>진행 중</t>
        </is>
      </c>
      <c r="H19" s="15" t="inlineStr">
        <is>
          <t>B 등록·입찰·협의 단계</t>
        </is>
      </c>
      <c r="I19" s="15" t="inlineStr">
        <is>
          <t>BABY</t>
        </is>
      </c>
      <c r="J19" s="64" t="inlineStr">
        <is>
          <t>M</t>
        </is>
      </c>
      <c r="K19" s="44">
        <f>AW19</f>
        <v>80000</v>
      </c>
      <c r="L19" s="65" t="n">
        <v>1.6</v>
      </c>
      <c r="M19" s="65" t="n">
        <v>0.8</v>
      </c>
      <c r="N19" s="65" t="n">
        <v>0.48</v>
      </c>
      <c r="V19" s="66" t="inlineStr">
        <is>
          <t>거래처 매출표 · 2027 신규</t>
        </is>
      </c>
      <c r="X19" s="56" t="n">
        <v>0</v>
      </c>
      <c r="Y19" s="56" t="n">
        <v>0</v>
      </c>
      <c r="Z19" s="56" t="n">
        <v>0</v>
      </c>
      <c r="AA19" s="56" t="n">
        <v>0</v>
      </c>
      <c r="AB19" s="56" t="n">
        <v>0</v>
      </c>
      <c r="AC19" s="56" t="n">
        <v>0</v>
      </c>
      <c r="AD19" s="56" t="n">
        <v>0</v>
      </c>
      <c r="AE19" s="56" t="n">
        <v>0</v>
      </c>
      <c r="AF19" s="56" t="n">
        <v>0</v>
      </c>
      <c r="AG19" s="56" t="n">
        <v>0</v>
      </c>
      <c r="AH19" s="56" t="n">
        <v>0</v>
      </c>
      <c r="AI19" s="56" t="n">
        <v>0</v>
      </c>
      <c r="AJ19" s="56" t="n">
        <v>0</v>
      </c>
      <c r="AK19" s="56" t="n">
        <v>4403</v>
      </c>
      <c r="AL19" s="56" t="n">
        <v>4828</v>
      </c>
      <c r="AM19" s="56" t="n">
        <v>5293</v>
      </c>
      <c r="AN19" s="56" t="n">
        <v>5802</v>
      </c>
      <c r="AO19" s="56" t="n">
        <v>6361</v>
      </c>
      <c r="AP19" s="56" t="n">
        <v>6974</v>
      </c>
      <c r="AQ19" s="56" t="n">
        <v>7646</v>
      </c>
      <c r="AR19" s="56" t="n">
        <v>8382</v>
      </c>
      <c r="AS19" s="56" t="n">
        <v>9190</v>
      </c>
      <c r="AT19" s="56" t="n">
        <v>10075</v>
      </c>
      <c r="AU19" s="56" t="n">
        <v>11046</v>
      </c>
      <c r="AV19" s="25">
        <f>SUM(X19:AI19)</f>
        <v>0</v>
      </c>
      <c r="AW19" s="25">
        <f>SUM(AJ19:AU19)</f>
        <v>80000</v>
      </c>
      <c r="AX19" s="46">
        <f>$K19*(1+$L19)</f>
        <v>208000</v>
      </c>
      <c r="AY19" s="46">
        <f>AX19*(1+$M19)</f>
        <v>374400</v>
      </c>
      <c r="AZ19" s="46">
        <f>AY19*(1+$N19)</f>
        <v>554112</v>
      </c>
      <c r="BA19" s="24">
        <f>SUM(AV19:AZ19)</f>
        <v>1216512</v>
      </c>
    </row>
    <row r="20">
      <c r="A20" s="63" t="n">
        <v>11</v>
      </c>
      <c r="B20" s="15" t="inlineStr">
        <is>
          <t>한국</t>
        </is>
      </c>
      <c r="C20" s="15" t="inlineStr">
        <is>
          <t>한국</t>
        </is>
      </c>
      <c r="D20" s="15" t="inlineStr">
        <is>
          <t>삼성노블카운티</t>
        </is>
      </c>
      <c r="E20" s="15" t="inlineStr">
        <is>
          <t>엘더리</t>
        </is>
      </c>
      <c r="F20" s="15" t="inlineStr">
        <is>
          <t>기관(직접)</t>
        </is>
      </c>
      <c r="G20" s="15" t="inlineStr">
        <is>
          <t>계약</t>
        </is>
      </c>
      <c r="H20" s="15" t="inlineStr">
        <is>
          <t>A 계약·기존 거래</t>
        </is>
      </c>
      <c r="I20" s="15" t="inlineStr">
        <is>
          <t>SUB</t>
        </is>
      </c>
      <c r="J20" s="64" t="inlineStr">
        <is>
          <t>M</t>
        </is>
      </c>
      <c r="K20" s="44">
        <f>AW20</f>
        <v>94800</v>
      </c>
      <c r="L20" s="65" t="n">
        <v>0.32</v>
      </c>
      <c r="M20" s="65" t="n">
        <v>0.15</v>
      </c>
      <c r="N20" s="65" t="n">
        <v>0.08</v>
      </c>
      <c r="V20" s="66" t="inlineStr">
        <is>
          <t>거래처 매출표 · 요양시설 레퍼런스(IR p.10)</t>
        </is>
      </c>
      <c r="X20" s="56" t="n">
        <v>0</v>
      </c>
      <c r="Y20" s="56" t="n">
        <v>0</v>
      </c>
      <c r="Z20" s="56" t="n">
        <v>0</v>
      </c>
      <c r="AA20" s="56" t="n">
        <v>0</v>
      </c>
      <c r="AB20" s="56" t="n">
        <v>0</v>
      </c>
      <c r="AC20" s="56" t="n">
        <v>0</v>
      </c>
      <c r="AD20" s="56" t="n">
        <v>0</v>
      </c>
      <c r="AE20" s="56" t="n">
        <v>0</v>
      </c>
      <c r="AF20" s="56" t="n">
        <v>0</v>
      </c>
      <c r="AG20" s="56" t="n">
        <v>0</v>
      </c>
      <c r="AH20" s="56" t="n">
        <v>7900</v>
      </c>
      <c r="AI20" s="56" t="n">
        <v>7900</v>
      </c>
      <c r="AJ20" s="56" t="n">
        <v>7900</v>
      </c>
      <c r="AK20" s="56" t="n">
        <v>7900</v>
      </c>
      <c r="AL20" s="56" t="n">
        <v>7900</v>
      </c>
      <c r="AM20" s="56" t="n">
        <v>7900</v>
      </c>
      <c r="AN20" s="56" t="n">
        <v>7900</v>
      </c>
      <c r="AO20" s="56" t="n">
        <v>7900</v>
      </c>
      <c r="AP20" s="56" t="n">
        <v>7900</v>
      </c>
      <c r="AQ20" s="56" t="n">
        <v>7900</v>
      </c>
      <c r="AR20" s="56" t="n">
        <v>7900</v>
      </c>
      <c r="AS20" s="56" t="n">
        <v>7900</v>
      </c>
      <c r="AT20" s="56" t="n">
        <v>7900</v>
      </c>
      <c r="AU20" s="56" t="n">
        <v>7900</v>
      </c>
      <c r="AV20" s="25">
        <f>SUM(X20:AI20)</f>
        <v>15800</v>
      </c>
      <c r="AW20" s="25">
        <f>SUM(AJ20:AU20)</f>
        <v>94800</v>
      </c>
      <c r="AX20" s="46">
        <f>$K20*(1+$L20)</f>
        <v>125136</v>
      </c>
      <c r="AY20" s="46">
        <f>AX20*(1+$M20)</f>
        <v>143906.4</v>
      </c>
      <c r="AZ20" s="46">
        <f>AY20*(1+$N20)</f>
        <v>155418.912</v>
      </c>
      <c r="BA20" s="24">
        <f>SUM(AV20:AZ20)</f>
        <v>535061.312</v>
      </c>
    </row>
    <row r="21">
      <c r="A21" s="63" t="n">
        <v>12</v>
      </c>
      <c r="B21" s="15" t="inlineStr">
        <is>
          <t>한국</t>
        </is>
      </c>
      <c r="C21" s="15" t="inlineStr">
        <is>
          <t>한국</t>
        </is>
      </c>
      <c r="D21" s="15" t="inlineStr">
        <is>
          <t>국내 요양병원·시설 구독 매출</t>
        </is>
      </c>
      <c r="E21" s="15" t="inlineStr">
        <is>
          <t>엘더리</t>
        </is>
      </c>
      <c r="F21" s="15" t="inlineStr">
        <is>
          <t>총판</t>
        </is>
      </c>
      <c r="G21" s="15" t="inlineStr">
        <is>
          <t>진행 중</t>
        </is>
      </c>
      <c r="H21" s="15" t="inlineStr">
        <is>
          <t>B 등록·입찰·협의 단계</t>
        </is>
      </c>
      <c r="I21" s="15" t="inlineStr">
        <is>
          <t>SUB</t>
        </is>
      </c>
      <c r="J21" s="64" t="inlineStr">
        <is>
          <t>M</t>
        </is>
      </c>
      <c r="K21" s="44">
        <f>AW21</f>
        <v>1986200</v>
      </c>
      <c r="L21" s="65" t="n">
        <v>1.44</v>
      </c>
      <c r="M21" s="65" t="n">
        <v>0.7</v>
      </c>
      <c r="N21" s="65" t="n">
        <v>0.4</v>
      </c>
      <c r="V21" s="66" t="inlineStr">
        <is>
          <t>거래처 매출표 · IR p.10 요양시설 기저귀 유통사 경유</t>
        </is>
      </c>
      <c r="X21" s="56" t="n">
        <v>0</v>
      </c>
      <c r="Y21" s="56" t="n">
        <v>0</v>
      </c>
      <c r="Z21" s="56" t="n">
        <v>0</v>
      </c>
      <c r="AA21" s="56" t="n">
        <v>0</v>
      </c>
      <c r="AB21" s="56" t="n">
        <v>0</v>
      </c>
      <c r="AC21" s="56" t="n">
        <v>0</v>
      </c>
      <c r="AD21" s="56" t="n">
        <v>0</v>
      </c>
      <c r="AE21" s="56" t="n">
        <v>0</v>
      </c>
      <c r="AF21" s="56" t="n">
        <v>0</v>
      </c>
      <c r="AG21" s="56" t="n">
        <v>0</v>
      </c>
      <c r="AH21" s="56" t="n">
        <v>22120</v>
      </c>
      <c r="AI21" s="56" t="n">
        <v>41080</v>
      </c>
      <c r="AJ21" s="56" t="n">
        <v>104676</v>
      </c>
      <c r="AK21" s="56" t="n">
        <v>115144</v>
      </c>
      <c r="AL21" s="56" t="n">
        <v>125612</v>
      </c>
      <c r="AM21" s="56" t="n">
        <v>136079</v>
      </c>
      <c r="AN21" s="56" t="n">
        <v>146547</v>
      </c>
      <c r="AO21" s="56" t="n">
        <v>167482</v>
      </c>
      <c r="AP21" s="56" t="n">
        <v>177950</v>
      </c>
      <c r="AQ21" s="56" t="n">
        <v>177950</v>
      </c>
      <c r="AR21" s="56" t="n">
        <v>188417</v>
      </c>
      <c r="AS21" s="56" t="n">
        <v>204980</v>
      </c>
      <c r="AT21" s="56" t="n">
        <v>215448</v>
      </c>
      <c r="AU21" s="56" t="n">
        <v>225915</v>
      </c>
      <c r="AV21" s="25">
        <f>SUM(X21:AI21)</f>
        <v>63200</v>
      </c>
      <c r="AW21" s="25">
        <f>SUM(AJ21:AU21)</f>
        <v>1986200</v>
      </c>
      <c r="AX21" s="46">
        <f>$K21*(1+$L21)</f>
        <v>4846328</v>
      </c>
      <c r="AY21" s="46">
        <f>AX21*(1+$M21)</f>
        <v>8238757.6</v>
      </c>
      <c r="AZ21" s="46">
        <f>AY21*(1+$N21)</f>
        <v>11534260.64</v>
      </c>
      <c r="BA21" s="24">
        <f>SUM(AV21:AZ21)</f>
        <v>26668746.24</v>
      </c>
    </row>
    <row r="22">
      <c r="A22" s="63" t="n">
        <v>13</v>
      </c>
      <c r="B22" s="15" t="inlineStr">
        <is>
          <t>한국</t>
        </is>
      </c>
      <c r="C22" s="15" t="inlineStr">
        <is>
          <t>한국</t>
        </is>
      </c>
      <c r="D22" s="15" t="inlineStr">
        <is>
          <t>피플앤테크놀로지 실증사업</t>
        </is>
      </c>
      <c r="E22" s="15" t="inlineStr">
        <is>
          <t>엘더리</t>
        </is>
      </c>
      <c r="F22" s="15" t="inlineStr">
        <is>
          <t>기관(직접)</t>
        </is>
      </c>
      <c r="G22" s="15" t="inlineStr">
        <is>
          <t>계약</t>
        </is>
      </c>
      <c r="H22" s="15" t="inlineStr">
        <is>
          <t>A 계약·기존 거래</t>
        </is>
      </c>
      <c r="I22" s="15" t="inlineStr">
        <is>
          <t>RND</t>
        </is>
      </c>
      <c r="J22" s="64" t="inlineStr">
        <is>
          <t>M</t>
        </is>
      </c>
      <c r="K22" s="44">
        <f>AW22</f>
        <v>16000</v>
      </c>
      <c r="L22" s="65" t="n">
        <v>0</v>
      </c>
      <c r="M22" s="65" t="n">
        <v>0</v>
      </c>
      <c r="N22" s="65" t="n">
        <v>0</v>
      </c>
      <c r="V22" s="66" t="inlineStr">
        <is>
          <t>거래처 매출표 · 실증사업: 2026-11 4,000천원, 2027 연 16,000천원</t>
        </is>
      </c>
      <c r="X22" s="56" t="n">
        <v>0</v>
      </c>
      <c r="Y22" s="56" t="n">
        <v>0</v>
      </c>
      <c r="Z22" s="56" t="n">
        <v>0</v>
      </c>
      <c r="AA22" s="56" t="n">
        <v>0</v>
      </c>
      <c r="AB22" s="56" t="n">
        <v>0</v>
      </c>
      <c r="AC22" s="56" t="n">
        <v>0</v>
      </c>
      <c r="AD22" s="56" t="n">
        <v>0</v>
      </c>
      <c r="AE22" s="56" t="n">
        <v>0</v>
      </c>
      <c r="AF22" s="56" t="n">
        <v>0</v>
      </c>
      <c r="AG22" s="56" t="n">
        <v>0</v>
      </c>
      <c r="AH22" s="56" t="n">
        <v>4000</v>
      </c>
      <c r="AI22" s="56" t="n">
        <v>0</v>
      </c>
      <c r="AJ22" s="56" t="n">
        <v>0</v>
      </c>
      <c r="AK22" s="56" t="n">
        <v>881</v>
      </c>
      <c r="AL22" s="56" t="n">
        <v>966</v>
      </c>
      <c r="AM22" s="56" t="n">
        <v>1059</v>
      </c>
      <c r="AN22" s="56" t="n">
        <v>1160</v>
      </c>
      <c r="AO22" s="56" t="n">
        <v>1272</v>
      </c>
      <c r="AP22" s="56" t="n">
        <v>1395</v>
      </c>
      <c r="AQ22" s="56" t="n">
        <v>1529</v>
      </c>
      <c r="AR22" s="56" t="n">
        <v>1676</v>
      </c>
      <c r="AS22" s="56" t="n">
        <v>1838</v>
      </c>
      <c r="AT22" s="56" t="n">
        <v>2015</v>
      </c>
      <c r="AU22" s="56" t="n">
        <v>2209</v>
      </c>
      <c r="AV22" s="25">
        <f>SUM(X22:AI22)</f>
        <v>4000</v>
      </c>
      <c r="AW22" s="25">
        <f>SUM(AJ22:AU22)</f>
        <v>16000</v>
      </c>
      <c r="AX22" s="46">
        <f>$K22*(1+$L22)</f>
        <v>16000</v>
      </c>
      <c r="AY22" s="46">
        <f>AX22*(1+$M22)</f>
        <v>16000</v>
      </c>
      <c r="AZ22" s="46">
        <f>AY22*(1+$N22)</f>
        <v>16000</v>
      </c>
      <c r="BA22" s="24">
        <f>SUM(AV22:AZ22)</f>
        <v>68000</v>
      </c>
    </row>
    <row r="23">
      <c r="A23" s="63" t="n">
        <v>14</v>
      </c>
      <c r="B23" s="15" t="inlineStr">
        <is>
          <t>한국</t>
        </is>
      </c>
      <c r="C23" s="15" t="inlineStr">
        <is>
          <t>한국</t>
        </is>
      </c>
      <c r="D23" s="15" t="inlineStr">
        <is>
          <t>네이버 — 엘더리</t>
        </is>
      </c>
      <c r="E23" s="15" t="inlineStr">
        <is>
          <t>엘더리</t>
        </is>
      </c>
      <c r="F23" s="15" t="inlineStr">
        <is>
          <t>온라인·B2C</t>
        </is>
      </c>
      <c r="G23" s="15" t="inlineStr">
        <is>
          <t>기존</t>
        </is>
      </c>
      <c r="H23" s="15" t="inlineStr">
        <is>
          <t>A 계약·기존 거래</t>
        </is>
      </c>
      <c r="I23" s="15" t="inlineStr">
        <is>
          <t>SUB</t>
        </is>
      </c>
      <c r="J23" s="64" t="inlineStr">
        <is>
          <t>M</t>
        </is>
      </c>
      <c r="K23" s="44">
        <f>AW23</f>
        <v>195000</v>
      </c>
      <c r="L23" s="65" t="n">
        <v>0</v>
      </c>
      <c r="M23" s="65" t="n">
        <v>0</v>
      </c>
      <c r="N23" s="65" t="n">
        <v>0</v>
      </c>
      <c r="V23" s="66" t="inlineStr">
        <is>
          <t>거래처 매출표 · 2027 표에 미표기</t>
        </is>
      </c>
      <c r="X23" s="56" t="n">
        <v>16399</v>
      </c>
      <c r="Y23" s="56" t="n">
        <v>22103</v>
      </c>
      <c r="Z23" s="56" t="n">
        <v>1001</v>
      </c>
      <c r="AA23" s="56" t="n">
        <v>49</v>
      </c>
      <c r="AB23" s="56" t="n">
        <v>310</v>
      </c>
      <c r="AC23" s="56" t="n">
        <v>651</v>
      </c>
      <c r="AD23" s="56" t="n">
        <v>254</v>
      </c>
      <c r="AE23" s="56" t="n">
        <v>135</v>
      </c>
      <c r="AF23" s="56" t="n">
        <v>103</v>
      </c>
      <c r="AG23" s="56" t="n">
        <v>5000</v>
      </c>
      <c r="AH23" s="56" t="n">
        <v>5000</v>
      </c>
      <c r="AI23" s="56" t="n">
        <v>5000</v>
      </c>
      <c r="AJ23" s="56" t="n">
        <v>5000</v>
      </c>
      <c r="AK23" s="56" t="n">
        <v>5000</v>
      </c>
      <c r="AL23" s="56" t="n">
        <v>5000</v>
      </c>
      <c r="AM23" s="56" t="n">
        <v>10000</v>
      </c>
      <c r="AN23" s="56" t="n">
        <v>10000</v>
      </c>
      <c r="AO23" s="56" t="n">
        <v>10000</v>
      </c>
      <c r="AP23" s="56" t="n">
        <v>20000</v>
      </c>
      <c r="AQ23" s="56" t="n">
        <v>20000</v>
      </c>
      <c r="AR23" s="56" t="n">
        <v>20000</v>
      </c>
      <c r="AS23" s="56" t="n">
        <v>30000</v>
      </c>
      <c r="AT23" s="56" t="n">
        <v>30000</v>
      </c>
      <c r="AU23" s="56" t="n">
        <v>30000</v>
      </c>
      <c r="AV23" s="25">
        <f>SUM(X23:AI23)</f>
        <v>56005</v>
      </c>
      <c r="AW23" s="25">
        <f>SUM(AJ23:AU23)</f>
        <v>195000</v>
      </c>
      <c r="AX23" s="46">
        <f>$K23*(1+$L23)</f>
        <v>195000</v>
      </c>
      <c r="AY23" s="46">
        <f>AX23*(1+$M23)</f>
        <v>195000</v>
      </c>
      <c r="AZ23" s="46">
        <f>AY23*(1+$N23)</f>
        <v>195000</v>
      </c>
      <c r="BA23" s="24">
        <f>SUM(AV23:AZ23)</f>
        <v>836005</v>
      </c>
    </row>
    <row r="24">
      <c r="A24" s="63" t="n">
        <v>15</v>
      </c>
      <c r="B24" s="15" t="inlineStr">
        <is>
          <t>한국</t>
        </is>
      </c>
      <c r="C24" s="15" t="inlineStr">
        <is>
          <t>한국</t>
        </is>
      </c>
      <c r="D24" s="15" t="inlineStr">
        <is>
          <t>쿠팡 — 엘더리</t>
        </is>
      </c>
      <c r="E24" s="15" t="inlineStr">
        <is>
          <t>엘더리</t>
        </is>
      </c>
      <c r="F24" s="15" t="inlineStr">
        <is>
          <t>온라인·B2C</t>
        </is>
      </c>
      <c r="G24" s="15" t="inlineStr">
        <is>
          <t>기존</t>
        </is>
      </c>
      <c r="H24" s="15" t="inlineStr">
        <is>
          <t>A 계약·기존 거래</t>
        </is>
      </c>
      <c r="I24" s="15" t="inlineStr">
        <is>
          <t>SUB</t>
        </is>
      </c>
      <c r="J24" s="64" t="inlineStr">
        <is>
          <t>M</t>
        </is>
      </c>
      <c r="K24" s="44">
        <f>AW24</f>
        <v>210000</v>
      </c>
      <c r="L24" s="65" t="n">
        <v>0.48</v>
      </c>
      <c r="M24" s="65" t="n">
        <v>0.25</v>
      </c>
      <c r="N24" s="65" t="n">
        <v>0.16</v>
      </c>
      <c r="V24" s="66" t="inlineStr">
        <is>
          <t>거래처 매출표</t>
        </is>
      </c>
      <c r="X24" s="56" t="n">
        <v>245</v>
      </c>
      <c r="Y24" s="56" t="n">
        <v>489</v>
      </c>
      <c r="Z24" s="56" t="n">
        <v>1033</v>
      </c>
      <c r="AA24" s="56" t="n">
        <v>436</v>
      </c>
      <c r="AB24" s="56" t="n">
        <v>689</v>
      </c>
      <c r="AC24" s="56" t="n">
        <v>441</v>
      </c>
      <c r="AD24" s="56" t="n">
        <v>787</v>
      </c>
      <c r="AE24" s="56" t="n">
        <v>323</v>
      </c>
      <c r="AF24" s="56" t="n">
        <v>292</v>
      </c>
      <c r="AG24" s="56" t="n">
        <v>5000</v>
      </c>
      <c r="AH24" s="56" t="n">
        <v>5000</v>
      </c>
      <c r="AI24" s="56" t="n">
        <v>5000</v>
      </c>
      <c r="AJ24" s="56" t="n">
        <v>10000</v>
      </c>
      <c r="AK24" s="56" t="n">
        <v>10000</v>
      </c>
      <c r="AL24" s="56" t="n">
        <v>10000</v>
      </c>
      <c r="AM24" s="56" t="n">
        <v>20000</v>
      </c>
      <c r="AN24" s="56" t="n">
        <v>20000</v>
      </c>
      <c r="AO24" s="56" t="n">
        <v>20000</v>
      </c>
      <c r="AP24" s="56" t="n">
        <v>20000</v>
      </c>
      <c r="AQ24" s="56" t="n">
        <v>20000</v>
      </c>
      <c r="AR24" s="56" t="n">
        <v>20000</v>
      </c>
      <c r="AS24" s="56" t="n">
        <v>20000</v>
      </c>
      <c r="AT24" s="56" t="n">
        <v>20000</v>
      </c>
      <c r="AU24" s="56" t="n">
        <v>20000</v>
      </c>
      <c r="AV24" s="25">
        <f>SUM(X24:AI24)</f>
        <v>19735</v>
      </c>
      <c r="AW24" s="25">
        <f>SUM(AJ24:AU24)</f>
        <v>210000</v>
      </c>
      <c r="AX24" s="46">
        <f>$K24*(1+$L24)</f>
        <v>310800</v>
      </c>
      <c r="AY24" s="46">
        <f>AX24*(1+$M24)</f>
        <v>388500</v>
      </c>
      <c r="AZ24" s="46">
        <f>AY24*(1+$N24)</f>
        <v>450660</v>
      </c>
      <c r="BA24" s="24">
        <f>SUM(AV24:AZ24)</f>
        <v>1379695</v>
      </c>
    </row>
    <row r="25">
      <c r="A25" s="63" t="n">
        <v>16</v>
      </c>
      <c r="B25" s="15" t="inlineStr">
        <is>
          <t>한국</t>
        </is>
      </c>
      <c r="C25" s="15" t="inlineStr">
        <is>
          <t>한국</t>
        </is>
      </c>
      <c r="D25" s="15" t="inlineStr">
        <is>
          <t>복지용구(NHIS 급여, 기저귀센서)</t>
        </is>
      </c>
      <c r="E25" s="15" t="inlineStr">
        <is>
          <t>엘더리</t>
        </is>
      </c>
      <c r="F25" s="15" t="inlineStr">
        <is>
          <t>B2G·제도</t>
        </is>
      </c>
      <c r="G25" s="15" t="inlineStr">
        <is>
          <t>등록 완료</t>
        </is>
      </c>
      <c r="H25" s="15" t="inlineStr">
        <is>
          <t>B 등록·입찰·협의 단계</t>
        </is>
      </c>
      <c r="I25" s="15" t="inlineStr">
        <is>
          <t>NHIS</t>
        </is>
      </c>
      <c r="J25" s="64" t="inlineStr">
        <is>
          <t>M</t>
        </is>
      </c>
      <c r="K25" s="44">
        <f>AW25</f>
        <v>300000</v>
      </c>
      <c r="L25" s="65" t="n">
        <v>0.96</v>
      </c>
      <c r="M25" s="65" t="n">
        <v>0.5</v>
      </c>
      <c r="N25" s="65" t="n">
        <v>0.32</v>
      </c>
      <c r="V25" s="66" t="inlineStr">
        <is>
          <t>거래처 매출표 · IR p.9 NHIS 혁신 복지용구</t>
        </is>
      </c>
      <c r="X25" s="56" t="n">
        <v>9806</v>
      </c>
      <c r="Y25" s="56" t="n">
        <v>3979</v>
      </c>
      <c r="Z25" s="56" t="n">
        <v>2010</v>
      </c>
      <c r="AA25" s="56" t="n">
        <v>0</v>
      </c>
      <c r="AB25" s="56" t="n">
        <v>0</v>
      </c>
      <c r="AC25" s="56" t="n">
        <v>0</v>
      </c>
      <c r="AD25" s="56" t="n">
        <v>0</v>
      </c>
      <c r="AE25" s="56" t="n">
        <v>0</v>
      </c>
      <c r="AF25" s="56" t="n">
        <v>0</v>
      </c>
      <c r="AG25" s="56" t="n">
        <v>0</v>
      </c>
      <c r="AH25" s="56" t="n">
        <v>0</v>
      </c>
      <c r="AI25" s="56" t="n">
        <v>0</v>
      </c>
      <c r="AJ25" s="56" t="n">
        <v>0</v>
      </c>
      <c r="AK25" s="56" t="n">
        <v>0</v>
      </c>
      <c r="AL25" s="56" t="n">
        <v>30000</v>
      </c>
      <c r="AM25" s="56" t="n">
        <v>30000</v>
      </c>
      <c r="AN25" s="56" t="n">
        <v>30000</v>
      </c>
      <c r="AO25" s="56" t="n">
        <v>30000</v>
      </c>
      <c r="AP25" s="56" t="n">
        <v>30000</v>
      </c>
      <c r="AQ25" s="56" t="n">
        <v>30000</v>
      </c>
      <c r="AR25" s="56" t="n">
        <v>30000</v>
      </c>
      <c r="AS25" s="56" t="n">
        <v>30000</v>
      </c>
      <c r="AT25" s="56" t="n">
        <v>30000</v>
      </c>
      <c r="AU25" s="56" t="n">
        <v>30000</v>
      </c>
      <c r="AV25" s="25">
        <f>SUM(X25:AI25)</f>
        <v>15795</v>
      </c>
      <c r="AW25" s="25">
        <f>SUM(AJ25:AU25)</f>
        <v>300000</v>
      </c>
      <c r="AX25" s="46">
        <f>$K25*(1+$L25)</f>
        <v>588000</v>
      </c>
      <c r="AY25" s="46">
        <f>AX25*(1+$M25)</f>
        <v>882000</v>
      </c>
      <c r="AZ25" s="46">
        <f>AY25*(1+$N25)</f>
        <v>1164240</v>
      </c>
      <c r="BA25" s="24">
        <f>SUM(AV25:AZ25)</f>
        <v>2950035</v>
      </c>
    </row>
    <row r="26">
      <c r="A26" s="63" t="n">
        <v>17</v>
      </c>
      <c r="B26" s="15" t="inlineStr">
        <is>
          <t>한국</t>
        </is>
      </c>
      <c r="C26" s="15" t="inlineStr">
        <is>
          <t>한국</t>
        </is>
      </c>
      <c r="D26" s="15" t="inlineStr">
        <is>
          <t>국내 B2B 기타</t>
        </is>
      </c>
      <c r="E26" s="15" t="inlineStr">
        <is>
          <t>엘더리</t>
        </is>
      </c>
      <c r="F26" s="15" t="inlineStr">
        <is>
          <t>국내 B2B</t>
        </is>
      </c>
      <c r="G26" s="15" t="inlineStr">
        <is>
          <t>기존</t>
        </is>
      </c>
      <c r="H26" s="15" t="inlineStr">
        <is>
          <t>A 계약·기존 거래</t>
        </is>
      </c>
      <c r="I26" s="15" t="inlineStr">
        <is>
          <t>SUB</t>
        </is>
      </c>
      <c r="J26" s="64" t="inlineStr">
        <is>
          <t>M</t>
        </is>
      </c>
      <c r="K26" s="44">
        <f>AW26</f>
        <v>120000</v>
      </c>
      <c r="L26" s="65" t="n">
        <v>0</v>
      </c>
      <c r="M26" s="65" t="n">
        <v>0</v>
      </c>
      <c r="N26" s="65" t="n">
        <v>0</v>
      </c>
      <c r="V26" s="66" t="inlineStr">
        <is>
          <t>거래처 매출표 · 2026-11 3,950천원(예상)</t>
        </is>
      </c>
      <c r="X26" s="56" t="n">
        <v>0</v>
      </c>
      <c r="Y26" s="56" t="n">
        <v>0</v>
      </c>
      <c r="Z26" s="56" t="n">
        <v>0</v>
      </c>
      <c r="AA26" s="56" t="n">
        <v>0</v>
      </c>
      <c r="AB26" s="56" t="n">
        <v>0</v>
      </c>
      <c r="AC26" s="56" t="n">
        <v>0</v>
      </c>
      <c r="AD26" s="56" t="n">
        <v>642</v>
      </c>
      <c r="AE26" s="56" t="n">
        <v>229</v>
      </c>
      <c r="AF26" s="56" t="n">
        <v>0</v>
      </c>
      <c r="AG26" s="56" t="n">
        <v>0</v>
      </c>
      <c r="AH26" s="56" t="n">
        <v>3950</v>
      </c>
      <c r="AI26" s="56" t="n">
        <v>0</v>
      </c>
      <c r="AJ26" s="56" t="n">
        <v>10000</v>
      </c>
      <c r="AK26" s="56" t="n">
        <v>10000</v>
      </c>
      <c r="AL26" s="56" t="n">
        <v>10000</v>
      </c>
      <c r="AM26" s="56" t="n">
        <v>10000</v>
      </c>
      <c r="AN26" s="56" t="n">
        <v>10000</v>
      </c>
      <c r="AO26" s="56" t="n">
        <v>10000</v>
      </c>
      <c r="AP26" s="56" t="n">
        <v>10000</v>
      </c>
      <c r="AQ26" s="56" t="n">
        <v>10000</v>
      </c>
      <c r="AR26" s="56" t="n">
        <v>10000</v>
      </c>
      <c r="AS26" s="56" t="n">
        <v>10000</v>
      </c>
      <c r="AT26" s="56" t="n">
        <v>10000</v>
      </c>
      <c r="AU26" s="56" t="n">
        <v>10000</v>
      </c>
      <c r="AV26" s="25">
        <f>SUM(X26:AI26)</f>
        <v>4821</v>
      </c>
      <c r="AW26" s="25">
        <f>SUM(AJ26:AU26)</f>
        <v>120000</v>
      </c>
      <c r="AX26" s="46">
        <f>$K26*(1+$L26)</f>
        <v>120000</v>
      </c>
      <c r="AY26" s="46">
        <f>AX26*(1+$M26)</f>
        <v>120000</v>
      </c>
      <c r="AZ26" s="46">
        <f>AY26*(1+$N26)</f>
        <v>120000</v>
      </c>
      <c r="BA26" s="24">
        <f>SUM(AV26:AZ26)</f>
        <v>484821</v>
      </c>
    </row>
    <row r="27">
      <c r="A27" s="63" t="n">
        <v>18</v>
      </c>
      <c r="B27" s="15" t="inlineStr">
        <is>
          <t>한국</t>
        </is>
      </c>
      <c r="C27" s="15" t="inlineStr">
        <is>
          <t>한국</t>
        </is>
      </c>
      <c r="D27" s="15" t="inlineStr">
        <is>
          <t>APP KOREA — 성인(키퍼스 시니어 팬티형)</t>
        </is>
      </c>
      <c r="E27" s="15" t="inlineStr">
        <is>
          <t>엘더리</t>
        </is>
      </c>
      <c r="F27" s="15" t="inlineStr">
        <is>
          <t>파트너</t>
        </is>
      </c>
      <c r="G27" s="15" t="inlineStr">
        <is>
          <t>계약</t>
        </is>
      </c>
      <c r="H27" s="15" t="inlineStr">
        <is>
          <t>A 계약·기존 거래</t>
        </is>
      </c>
      <c r="I27" s="15" t="inlineStr">
        <is>
          <t>SUB</t>
        </is>
      </c>
      <c r="J27" s="64" t="inlineStr">
        <is>
          <t>M</t>
        </is>
      </c>
      <c r="K27" s="44">
        <f>AW27</f>
        <v>1440000</v>
      </c>
      <c r="L27" s="65" t="n">
        <v>0.64</v>
      </c>
      <c r="M27" s="65" t="n">
        <v>0.3</v>
      </c>
      <c r="N27" s="65" t="n">
        <v>0.2</v>
      </c>
      <c r="V27" s="66" t="inlineStr">
        <is>
          <t>거래처 매출표 · IR p.11 APP 시니어 파트너십</t>
        </is>
      </c>
      <c r="X27" s="56" t="n">
        <v>0</v>
      </c>
      <c r="Y27" s="56" t="n">
        <v>0</v>
      </c>
      <c r="Z27" s="56" t="n">
        <v>0</v>
      </c>
      <c r="AA27" s="56" t="n">
        <v>0</v>
      </c>
      <c r="AB27" s="56" t="n">
        <v>0</v>
      </c>
      <c r="AC27" s="56" t="n">
        <v>0</v>
      </c>
      <c r="AD27" s="56" t="n">
        <v>0</v>
      </c>
      <c r="AE27" s="56" t="n">
        <v>0</v>
      </c>
      <c r="AF27" s="56" t="n">
        <v>0</v>
      </c>
      <c r="AG27" s="56" t="n">
        <v>120000</v>
      </c>
      <c r="AH27" s="56" t="n">
        <v>120000</v>
      </c>
      <c r="AI27" s="56" t="n">
        <v>120000</v>
      </c>
      <c r="AJ27" s="56" t="n">
        <v>120000</v>
      </c>
      <c r="AK27" s="56" t="n">
        <v>120000</v>
      </c>
      <c r="AL27" s="56" t="n">
        <v>120000</v>
      </c>
      <c r="AM27" s="56" t="n">
        <v>120000</v>
      </c>
      <c r="AN27" s="56" t="n">
        <v>120000</v>
      </c>
      <c r="AO27" s="56" t="n">
        <v>120000</v>
      </c>
      <c r="AP27" s="56" t="n">
        <v>120000</v>
      </c>
      <c r="AQ27" s="56" t="n">
        <v>120000</v>
      </c>
      <c r="AR27" s="56" t="n">
        <v>120000</v>
      </c>
      <c r="AS27" s="56" t="n">
        <v>120000</v>
      </c>
      <c r="AT27" s="56" t="n">
        <v>120000</v>
      </c>
      <c r="AU27" s="56" t="n">
        <v>120000</v>
      </c>
      <c r="AV27" s="25">
        <f>SUM(X27:AI27)</f>
        <v>360000</v>
      </c>
      <c r="AW27" s="25">
        <f>SUM(AJ27:AU27)</f>
        <v>1440000</v>
      </c>
      <c r="AX27" s="46">
        <f>$K27*(1+$L27)</f>
        <v>2361600</v>
      </c>
      <c r="AY27" s="46">
        <f>AX27*(1+$M27)</f>
        <v>3070080</v>
      </c>
      <c r="AZ27" s="46">
        <f>AY27*(1+$N27)</f>
        <v>3684096</v>
      </c>
      <c r="BA27" s="24">
        <f>SUM(AV27:AZ27)</f>
        <v>10915776</v>
      </c>
    </row>
    <row r="28">
      <c r="A28" s="63" t="n">
        <v>19</v>
      </c>
      <c r="B28" s="15" t="inlineStr">
        <is>
          <t>일본</t>
        </is>
      </c>
      <c r="C28" s="15" t="inlineStr">
        <is>
          <t>일본</t>
        </is>
      </c>
      <c r="D28" s="15" t="inlineStr">
        <is>
          <t>일본 하트키움(HEARTCARE 오사카 요양시설)</t>
        </is>
      </c>
      <c r="E28" s="15" t="inlineStr">
        <is>
          <t>엘더리</t>
        </is>
      </c>
      <c r="F28" s="15" t="inlineStr">
        <is>
          <t>총판</t>
        </is>
      </c>
      <c r="G28" s="15" t="inlineStr">
        <is>
          <t>계약</t>
        </is>
      </c>
      <c r="H28" s="15" t="inlineStr">
        <is>
          <t>A 계약·기존 거래</t>
        </is>
      </c>
      <c r="I28" s="15" t="inlineStr">
        <is>
          <t>DIST</t>
        </is>
      </c>
      <c r="J28" s="64" t="inlineStr">
        <is>
          <t>M</t>
        </is>
      </c>
      <c r="K28" s="44">
        <f>AW28</f>
        <v>360000</v>
      </c>
      <c r="L28" s="65" t="n">
        <v>1.92</v>
      </c>
      <c r="M28" s="65" t="n">
        <v>0.9</v>
      </c>
      <c r="N28" s="65" t="n">
        <v>0.48</v>
      </c>
      <c r="V28" s="66" t="inlineStr">
        <is>
          <t>거래처 매출표 · IR p.13</t>
        </is>
      </c>
      <c r="X28" s="56" t="n">
        <v>0</v>
      </c>
      <c r="Y28" s="56" t="n">
        <v>0</v>
      </c>
      <c r="Z28" s="56" t="n">
        <v>0</v>
      </c>
      <c r="AA28" s="56" t="n">
        <v>0</v>
      </c>
      <c r="AB28" s="56" t="n">
        <v>0</v>
      </c>
      <c r="AC28" s="56" t="n">
        <v>0</v>
      </c>
      <c r="AD28" s="56" t="n">
        <v>0</v>
      </c>
      <c r="AE28" s="56" t="n">
        <v>0</v>
      </c>
      <c r="AF28" s="56" t="n">
        <v>0</v>
      </c>
      <c r="AG28" s="56" t="n">
        <v>0</v>
      </c>
      <c r="AH28" s="56" t="n">
        <v>0</v>
      </c>
      <c r="AI28" s="56" t="n">
        <v>0</v>
      </c>
      <c r="AJ28" s="56" t="n">
        <v>0</v>
      </c>
      <c r="AK28" s="56" t="n">
        <v>0</v>
      </c>
      <c r="AL28" s="56" t="n">
        <v>22990</v>
      </c>
      <c r="AM28" s="56" t="n">
        <v>25204</v>
      </c>
      <c r="AN28" s="56" t="n">
        <v>27632</v>
      </c>
      <c r="AO28" s="56" t="n">
        <v>30293</v>
      </c>
      <c r="AP28" s="56" t="n">
        <v>33211</v>
      </c>
      <c r="AQ28" s="56" t="n">
        <v>36411</v>
      </c>
      <c r="AR28" s="56" t="n">
        <v>39918</v>
      </c>
      <c r="AS28" s="56" t="n">
        <v>43763</v>
      </c>
      <c r="AT28" s="56" t="n">
        <v>47978</v>
      </c>
      <c r="AU28" s="56" t="n">
        <v>52600</v>
      </c>
      <c r="AV28" s="25">
        <f>SUM(X28:AI28)</f>
        <v>0</v>
      </c>
      <c r="AW28" s="25">
        <f>SUM(AJ28:AU28)</f>
        <v>360000</v>
      </c>
      <c r="AX28" s="46">
        <f>$K28*(1+$L28)</f>
        <v>1051200</v>
      </c>
      <c r="AY28" s="46">
        <f>AX28*(1+$M28)</f>
        <v>1997280</v>
      </c>
      <c r="AZ28" s="46">
        <f>AY28*(1+$N28)</f>
        <v>2955974.4</v>
      </c>
      <c r="BA28" s="24">
        <f>SUM(AV28:AZ28)</f>
        <v>6364454.4</v>
      </c>
    </row>
    <row r="29">
      <c r="A29" s="63" t="n">
        <v>20</v>
      </c>
      <c r="B29" s="15" t="inlineStr">
        <is>
          <t>일본</t>
        </is>
      </c>
      <c r="C29" s="15" t="inlineStr">
        <is>
          <t>일본</t>
        </is>
      </c>
      <c r="D29" s="15" t="inlineStr">
        <is>
          <t>일본 TAIS by JAIS</t>
        </is>
      </c>
      <c r="E29" s="15" t="inlineStr">
        <is>
          <t>엘더리</t>
        </is>
      </c>
      <c r="F29" s="15" t="inlineStr">
        <is>
          <t>B2G·제도</t>
        </is>
      </c>
      <c r="G29" s="15" t="inlineStr">
        <is>
          <t>등록 완료</t>
        </is>
      </c>
      <c r="H29" s="15" t="inlineStr">
        <is>
          <t>B 등록·입찰·협의 단계</t>
        </is>
      </c>
      <c r="I29" s="15" t="inlineStr">
        <is>
          <t>SUB</t>
        </is>
      </c>
      <c r="J29" s="64" t="inlineStr">
        <is>
          <t>M</t>
        </is>
      </c>
      <c r="K29" s="44">
        <f>AW29</f>
        <v>120000</v>
      </c>
      <c r="L29" s="65" t="n">
        <v>4.8</v>
      </c>
      <c r="M29" s="65" t="n">
        <v>1.2</v>
      </c>
      <c r="N29" s="65" t="n">
        <v>0.64</v>
      </c>
      <c r="V29" s="66" t="inlineStr">
        <is>
          <t>거래처 매출표 · IR p.13</t>
        </is>
      </c>
      <c r="X29" s="56" t="n">
        <v>0</v>
      </c>
      <c r="Y29" s="56" t="n">
        <v>0</v>
      </c>
      <c r="Z29" s="56" t="n">
        <v>0</v>
      </c>
      <c r="AA29" s="56" t="n">
        <v>0</v>
      </c>
      <c r="AB29" s="56" t="n">
        <v>0</v>
      </c>
      <c r="AC29" s="56" t="n">
        <v>0</v>
      </c>
      <c r="AD29" s="56" t="n">
        <v>0</v>
      </c>
      <c r="AE29" s="56" t="n">
        <v>0</v>
      </c>
      <c r="AF29" s="56" t="n">
        <v>0</v>
      </c>
      <c r="AG29" s="56" t="n">
        <v>0</v>
      </c>
      <c r="AH29" s="56" t="n">
        <v>0</v>
      </c>
      <c r="AI29" s="56" t="n">
        <v>0</v>
      </c>
      <c r="AJ29" s="56" t="n">
        <v>0</v>
      </c>
      <c r="AK29" s="56" t="n">
        <v>6605</v>
      </c>
      <c r="AL29" s="56" t="n">
        <v>7241</v>
      </c>
      <c r="AM29" s="56" t="n">
        <v>7939</v>
      </c>
      <c r="AN29" s="56" t="n">
        <v>8704</v>
      </c>
      <c r="AO29" s="56" t="n">
        <v>9542</v>
      </c>
      <c r="AP29" s="56" t="n">
        <v>10461</v>
      </c>
      <c r="AQ29" s="56" t="n">
        <v>11469</v>
      </c>
      <c r="AR29" s="56" t="n">
        <v>12574</v>
      </c>
      <c r="AS29" s="56" t="n">
        <v>13785</v>
      </c>
      <c r="AT29" s="56" t="n">
        <v>15113</v>
      </c>
      <c r="AU29" s="56" t="n">
        <v>16567</v>
      </c>
      <c r="AV29" s="25">
        <f>SUM(X29:AI29)</f>
        <v>0</v>
      </c>
      <c r="AW29" s="25">
        <f>SUM(AJ29:AU29)</f>
        <v>120000</v>
      </c>
      <c r="AX29" s="46">
        <f>$K29*(1+$L29)</f>
        <v>696000</v>
      </c>
      <c r="AY29" s="46">
        <f>AX29*(1+$M29)</f>
        <v>1531200</v>
      </c>
      <c r="AZ29" s="46">
        <f>AY29*(1+$N29)</f>
        <v>2511168</v>
      </c>
      <c r="BA29" s="24">
        <f>SUM(AV29:AZ29)</f>
        <v>4858368</v>
      </c>
    </row>
    <row r="30">
      <c r="A30" s="63" t="n">
        <v>21</v>
      </c>
      <c r="B30" s="15" t="inlineStr">
        <is>
          <t>인도</t>
        </is>
      </c>
      <c r="C30" s="15" t="inlineStr">
        <is>
          <t>인도</t>
        </is>
      </c>
      <c r="D30" s="15" t="inlineStr">
        <is>
          <t>케랄라 주정부(인도)</t>
        </is>
      </c>
      <c r="E30" s="15" t="inlineStr">
        <is>
          <t>엘더리</t>
        </is>
      </c>
      <c r="F30" s="15" t="inlineStr">
        <is>
          <t>기타</t>
        </is>
      </c>
      <c r="G30" s="15" t="inlineStr">
        <is>
          <t>기존</t>
        </is>
      </c>
      <c r="H30" s="15" t="inlineStr">
        <is>
          <t>A 계약·기존 거래</t>
        </is>
      </c>
      <c r="I30" s="15" t="inlineStr">
        <is>
          <t>DIST</t>
        </is>
      </c>
      <c r="J30" s="64" t="inlineStr">
        <is>
          <t>M</t>
        </is>
      </c>
      <c r="K30" s="44">
        <f>AW30</f>
        <v>60000</v>
      </c>
      <c r="L30" s="65" t="n">
        <v>0</v>
      </c>
      <c r="M30" s="65" t="n">
        <v>0</v>
      </c>
      <c r="N30" s="65" t="n">
        <v>0</v>
      </c>
      <c r="V30" s="66" t="inlineStr">
        <is>
          <t>거래처 매출표</t>
        </is>
      </c>
      <c r="X30" s="56" t="n">
        <v>0</v>
      </c>
      <c r="Y30" s="56" t="n">
        <v>0</v>
      </c>
      <c r="Z30" s="56" t="n">
        <v>0</v>
      </c>
      <c r="AA30" s="56" t="n">
        <v>0</v>
      </c>
      <c r="AB30" s="56" t="n">
        <v>0</v>
      </c>
      <c r="AC30" s="56" t="n">
        <v>0</v>
      </c>
      <c r="AD30" s="56" t="n">
        <v>0</v>
      </c>
      <c r="AE30" s="56" t="n">
        <v>0</v>
      </c>
      <c r="AF30" s="56" t="n">
        <v>0</v>
      </c>
      <c r="AG30" s="56" t="n">
        <v>0</v>
      </c>
      <c r="AH30" s="56" t="n">
        <v>0</v>
      </c>
      <c r="AI30" s="56" t="n">
        <v>0</v>
      </c>
      <c r="AJ30" s="56" t="n">
        <v>0</v>
      </c>
      <c r="AK30" s="56" t="n">
        <v>0</v>
      </c>
      <c r="AL30" s="56" t="n">
        <v>0</v>
      </c>
      <c r="AM30" s="56" t="n">
        <v>0</v>
      </c>
      <c r="AN30" s="56" t="n">
        <v>0</v>
      </c>
      <c r="AO30" s="56" t="n">
        <v>0</v>
      </c>
      <c r="AP30" s="56" t="n">
        <v>0</v>
      </c>
      <c r="AQ30" s="56" t="n">
        <v>9900</v>
      </c>
      <c r="AR30" s="56" t="n">
        <v>10854</v>
      </c>
      <c r="AS30" s="56" t="n">
        <v>11899</v>
      </c>
      <c r="AT30" s="56" t="n">
        <v>13045</v>
      </c>
      <c r="AU30" s="56" t="n">
        <v>14302</v>
      </c>
      <c r="AV30" s="25">
        <f>SUM(X30:AI30)</f>
        <v>0</v>
      </c>
      <c r="AW30" s="25">
        <f>SUM(AJ30:AU30)</f>
        <v>60000</v>
      </c>
      <c r="AX30" s="46">
        <f>$K30*(1+$L30)</f>
        <v>60000</v>
      </c>
      <c r="AY30" s="46">
        <f>AX30*(1+$M30)</f>
        <v>60000</v>
      </c>
      <c r="AZ30" s="46">
        <f>AY30*(1+$N30)</f>
        <v>60000</v>
      </c>
      <c r="BA30" s="24">
        <f>SUM(AV30:AZ30)</f>
        <v>240000</v>
      </c>
    </row>
    <row r="31">
      <c r="A31" s="63" t="n">
        <v>22</v>
      </c>
      <c r="B31" s="15" t="inlineStr">
        <is>
          <t>인도</t>
        </is>
      </c>
      <c r="C31" s="15" t="inlineStr">
        <is>
          <t>인도</t>
        </is>
      </c>
      <c r="D31" s="15" t="inlineStr">
        <is>
          <t>인도 뉴델리 디스트리뷰터</t>
        </is>
      </c>
      <c r="E31" s="15" t="inlineStr">
        <is>
          <t>엘더리</t>
        </is>
      </c>
      <c r="F31" s="15" t="inlineStr">
        <is>
          <t>총판</t>
        </is>
      </c>
      <c r="G31" s="15" t="inlineStr">
        <is>
          <t>진행 중</t>
        </is>
      </c>
      <c r="H31" s="15" t="inlineStr">
        <is>
          <t>B 등록·입찰·협의 단계</t>
        </is>
      </c>
      <c r="I31" s="15" t="inlineStr">
        <is>
          <t>DIST</t>
        </is>
      </c>
      <c r="J31" s="64" t="inlineStr">
        <is>
          <t>N</t>
        </is>
      </c>
      <c r="K31" s="44">
        <f>AW31</f>
        <v>60000</v>
      </c>
      <c r="V31" s="66" t="inlineStr">
        <is>
          <t>거래처 매출표 · 인도 신규 디스트리뷰터(2026-12 초도, 2027 연간 발주), 2028~30 연간 입력값</t>
        </is>
      </c>
      <c r="X31" s="56" t="n">
        <v>0</v>
      </c>
      <c r="Y31" s="56" t="n">
        <v>0</v>
      </c>
      <c r="Z31" s="56" t="n">
        <v>0</v>
      </c>
      <c r="AA31" s="56" t="n">
        <v>0</v>
      </c>
      <c r="AB31" s="56" t="n">
        <v>0</v>
      </c>
      <c r="AC31" s="56" t="n">
        <v>0</v>
      </c>
      <c r="AD31" s="56" t="n">
        <v>0</v>
      </c>
      <c r="AE31" s="56" t="n">
        <v>0</v>
      </c>
      <c r="AF31" s="56" t="n">
        <v>0</v>
      </c>
      <c r="AG31" s="56" t="n">
        <v>0</v>
      </c>
      <c r="AH31" s="56" t="n">
        <v>0</v>
      </c>
      <c r="AI31" s="56" t="n">
        <v>20000</v>
      </c>
      <c r="AJ31" s="56" t="n">
        <v>0</v>
      </c>
      <c r="AK31" s="56" t="n">
        <v>0</v>
      </c>
      <c r="AL31" s="56" t="n">
        <v>3832</v>
      </c>
      <c r="AM31" s="56" t="n">
        <v>4201</v>
      </c>
      <c r="AN31" s="56" t="n">
        <v>4605</v>
      </c>
      <c r="AO31" s="56" t="n">
        <v>5049</v>
      </c>
      <c r="AP31" s="56" t="n">
        <v>5535</v>
      </c>
      <c r="AQ31" s="56" t="n">
        <v>6068</v>
      </c>
      <c r="AR31" s="56" t="n">
        <v>6653</v>
      </c>
      <c r="AS31" s="56" t="n">
        <v>7294</v>
      </c>
      <c r="AT31" s="56" t="n">
        <v>7996</v>
      </c>
      <c r="AU31" s="56" t="n">
        <v>8767</v>
      </c>
      <c r="AV31" s="25">
        <f>SUM(X31:AI31)</f>
        <v>20000</v>
      </c>
      <c r="AW31" s="25">
        <f>SUM(AJ31:AU31)</f>
        <v>60000</v>
      </c>
      <c r="AX31" s="67" t="n">
        <v>200000</v>
      </c>
      <c r="AY31" s="67" t="n">
        <v>600000</v>
      </c>
      <c r="AZ31" s="67" t="n">
        <v>1000000</v>
      </c>
      <c r="BA31" s="24">
        <f>SUM(AV31:AZ31)</f>
        <v>1880000</v>
      </c>
    </row>
    <row r="32">
      <c r="A32" s="63" t="n">
        <v>23</v>
      </c>
      <c r="B32" s="15" t="inlineStr">
        <is>
          <t>인도</t>
        </is>
      </c>
      <c r="C32" s="15" t="inlineStr">
        <is>
          <t>인도</t>
        </is>
      </c>
      <c r="D32" s="15" t="inlineStr">
        <is>
          <t>인도 뭄바이 디스트리뷰터</t>
        </is>
      </c>
      <c r="E32" s="15" t="inlineStr">
        <is>
          <t>엘더리</t>
        </is>
      </c>
      <c r="F32" s="15" t="inlineStr">
        <is>
          <t>총판</t>
        </is>
      </c>
      <c r="G32" s="15" t="inlineStr">
        <is>
          <t>진행 중</t>
        </is>
      </c>
      <c r="H32" s="15" t="inlineStr">
        <is>
          <t>B 등록·입찰·협의 단계</t>
        </is>
      </c>
      <c r="I32" s="15" t="inlineStr">
        <is>
          <t>DIST</t>
        </is>
      </c>
      <c r="J32" s="64" t="inlineStr">
        <is>
          <t>N</t>
        </is>
      </c>
      <c r="K32" s="44">
        <f>AW32</f>
        <v>80000</v>
      </c>
      <c r="V32" s="66" t="inlineStr">
        <is>
          <t>거래처 매출표 · 인도 신규 디스트리뷰터(2027 연간 발주), 2028~30 연간 입력값</t>
        </is>
      </c>
      <c r="X32" s="56" t="n">
        <v>0</v>
      </c>
      <c r="Y32" s="56" t="n">
        <v>0</v>
      </c>
      <c r="Z32" s="56" t="n">
        <v>0</v>
      </c>
      <c r="AA32" s="56" t="n">
        <v>0</v>
      </c>
      <c r="AB32" s="56" t="n">
        <v>0</v>
      </c>
      <c r="AC32" s="56" t="n">
        <v>0</v>
      </c>
      <c r="AD32" s="56" t="n">
        <v>0</v>
      </c>
      <c r="AE32" s="56" t="n">
        <v>0</v>
      </c>
      <c r="AF32" s="56" t="n">
        <v>0</v>
      </c>
      <c r="AG32" s="56" t="n">
        <v>0</v>
      </c>
      <c r="AH32" s="56" t="n">
        <v>0</v>
      </c>
      <c r="AI32" s="56" t="n">
        <v>0</v>
      </c>
      <c r="AJ32" s="56" t="n">
        <v>3825</v>
      </c>
      <c r="AK32" s="56" t="n">
        <v>4193</v>
      </c>
      <c r="AL32" s="56" t="n">
        <v>4597</v>
      </c>
      <c r="AM32" s="56" t="n">
        <v>5040</v>
      </c>
      <c r="AN32" s="56" t="n">
        <v>5525</v>
      </c>
      <c r="AO32" s="56" t="n">
        <v>6057</v>
      </c>
      <c r="AP32" s="56" t="n">
        <v>6641</v>
      </c>
      <c r="AQ32" s="56" t="n">
        <v>7280</v>
      </c>
      <c r="AR32" s="56" t="n">
        <v>7982</v>
      </c>
      <c r="AS32" s="56" t="n">
        <v>8750</v>
      </c>
      <c r="AT32" s="56" t="n">
        <v>9593</v>
      </c>
      <c r="AU32" s="56" t="n">
        <v>10517</v>
      </c>
      <c r="AV32" s="25">
        <f>SUM(X32:AI32)</f>
        <v>0</v>
      </c>
      <c r="AW32" s="25">
        <f>SUM(AJ32:AU32)</f>
        <v>80000</v>
      </c>
      <c r="AX32" s="67" t="n">
        <v>200000</v>
      </c>
      <c r="AY32" s="67" t="n">
        <v>600000</v>
      </c>
      <c r="AZ32" s="67" t="n">
        <v>1000000</v>
      </c>
      <c r="BA32" s="24">
        <f>SUM(AV32:AZ32)</f>
        <v>1880000</v>
      </c>
    </row>
    <row r="33">
      <c r="A33" s="63" t="n">
        <v>24</v>
      </c>
      <c r="B33" s="15" t="inlineStr">
        <is>
          <t>네덜란드</t>
        </is>
      </c>
      <c r="C33" s="15" t="inlineStr">
        <is>
          <t>유럽</t>
        </is>
      </c>
      <c r="D33" s="15" t="inlineStr">
        <is>
          <t>GISI Distribution(네덜란드·룩셈부르크·독일·폴란드)</t>
        </is>
      </c>
      <c r="E33" s="15" t="inlineStr">
        <is>
          <t>엘더리</t>
        </is>
      </c>
      <c r="F33" s="15" t="inlineStr">
        <is>
          <t>총판</t>
        </is>
      </c>
      <c r="G33" s="15" t="inlineStr">
        <is>
          <t>계약</t>
        </is>
      </c>
      <c r="H33" s="15" t="inlineStr">
        <is>
          <t>A 계약·기존 거래</t>
        </is>
      </c>
      <c r="I33" s="15" t="inlineStr">
        <is>
          <t>DIST</t>
        </is>
      </c>
      <c r="J33" s="64" t="inlineStr">
        <is>
          <t>M</t>
        </is>
      </c>
      <c r="K33" s="44">
        <f>AW33</f>
        <v>150000</v>
      </c>
      <c r="L33" s="65" t="n">
        <v>1.6</v>
      </c>
      <c r="M33" s="65" t="n">
        <v>0.8</v>
      </c>
      <c r="N33" s="65" t="n">
        <v>0.48</v>
      </c>
      <c r="V33" s="66" t="inlineStr">
        <is>
          <t>거래처 매출표 · 2026-09 €24,000(매출표 환산 31,303천원) 포함 · IR p.23 · IR p.25 표기 GIV</t>
        </is>
      </c>
      <c r="X33" s="56" t="n">
        <v>0</v>
      </c>
      <c r="Y33" s="56" t="n">
        <v>0</v>
      </c>
      <c r="Z33" s="56" t="n">
        <v>6359</v>
      </c>
      <c r="AA33" s="56" t="n">
        <v>0</v>
      </c>
      <c r="AB33" s="56" t="n">
        <v>0</v>
      </c>
      <c r="AC33" s="56" t="n">
        <v>0</v>
      </c>
      <c r="AD33" s="56" t="n">
        <v>0</v>
      </c>
      <c r="AE33" s="56" t="n">
        <v>0</v>
      </c>
      <c r="AF33" s="56" t="n">
        <v>31303</v>
      </c>
      <c r="AG33" s="56" t="n">
        <v>16000</v>
      </c>
      <c r="AH33" s="56" t="n">
        <v>0</v>
      </c>
      <c r="AI33" s="56" t="n">
        <v>16000</v>
      </c>
      <c r="AJ33" s="56" t="n">
        <v>7171</v>
      </c>
      <c r="AK33" s="56" t="n">
        <v>7862</v>
      </c>
      <c r="AL33" s="56" t="n">
        <v>8619</v>
      </c>
      <c r="AM33" s="56" t="n">
        <v>9449</v>
      </c>
      <c r="AN33" s="56" t="n">
        <v>10359</v>
      </c>
      <c r="AO33" s="56" t="n">
        <v>11357</v>
      </c>
      <c r="AP33" s="56" t="n">
        <v>12451</v>
      </c>
      <c r="AQ33" s="56" t="n">
        <v>13651</v>
      </c>
      <c r="AR33" s="56" t="n">
        <v>14966</v>
      </c>
      <c r="AS33" s="56" t="n">
        <v>16407</v>
      </c>
      <c r="AT33" s="56" t="n">
        <v>17988</v>
      </c>
      <c r="AU33" s="56" t="n">
        <v>19720</v>
      </c>
      <c r="AV33" s="25">
        <f>SUM(X33:AI33)</f>
        <v>69662</v>
      </c>
      <c r="AW33" s="25">
        <f>SUM(AJ33:AU33)</f>
        <v>150000</v>
      </c>
      <c r="AX33" s="46">
        <f>$K33*(1+$L33)</f>
        <v>390000</v>
      </c>
      <c r="AY33" s="46">
        <f>AX33*(1+$M33)</f>
        <v>702000</v>
      </c>
      <c r="AZ33" s="46">
        <f>AY33*(1+$N33)</f>
        <v>1038960</v>
      </c>
      <c r="BA33" s="24">
        <f>SUM(AV33:AZ33)</f>
        <v>2350622</v>
      </c>
    </row>
    <row r="34">
      <c r="A34" s="63" t="n">
        <v>25</v>
      </c>
      <c r="B34" s="15" t="inlineStr">
        <is>
          <t>폴란드</t>
        </is>
      </c>
      <c r="C34" s="15" t="inlineStr">
        <is>
          <t>유럽</t>
        </is>
      </c>
      <c r="D34" s="15" t="inlineStr">
        <is>
          <t>NEUCA(폴란드 총판)</t>
        </is>
      </c>
      <c r="E34" s="15" t="inlineStr">
        <is>
          <t>엘더리</t>
        </is>
      </c>
      <c r="F34" s="15" t="inlineStr">
        <is>
          <t>총판</t>
        </is>
      </c>
      <c r="G34" s="15" t="inlineStr">
        <is>
          <t>접촉</t>
        </is>
      </c>
      <c r="H34" s="15" t="inlineStr">
        <is>
          <t>B 등록·입찰·협의 단계</t>
        </is>
      </c>
      <c r="I34" s="15" t="inlineStr">
        <is>
          <t>DIST</t>
        </is>
      </c>
      <c r="J34" s="64" t="inlineStr">
        <is>
          <t>M</t>
        </is>
      </c>
      <c r="K34" s="44">
        <f>AW34</f>
        <v>150000</v>
      </c>
      <c r="L34" s="65" t="n">
        <v>1.6</v>
      </c>
      <c r="M34" s="65" t="n">
        <v>0.8</v>
      </c>
      <c r="N34" s="65" t="n">
        <v>0.48</v>
      </c>
      <c r="V34" s="66" t="inlineStr">
        <is>
          <t>거래처 매출표 · 폴란드 총판</t>
        </is>
      </c>
      <c r="X34" s="56" t="n">
        <v>0</v>
      </c>
      <c r="Y34" s="56" t="n">
        <v>0</v>
      </c>
      <c r="Z34" s="56" t="n">
        <v>0</v>
      </c>
      <c r="AA34" s="56" t="n">
        <v>0</v>
      </c>
      <c r="AB34" s="56" t="n">
        <v>0</v>
      </c>
      <c r="AC34" s="56" t="n">
        <v>0</v>
      </c>
      <c r="AD34" s="56" t="n">
        <v>0</v>
      </c>
      <c r="AE34" s="56" t="n">
        <v>0</v>
      </c>
      <c r="AF34" s="56" t="n">
        <v>0</v>
      </c>
      <c r="AG34" s="56" t="n">
        <v>0</v>
      </c>
      <c r="AH34" s="56" t="n">
        <v>0</v>
      </c>
      <c r="AI34" s="56" t="n">
        <v>0</v>
      </c>
      <c r="AJ34" s="56" t="n">
        <v>0</v>
      </c>
      <c r="AK34" s="56" t="n">
        <v>8256</v>
      </c>
      <c r="AL34" s="56" t="n">
        <v>9052</v>
      </c>
      <c r="AM34" s="56" t="n">
        <v>9924</v>
      </c>
      <c r="AN34" s="56" t="n">
        <v>10880</v>
      </c>
      <c r="AO34" s="56" t="n">
        <v>11928</v>
      </c>
      <c r="AP34" s="56" t="n">
        <v>13076</v>
      </c>
      <c r="AQ34" s="56" t="n">
        <v>14336</v>
      </c>
      <c r="AR34" s="56" t="n">
        <v>15717</v>
      </c>
      <c r="AS34" s="56" t="n">
        <v>17231</v>
      </c>
      <c r="AT34" s="56" t="n">
        <v>18891</v>
      </c>
      <c r="AU34" s="56" t="n">
        <v>20709</v>
      </c>
      <c r="AV34" s="25">
        <f>SUM(X34:AI34)</f>
        <v>0</v>
      </c>
      <c r="AW34" s="25">
        <f>SUM(AJ34:AU34)</f>
        <v>150000</v>
      </c>
      <c r="AX34" s="46">
        <f>$K34*(1+$L34)</f>
        <v>390000</v>
      </c>
      <c r="AY34" s="46">
        <f>AX34*(1+$M34)</f>
        <v>702000</v>
      </c>
      <c r="AZ34" s="46">
        <f>AY34*(1+$N34)</f>
        <v>1038960</v>
      </c>
      <c r="BA34" s="24">
        <f>SUM(AV34:AZ34)</f>
        <v>2280960</v>
      </c>
    </row>
    <row r="35">
      <c r="A35" s="63" t="n">
        <v>26</v>
      </c>
      <c r="B35" s="15" t="inlineStr">
        <is>
          <t>독일</t>
        </is>
      </c>
      <c r="C35" s="15" t="inlineStr">
        <is>
          <t>유럽</t>
        </is>
      </c>
      <c r="D35" s="15" t="inlineStr">
        <is>
          <t>Armedion(독일 총판)</t>
        </is>
      </c>
      <c r="E35" s="15" t="inlineStr">
        <is>
          <t>엘더리</t>
        </is>
      </c>
      <c r="F35" s="15" t="inlineStr">
        <is>
          <t>총판</t>
        </is>
      </c>
      <c r="G35" s="15" t="inlineStr">
        <is>
          <t>진행 중</t>
        </is>
      </c>
      <c r="H35" s="15" t="inlineStr">
        <is>
          <t>B 등록·입찰·협의 단계</t>
        </is>
      </c>
      <c r="I35" s="15" t="inlineStr">
        <is>
          <t>DIST</t>
        </is>
      </c>
      <c r="J35" s="64" t="inlineStr">
        <is>
          <t>M</t>
        </is>
      </c>
      <c r="K35" s="44">
        <f>AW35</f>
        <v>150000</v>
      </c>
      <c r="L35" s="65" t="n">
        <v>1.6</v>
      </c>
      <c r="M35" s="65" t="n">
        <v>0.8</v>
      </c>
      <c r="N35" s="65" t="n">
        <v>0.48</v>
      </c>
      <c r="V35" s="66" t="inlineStr">
        <is>
          <t>거래처 매출표</t>
        </is>
      </c>
      <c r="X35" s="56" t="n">
        <v>0</v>
      </c>
      <c r="Y35" s="56" t="n">
        <v>0</v>
      </c>
      <c r="Z35" s="56" t="n">
        <v>0</v>
      </c>
      <c r="AA35" s="56" t="n">
        <v>0</v>
      </c>
      <c r="AB35" s="56" t="n">
        <v>0</v>
      </c>
      <c r="AC35" s="56" t="n">
        <v>0</v>
      </c>
      <c r="AD35" s="56" t="n">
        <v>0</v>
      </c>
      <c r="AE35" s="56" t="n">
        <v>0</v>
      </c>
      <c r="AF35" s="56" t="n">
        <v>0</v>
      </c>
      <c r="AG35" s="56" t="n">
        <v>0</v>
      </c>
      <c r="AH35" s="56" t="n">
        <v>0</v>
      </c>
      <c r="AI35" s="56" t="n">
        <v>50000</v>
      </c>
      <c r="AJ35" s="56" t="n">
        <v>0</v>
      </c>
      <c r="AK35" s="56" t="n">
        <v>0</v>
      </c>
      <c r="AL35" s="56" t="n">
        <v>0</v>
      </c>
      <c r="AM35" s="56" t="n">
        <v>0</v>
      </c>
      <c r="AN35" s="56" t="n">
        <v>13293</v>
      </c>
      <c r="AO35" s="56" t="n">
        <v>14573</v>
      </c>
      <c r="AP35" s="56" t="n">
        <v>15977</v>
      </c>
      <c r="AQ35" s="56" t="n">
        <v>17516</v>
      </c>
      <c r="AR35" s="56" t="n">
        <v>19203</v>
      </c>
      <c r="AS35" s="56" t="n">
        <v>21053</v>
      </c>
      <c r="AT35" s="56" t="n">
        <v>23081</v>
      </c>
      <c r="AU35" s="56" t="n">
        <v>25304</v>
      </c>
      <c r="AV35" s="25">
        <f>SUM(X35:AI35)</f>
        <v>50000</v>
      </c>
      <c r="AW35" s="25">
        <f>SUM(AJ35:AU35)</f>
        <v>150000</v>
      </c>
      <c r="AX35" s="46">
        <f>$K35*(1+$L35)</f>
        <v>390000</v>
      </c>
      <c r="AY35" s="46">
        <f>AX35*(1+$M35)</f>
        <v>702000</v>
      </c>
      <c r="AZ35" s="46">
        <f>AY35*(1+$N35)</f>
        <v>1038960</v>
      </c>
      <c r="BA35" s="24">
        <f>SUM(AV35:AZ35)</f>
        <v>2330960</v>
      </c>
    </row>
    <row r="36">
      <c r="A36" s="63" t="n">
        <v>27</v>
      </c>
      <c r="B36" s="15" t="inlineStr">
        <is>
          <t>싱가포르</t>
        </is>
      </c>
      <c r="C36" s="15" t="inlineStr">
        <is>
          <t>동남아·APAC</t>
        </is>
      </c>
      <c r="D36" s="15" t="inlineStr">
        <is>
          <t>INTEGA(싱가포르·말레이시아·태국)</t>
        </is>
      </c>
      <c r="E36" s="15" t="inlineStr">
        <is>
          <t>엘더리</t>
        </is>
      </c>
      <c r="F36" s="15" t="inlineStr">
        <is>
          <t>총판</t>
        </is>
      </c>
      <c r="G36" s="15" t="inlineStr">
        <is>
          <t>계약</t>
        </is>
      </c>
      <c r="H36" s="15" t="inlineStr">
        <is>
          <t>A 계약·기존 거래</t>
        </is>
      </c>
      <c r="I36" s="15" t="inlineStr">
        <is>
          <t>DIST</t>
        </is>
      </c>
      <c r="J36" s="64" t="inlineStr">
        <is>
          <t>M</t>
        </is>
      </c>
      <c r="K36" s="44">
        <f>AW36</f>
        <v>300000</v>
      </c>
      <c r="L36" s="65" t="n">
        <v>1.28</v>
      </c>
      <c r="M36" s="65" t="n">
        <v>0.6</v>
      </c>
      <c r="N36" s="65" t="n">
        <v>0.4</v>
      </c>
      <c r="V36" s="66" t="inlineStr">
        <is>
          <t>거래처 매출표 · IR p.23</t>
        </is>
      </c>
      <c r="X36" s="56" t="n">
        <v>12879</v>
      </c>
      <c r="Y36" s="56" t="n">
        <v>0</v>
      </c>
      <c r="Z36" s="56" t="n">
        <v>13042</v>
      </c>
      <c r="AA36" s="56" t="n">
        <v>0</v>
      </c>
      <c r="AB36" s="56" t="n">
        <v>0</v>
      </c>
      <c r="AC36" s="56" t="n">
        <v>0</v>
      </c>
      <c r="AD36" s="56" t="n">
        <v>0</v>
      </c>
      <c r="AE36" s="56" t="n">
        <v>0</v>
      </c>
      <c r="AF36" s="56" t="n">
        <v>0</v>
      </c>
      <c r="AG36" s="56" t="n">
        <v>0</v>
      </c>
      <c r="AH36" s="56" t="n">
        <v>23625</v>
      </c>
      <c r="AI36" s="56" t="n">
        <v>0</v>
      </c>
      <c r="AJ36" s="56" t="n">
        <v>0</v>
      </c>
      <c r="AK36" s="56" t="n">
        <v>16513</v>
      </c>
      <c r="AL36" s="56" t="n">
        <v>18103</v>
      </c>
      <c r="AM36" s="56" t="n">
        <v>19847</v>
      </c>
      <c r="AN36" s="56" t="n">
        <v>21759</v>
      </c>
      <c r="AO36" s="56" t="n">
        <v>23855</v>
      </c>
      <c r="AP36" s="56" t="n">
        <v>26153</v>
      </c>
      <c r="AQ36" s="56" t="n">
        <v>28672</v>
      </c>
      <c r="AR36" s="56" t="n">
        <v>31434</v>
      </c>
      <c r="AS36" s="56" t="n">
        <v>34462</v>
      </c>
      <c r="AT36" s="56" t="n">
        <v>37781</v>
      </c>
      <c r="AU36" s="56" t="n">
        <v>41421</v>
      </c>
      <c r="AV36" s="25">
        <f>SUM(X36:AI36)</f>
        <v>49546</v>
      </c>
      <c r="AW36" s="25">
        <f>SUM(AJ36:AU36)</f>
        <v>300000</v>
      </c>
      <c r="AX36" s="46">
        <f>$K36*(1+$L36)</f>
        <v>684000</v>
      </c>
      <c r="AY36" s="46">
        <f>AX36*(1+$M36)</f>
        <v>1094400</v>
      </c>
      <c r="AZ36" s="46">
        <f>AY36*(1+$N36)</f>
        <v>1532160</v>
      </c>
      <c r="BA36" s="24">
        <f>SUM(AV36:AZ36)</f>
        <v>3660106</v>
      </c>
    </row>
    <row r="37">
      <c r="A37" s="63" t="n">
        <v>28</v>
      </c>
      <c r="B37" s="15" t="inlineStr">
        <is>
          <t>말레이시아</t>
        </is>
      </c>
      <c r="C37" s="15" t="inlineStr">
        <is>
          <t>동남아·APAC</t>
        </is>
      </c>
      <c r="D37" s="15" t="inlineStr">
        <is>
          <t>Sunway Sanctuary(말레이시아)</t>
        </is>
      </c>
      <c r="E37" s="15" t="inlineStr">
        <is>
          <t>엘더리</t>
        </is>
      </c>
      <c r="F37" s="15" t="inlineStr">
        <is>
          <t>기관(직접)</t>
        </is>
      </c>
      <c r="G37" s="15" t="inlineStr">
        <is>
          <t>PoC / R&amp;D</t>
        </is>
      </c>
      <c r="H37" s="15" t="inlineStr">
        <is>
          <t>B 등록·입찰·협의 단계</t>
        </is>
      </c>
      <c r="I37" s="15" t="inlineStr">
        <is>
          <t>RND</t>
        </is>
      </c>
      <c r="J37" s="64" t="inlineStr">
        <is>
          <t>M</t>
        </is>
      </c>
      <c r="K37" s="44">
        <f>AW37</f>
        <v>50000</v>
      </c>
      <c r="L37" s="65" t="n">
        <v>3.2</v>
      </c>
      <c r="M37" s="65" t="n">
        <v>1</v>
      </c>
      <c r="N37" s="65" t="n">
        <v>0.4</v>
      </c>
      <c r="V37" s="66" t="inlineStr">
        <is>
          <t>거래처 매출표 · IR p.31 PoC/R&amp;D → 상용 전환 가정</t>
        </is>
      </c>
      <c r="X37" s="56" t="n">
        <v>0</v>
      </c>
      <c r="Y37" s="56" t="n">
        <v>0</v>
      </c>
      <c r="Z37" s="56" t="n">
        <v>0</v>
      </c>
      <c r="AA37" s="56" t="n">
        <v>0</v>
      </c>
      <c r="AB37" s="56" t="n">
        <v>0</v>
      </c>
      <c r="AC37" s="56" t="n">
        <v>0</v>
      </c>
      <c r="AD37" s="56" t="n">
        <v>0</v>
      </c>
      <c r="AE37" s="56" t="n">
        <v>0</v>
      </c>
      <c r="AF37" s="56" t="n">
        <v>0</v>
      </c>
      <c r="AG37" s="56" t="n">
        <v>0</v>
      </c>
      <c r="AH37" s="56" t="n">
        <v>0</v>
      </c>
      <c r="AI37" s="56" t="n">
        <v>0</v>
      </c>
      <c r="AJ37" s="56" t="n">
        <v>0</v>
      </c>
      <c r="AK37" s="56" t="n">
        <v>0</v>
      </c>
      <c r="AL37" s="56" t="n">
        <v>0</v>
      </c>
      <c r="AM37" s="56" t="n">
        <v>3739</v>
      </c>
      <c r="AN37" s="56" t="n">
        <v>4100</v>
      </c>
      <c r="AO37" s="56" t="n">
        <v>4494</v>
      </c>
      <c r="AP37" s="56" t="n">
        <v>4927</v>
      </c>
      <c r="AQ37" s="56" t="n">
        <v>5402</v>
      </c>
      <c r="AR37" s="56" t="n">
        <v>5922</v>
      </c>
      <c r="AS37" s="56" t="n">
        <v>6493</v>
      </c>
      <c r="AT37" s="56" t="n">
        <v>7118</v>
      </c>
      <c r="AU37" s="56" t="n">
        <v>7805</v>
      </c>
      <c r="AV37" s="25">
        <f>SUM(X37:AI37)</f>
        <v>0</v>
      </c>
      <c r="AW37" s="25">
        <f>SUM(AJ37:AU37)</f>
        <v>50000</v>
      </c>
      <c r="AX37" s="46">
        <f>$K37*(1+$L37)</f>
        <v>210000</v>
      </c>
      <c r="AY37" s="46">
        <f>AX37*(1+$M37)</f>
        <v>420000</v>
      </c>
      <c r="AZ37" s="46">
        <f>AY37*(1+$N37)</f>
        <v>588000</v>
      </c>
      <c r="BA37" s="24">
        <f>SUM(AV37:AZ37)</f>
        <v>1268000</v>
      </c>
    </row>
    <row r="38">
      <c r="A38" s="63" t="n">
        <v>29</v>
      </c>
      <c r="B38" s="15" t="inlineStr">
        <is>
          <t>싱가포르</t>
        </is>
      </c>
      <c r="C38" s="15" t="inlineStr">
        <is>
          <t>동남아·APAC</t>
        </is>
      </c>
      <c r="D38" s="15" t="inlineStr">
        <is>
          <t>NHG(KTPH·TTSH·Woodlands) 스마트 병동</t>
        </is>
      </c>
      <c r="E38" s="15" t="inlineStr">
        <is>
          <t>엘더리</t>
        </is>
      </c>
      <c r="F38" s="15" t="inlineStr">
        <is>
          <t>기관(직접)</t>
        </is>
      </c>
      <c r="G38" s="15" t="inlineStr">
        <is>
          <t>단독입찰 제안(LOA 대기)</t>
        </is>
      </c>
      <c r="H38" s="15" t="inlineStr">
        <is>
          <t>B 등록·입찰·협의 단계</t>
        </is>
      </c>
      <c r="I38" s="15" t="inlineStr">
        <is>
          <t>HWPROJ</t>
        </is>
      </c>
      <c r="J38" s="64" t="inlineStr">
        <is>
          <t>M</t>
        </is>
      </c>
      <c r="K38" s="44">
        <f>AW38</f>
        <v>400000</v>
      </c>
      <c r="L38" s="65" t="n">
        <v>0.8</v>
      </c>
      <c r="M38" s="65" t="n">
        <v>0.4</v>
      </c>
      <c r="N38" s="65" t="n">
        <v>0.32</v>
      </c>
      <c r="V38" s="66" t="inlineStr">
        <is>
          <t>거래처 매출표 · 2026-12 KTPH SGD 180,000, 2027 NHG 4억 · 단독입찰 제안(LOA 대기)</t>
        </is>
      </c>
      <c r="X38" s="56" t="n">
        <v>0</v>
      </c>
      <c r="Y38" s="56" t="n">
        <v>0</v>
      </c>
      <c r="Z38" s="56" t="n">
        <v>0</v>
      </c>
      <c r="AA38" s="56" t="n">
        <v>0</v>
      </c>
      <c r="AB38" s="56" t="n">
        <v>0</v>
      </c>
      <c r="AC38" s="56" t="n">
        <v>0</v>
      </c>
      <c r="AD38" s="56" t="n">
        <v>0</v>
      </c>
      <c r="AE38" s="56" t="n">
        <v>0</v>
      </c>
      <c r="AF38" s="56" t="n">
        <v>0</v>
      </c>
      <c r="AG38" s="56" t="n">
        <v>0</v>
      </c>
      <c r="AH38" s="56" t="n">
        <v>0</v>
      </c>
      <c r="AI38" s="56" t="n">
        <v>188957</v>
      </c>
      <c r="AJ38" s="56" t="n">
        <v>30000</v>
      </c>
      <c r="AK38" s="56" t="n">
        <v>30000</v>
      </c>
      <c r="AL38" s="56" t="n">
        <v>30000</v>
      </c>
      <c r="AM38" s="56" t="n">
        <v>30000</v>
      </c>
      <c r="AN38" s="56" t="n">
        <v>30000</v>
      </c>
      <c r="AO38" s="56" t="n">
        <v>30000</v>
      </c>
      <c r="AP38" s="56" t="n">
        <v>30000</v>
      </c>
      <c r="AQ38" s="56" t="n">
        <v>30000</v>
      </c>
      <c r="AR38" s="56" t="n">
        <v>30000</v>
      </c>
      <c r="AS38" s="56" t="n">
        <v>30000</v>
      </c>
      <c r="AT38" s="56" t="n">
        <v>50000</v>
      </c>
      <c r="AU38" s="56" t="n">
        <v>50000</v>
      </c>
      <c r="AV38" s="25">
        <f>SUM(X38:AI38)</f>
        <v>188957</v>
      </c>
      <c r="AW38" s="25">
        <f>SUM(AJ38:AU38)</f>
        <v>400000</v>
      </c>
      <c r="AX38" s="46">
        <f>$K38*(1+$L38)</f>
        <v>720000</v>
      </c>
      <c r="AY38" s="46">
        <f>AX38*(1+$M38)</f>
        <v>1008000</v>
      </c>
      <c r="AZ38" s="46">
        <f>AY38*(1+$N38)</f>
        <v>1330560</v>
      </c>
      <c r="BA38" s="24">
        <f>SUM(AV38:AZ38)</f>
        <v>3647517</v>
      </c>
    </row>
    <row r="39">
      <c r="A39" s="63" t="n">
        <v>30</v>
      </c>
      <c r="B39" s="15" t="inlineStr">
        <is>
          <t>싱가포르</t>
        </is>
      </c>
      <c r="C39" s="15" t="inlineStr">
        <is>
          <t>동남아·APAC</t>
        </is>
      </c>
      <c r="D39" s="15" t="inlineStr">
        <is>
          <t>IMH 스마트 욕창 케어 R&amp;D</t>
        </is>
      </c>
      <c r="E39" s="15" t="inlineStr">
        <is>
          <t>엘더리</t>
        </is>
      </c>
      <c r="F39" s="15" t="inlineStr">
        <is>
          <t>기관(직접)</t>
        </is>
      </c>
      <c r="G39" s="15" t="inlineStr">
        <is>
          <t>계약</t>
        </is>
      </c>
      <c r="H39" s="15" t="inlineStr">
        <is>
          <t>A 계약·기존 거래</t>
        </is>
      </c>
      <c r="I39" s="15" t="inlineStr">
        <is>
          <t>RND</t>
        </is>
      </c>
      <c r="J39" s="64" t="inlineStr">
        <is>
          <t>M</t>
        </is>
      </c>
      <c r="K39" s="44">
        <f>AW39</f>
        <v>180000</v>
      </c>
      <c r="L39" s="65" t="n">
        <v>0</v>
      </c>
      <c r="M39" s="65" t="n">
        <v>0</v>
      </c>
      <c r="N39" s="65" t="n">
        <v>0</v>
      </c>
      <c r="V39" s="66" t="inlineStr">
        <is>
          <t>거래처 매출표 · SGD 45,000을 2026-10·11월 50%씩 분할(각 23,625천원) · IR p.20</t>
        </is>
      </c>
      <c r="X39" s="56" t="n">
        <v>0</v>
      </c>
      <c r="Y39" s="56" t="n">
        <v>0</v>
      </c>
      <c r="Z39" s="56" t="n">
        <v>0</v>
      </c>
      <c r="AA39" s="56" t="n">
        <v>0</v>
      </c>
      <c r="AB39" s="56" t="n">
        <v>0</v>
      </c>
      <c r="AC39" s="56" t="n">
        <v>0</v>
      </c>
      <c r="AD39" s="56" t="n">
        <v>0</v>
      </c>
      <c r="AE39" s="56" t="n">
        <v>0</v>
      </c>
      <c r="AF39" s="56" t="n">
        <v>0</v>
      </c>
      <c r="AG39" s="56" t="n">
        <v>23625</v>
      </c>
      <c r="AH39" s="56" t="n">
        <v>23625</v>
      </c>
      <c r="AI39" s="56" t="n">
        <v>0</v>
      </c>
      <c r="AJ39" s="56" t="n">
        <v>0</v>
      </c>
      <c r="AK39" s="56" t="n">
        <v>0</v>
      </c>
      <c r="AL39" s="56" t="n">
        <v>11495</v>
      </c>
      <c r="AM39" s="56" t="n">
        <v>12602</v>
      </c>
      <c r="AN39" s="56" t="n">
        <v>13816</v>
      </c>
      <c r="AO39" s="56" t="n">
        <v>15147</v>
      </c>
      <c r="AP39" s="56" t="n">
        <v>16606</v>
      </c>
      <c r="AQ39" s="56" t="n">
        <v>18205</v>
      </c>
      <c r="AR39" s="56" t="n">
        <v>19959</v>
      </c>
      <c r="AS39" s="56" t="n">
        <v>21881</v>
      </c>
      <c r="AT39" s="56" t="n">
        <v>23989</v>
      </c>
      <c r="AU39" s="56" t="n">
        <v>26300</v>
      </c>
      <c r="AV39" s="25">
        <f>SUM(X39:AI39)</f>
        <v>47250</v>
      </c>
      <c r="AW39" s="25">
        <f>SUM(AJ39:AU39)</f>
        <v>180000</v>
      </c>
      <c r="AX39" s="46">
        <f>$K39*(1+$L39)</f>
        <v>180000</v>
      </c>
      <c r="AY39" s="46">
        <f>AX39*(1+$M39)</f>
        <v>180000</v>
      </c>
      <c r="AZ39" s="46">
        <f>AY39*(1+$N39)</f>
        <v>180000</v>
      </c>
      <c r="BA39" s="24">
        <f>SUM(AV39:AZ39)</f>
        <v>767250</v>
      </c>
    </row>
    <row r="40">
      <c r="A40" s="63" t="n">
        <v>31</v>
      </c>
      <c r="B40" s="15" t="inlineStr">
        <is>
          <t>호주</t>
        </is>
      </c>
      <c r="C40" s="15" t="inlineStr">
        <is>
          <t>동남아·APAC</t>
        </is>
      </c>
      <c r="D40" s="15" t="inlineStr">
        <is>
          <t>Healthbeats(호주·뉴질랜드)</t>
        </is>
      </c>
      <c r="E40" s="15" t="inlineStr">
        <is>
          <t>엘더리</t>
        </is>
      </c>
      <c r="F40" s="15" t="inlineStr">
        <is>
          <t>총판</t>
        </is>
      </c>
      <c r="G40" s="15" t="inlineStr">
        <is>
          <t>계약</t>
        </is>
      </c>
      <c r="H40" s="15" t="inlineStr">
        <is>
          <t>A 계약·기존 거래</t>
        </is>
      </c>
      <c r="I40" s="15" t="inlineStr">
        <is>
          <t>DIST</t>
        </is>
      </c>
      <c r="J40" s="64" t="inlineStr">
        <is>
          <t>M</t>
        </is>
      </c>
      <c r="K40" s="44">
        <f>AW40</f>
        <v>300000</v>
      </c>
      <c r="L40" s="65" t="n">
        <v>1.6</v>
      </c>
      <c r="M40" s="65" t="n">
        <v>0.8</v>
      </c>
      <c r="N40" s="65" t="n">
        <v>0.48</v>
      </c>
      <c r="V40" s="66" t="inlineStr">
        <is>
          <t>거래처 매출표 · IR p.23</t>
        </is>
      </c>
      <c r="X40" s="56" t="n">
        <v>0</v>
      </c>
      <c r="Y40" s="56" t="n">
        <v>0</v>
      </c>
      <c r="Z40" s="56" t="n">
        <v>0</v>
      </c>
      <c r="AA40" s="56" t="n">
        <v>0</v>
      </c>
      <c r="AB40" s="56" t="n">
        <v>0</v>
      </c>
      <c r="AC40" s="56" t="n">
        <v>0</v>
      </c>
      <c r="AD40" s="56" t="n">
        <v>0</v>
      </c>
      <c r="AE40" s="56" t="n">
        <v>0</v>
      </c>
      <c r="AF40" s="56" t="n">
        <v>1903</v>
      </c>
      <c r="AG40" s="56" t="n">
        <v>0</v>
      </c>
      <c r="AH40" s="56" t="n">
        <v>0</v>
      </c>
      <c r="AI40" s="56" t="n">
        <v>0</v>
      </c>
      <c r="AJ40" s="56" t="n">
        <v>0</v>
      </c>
      <c r="AK40" s="56" t="n">
        <v>0</v>
      </c>
      <c r="AL40" s="56" t="n">
        <v>0</v>
      </c>
      <c r="AM40" s="56" t="n">
        <v>22436</v>
      </c>
      <c r="AN40" s="56" t="n">
        <v>24597</v>
      </c>
      <c r="AO40" s="56" t="n">
        <v>26967</v>
      </c>
      <c r="AP40" s="56" t="n">
        <v>29564</v>
      </c>
      <c r="AQ40" s="56" t="n">
        <v>32412</v>
      </c>
      <c r="AR40" s="56" t="n">
        <v>35534</v>
      </c>
      <c r="AS40" s="56" t="n">
        <v>38957</v>
      </c>
      <c r="AT40" s="56" t="n">
        <v>42709</v>
      </c>
      <c r="AU40" s="56" t="n">
        <v>46824</v>
      </c>
      <c r="AV40" s="25">
        <f>SUM(X40:AI40)</f>
        <v>1903</v>
      </c>
      <c r="AW40" s="25">
        <f>SUM(AJ40:AU40)</f>
        <v>300000</v>
      </c>
      <c r="AX40" s="46">
        <f>$K40*(1+$L40)</f>
        <v>780000</v>
      </c>
      <c r="AY40" s="46">
        <f>AX40*(1+$M40)</f>
        <v>1404000</v>
      </c>
      <c r="AZ40" s="46">
        <f>AY40*(1+$N40)</f>
        <v>2077920</v>
      </c>
      <c r="BA40" s="24">
        <f>SUM(AV40:AZ40)</f>
        <v>4563823</v>
      </c>
    </row>
    <row r="41">
      <c r="A41" s="63" t="n">
        <v>32</v>
      </c>
      <c r="B41" s="15" t="inlineStr">
        <is>
          <t>일본</t>
        </is>
      </c>
      <c r="C41" s="15" t="inlineStr">
        <is>
          <t>일본</t>
        </is>
      </c>
      <c r="D41" s="15" t="inlineStr">
        <is>
          <t>일본 신규 시설·재가 채널(하트키움·TAIS 외 직접 도입)</t>
        </is>
      </c>
      <c r="E41" s="15" t="inlineStr">
        <is>
          <t>엘더리</t>
        </is>
      </c>
      <c r="F41" s="15" t="inlineStr">
        <is>
          <t>신규 파이프라인</t>
        </is>
      </c>
      <c r="G41" s="15" t="inlineStr">
        <is>
          <t>신규</t>
        </is>
      </c>
      <c r="H41" s="15" t="inlineStr">
        <is>
          <t>C 신규 파이프라인(미확정)</t>
        </is>
      </c>
      <c r="I41" s="15" t="inlineStr">
        <is>
          <t>COH</t>
        </is>
      </c>
      <c r="J41" s="64" t="inlineStr">
        <is>
          <t>C</t>
        </is>
      </c>
      <c r="K41" s="44">
        <f>AW41</f>
        <v>0</v>
      </c>
      <c r="V41" s="66" t="inlineStr">
        <is>
          <t>오사카 외 간사이·수도권 시설 확대, 介護テクノロジー導入支援 연계(가정) · 2028~30 = 지역 목표(IR p.24 차트 비중, 8_가정 §2b) − 같은 지역 지정 거래처</t>
        </is>
      </c>
      <c r="X41" s="56" t="n">
        <v>0</v>
      </c>
      <c r="Y41" s="56" t="n">
        <v>0</v>
      </c>
      <c r="Z41" s="56" t="n">
        <v>0</v>
      </c>
      <c r="AA41" s="56" t="n">
        <v>0</v>
      </c>
      <c r="AB41" s="56" t="n">
        <v>0</v>
      </c>
      <c r="AC41" s="56" t="n">
        <v>0</v>
      </c>
      <c r="AD41" s="56" t="n">
        <v>0</v>
      </c>
      <c r="AE41" s="56" t="n">
        <v>0</v>
      </c>
      <c r="AF41" s="56" t="n">
        <v>0</v>
      </c>
      <c r="AG41" s="56" t="n">
        <v>0</v>
      </c>
      <c r="AH41" s="56" t="n">
        <v>0</v>
      </c>
      <c r="AI41" s="56" t="n">
        <v>0</v>
      </c>
      <c r="AJ41" s="56" t="n">
        <v>0</v>
      </c>
      <c r="AK41" s="56" t="n">
        <v>0</v>
      </c>
      <c r="AL41" s="56" t="n">
        <v>0</v>
      </c>
      <c r="AM41" s="56" t="n">
        <v>0</v>
      </c>
      <c r="AN41" s="56" t="n">
        <v>0</v>
      </c>
      <c r="AO41" s="56" t="n">
        <v>0</v>
      </c>
      <c r="AP41" s="56" t="n">
        <v>0</v>
      </c>
      <c r="AQ41" s="56" t="n">
        <v>0</v>
      </c>
      <c r="AR41" s="56" t="n">
        <v>0</v>
      </c>
      <c r="AS41" s="56" t="n">
        <v>0</v>
      </c>
      <c r="AT41" s="56" t="n">
        <v>0</v>
      </c>
      <c r="AU41" s="56" t="n">
        <v>0</v>
      </c>
      <c r="AV41" s="25">
        <f>SUM(X41:AI41)</f>
        <v>0</v>
      </c>
      <c r="AW41" s="25">
        <f>SUM(AJ41:AU41)</f>
        <v>0</v>
      </c>
      <c r="AX41" s="68">
        <f>('8_가정'!$E$6*(1-'8_가정'!$E$33)-SUMIF($C$10:$C$40,"한국",AX$10:AX$40)-SUMIF($C$10:$C$40,"인도",AX$10:AX$40))*'8_가정'!$E$28/('8_가정'!$E$28+'8_가정'!$E$29+'8_가정'!$E$30+'8_가정'!$E$31)-SUMIF($C$10:$C$40,$C41,AX$10:AX$40)</f>
        <v>7327668</v>
      </c>
      <c r="AY41" s="68">
        <f>('8_가정'!$F$6*(1-'8_가정'!$F$33)-SUMIF($C$10:$C$40,"한국",AY$10:AY$40)-SUMIF($C$10:$C$40,"인도",AY$10:AY$40))*'8_가정'!$F$28/('8_가정'!$F$28+'8_가정'!$F$29+'8_가정'!$F$30+'8_가정'!$F$31)-SUMIF($C$10:$C$40,$C41,AY$10:AY$40)</f>
        <v>25659507.8459796</v>
      </c>
      <c r="AZ41" s="68">
        <f>('8_가정'!$G$6*(1-'8_가정'!$G$33)-SUMIF($C$10:$C$40,"한국",AZ$10:AZ$40)-SUMIF($C$10:$C$40,"인도",AZ$10:AZ$40))*'8_가정'!$G$28/('8_가정'!$G$28+'8_가정'!$G$29+'8_가정'!$G$30+'8_가정'!$G$31)-SUMIF($C$10:$C$40,$C41,AZ$10:AZ$40)</f>
        <v>55068542.2095676</v>
      </c>
      <c r="BA41" s="24">
        <f>SUM(AV41:AZ41)</f>
        <v>88055718.0555472</v>
      </c>
    </row>
    <row r="42">
      <c r="A42" s="63" t="n">
        <v>33</v>
      </c>
      <c r="B42" s="15" t="inlineStr">
        <is>
          <t>싱가포르·말레이시아 외</t>
        </is>
      </c>
      <c r="C42" s="15" t="inlineStr">
        <is>
          <t>동남아·APAC</t>
        </is>
      </c>
      <c r="D42" s="15" t="inlineStr">
        <is>
          <t>동남아 병원·요양그룹 확대(IHH·NTUC·SingHealth·Econ·ACG 전환)</t>
        </is>
      </c>
      <c r="E42" s="15" t="inlineStr">
        <is>
          <t>엘더리</t>
        </is>
      </c>
      <c r="F42" s="15" t="inlineStr">
        <is>
          <t>신규 파이프라인</t>
        </is>
      </c>
      <c r="G42" s="15" t="inlineStr">
        <is>
          <t>신규</t>
        </is>
      </c>
      <c r="H42" s="15" t="inlineStr">
        <is>
          <t>C 신규 파이프라인(미확정)</t>
        </is>
      </c>
      <c r="I42" s="15" t="inlineStr">
        <is>
          <t>COH</t>
        </is>
      </c>
      <c r="J42" s="64" t="inlineStr">
        <is>
          <t>C</t>
        </is>
      </c>
      <c r="K42" s="44">
        <f>AW42</f>
        <v>162400</v>
      </c>
      <c r="V42" s="66" t="inlineStr">
        <is>
          <t>IR p.19·25·29~32: PoC·구매절차 준비 중인 대형 그룹의 상용 전환(가정) · 2028~30 = 지역 목표(IR p.24 차트 비중, 8_가정 §2b) − 같은 지역 지정 거래처</t>
        </is>
      </c>
      <c r="X42" s="56" t="n">
        <v>0</v>
      </c>
      <c r="Y42" s="56" t="n">
        <v>0</v>
      </c>
      <c r="Z42" s="56" t="n">
        <v>0</v>
      </c>
      <c r="AA42" s="56" t="n">
        <v>0</v>
      </c>
      <c r="AB42" s="56" t="n">
        <v>0</v>
      </c>
      <c r="AC42" s="56" t="n">
        <v>0</v>
      </c>
      <c r="AD42" s="56" t="n">
        <v>0</v>
      </c>
      <c r="AE42" s="56" t="n">
        <v>0</v>
      </c>
      <c r="AF42" s="56" t="n">
        <v>0</v>
      </c>
      <c r="AG42" s="56" t="n">
        <v>0</v>
      </c>
      <c r="AH42" s="56" t="n">
        <v>0</v>
      </c>
      <c r="AI42" s="56" t="n">
        <v>0</v>
      </c>
      <c r="AJ42" s="56" t="n">
        <v>0</v>
      </c>
      <c r="AK42" s="56" t="n">
        <v>0</v>
      </c>
      <c r="AL42" s="56" t="n">
        <v>16240</v>
      </c>
      <c r="AM42" s="56" t="n">
        <v>16240</v>
      </c>
      <c r="AN42" s="56" t="n">
        <v>16240</v>
      </c>
      <c r="AO42" s="56" t="n">
        <v>16240</v>
      </c>
      <c r="AP42" s="56" t="n">
        <v>16240</v>
      </c>
      <c r="AQ42" s="56" t="n">
        <v>16240</v>
      </c>
      <c r="AR42" s="56" t="n">
        <v>16240</v>
      </c>
      <c r="AS42" s="56" t="n">
        <v>16240</v>
      </c>
      <c r="AT42" s="56" t="n">
        <v>16240</v>
      </c>
      <c r="AU42" s="56" t="n">
        <v>16240</v>
      </c>
      <c r="AV42" s="25">
        <f>SUM(X42:AI42)</f>
        <v>0</v>
      </c>
      <c r="AW42" s="25">
        <f>SUM(AJ42:AU42)</f>
        <v>162400</v>
      </c>
      <c r="AX42" s="68">
        <f>('8_가정'!$E$6*(1-'8_가정'!$E$33)-SUMIF($C$10:$C$40,"한국",AX$10:AX$40)-SUMIF($C$10:$C$40,"인도",AX$10:AX$40))*'8_가정'!$E$30/('8_가정'!$E$28+'8_가정'!$E$29+'8_가정'!$E$30+'8_가정'!$E$31)-SUMIF($C$10:$C$40,$C42,AX$10:AX$40)</f>
        <v>237185.516930022</v>
      </c>
      <c r="AY42" s="68">
        <f>('8_가정'!$F$6*(1-'8_가정'!$F$33)-SUMIF($C$10:$C$40,"한국",AY$10:AY$40)-SUMIF($C$10:$C$40,"인도",AY$10:AY$40))*'8_가정'!$F$30/('8_가정'!$F$28+'8_가정'!$F$29+'8_가정'!$F$30+'8_가정'!$F$31)-SUMIF($C$10:$C$40,$C42,AY$10:AY$40)</f>
        <v>1332035.26160815</v>
      </c>
      <c r="AZ42" s="68">
        <f>('8_가정'!$G$6*(1-'8_가정'!$G$33)-SUMIF($C$10:$C$40,"한국",AZ$10:AZ$40)-SUMIF($C$10:$C$40,"인도",AZ$10:AZ$40))*'8_가정'!$G$30/('8_가정'!$G$28+'8_가정'!$G$29+'8_가정'!$G$30+'8_가정'!$G$31)-SUMIF($C$10:$C$40,$C42,AZ$10:AZ$40)</f>
        <v>6720808.14432375</v>
      </c>
      <c r="BA42" s="24">
        <f>SUM(AV42:AZ42)</f>
        <v>8452428.92286193</v>
      </c>
    </row>
    <row r="43">
      <c r="A43" s="63" t="n">
        <v>34</v>
      </c>
      <c r="B43" s="15" t="inlineStr">
        <is>
          <t>유럽</t>
        </is>
      </c>
      <c r="C43" s="15" t="inlineStr">
        <is>
          <t>유럽</t>
        </is>
      </c>
      <c r="D43" s="15" t="inlineStr">
        <is>
          <t>유럽 총판 확대(NL·DE·PL·PT·북유럽)</t>
        </is>
      </c>
      <c r="E43" s="15" t="inlineStr">
        <is>
          <t>엘더리</t>
        </is>
      </c>
      <c r="F43" s="15" t="inlineStr">
        <is>
          <t>신규 파이프라인</t>
        </is>
      </c>
      <c r="G43" s="15" t="inlineStr">
        <is>
          <t>신규</t>
        </is>
      </c>
      <c r="H43" s="15" t="inlineStr">
        <is>
          <t>C 신규 파이프라인(미확정)</t>
        </is>
      </c>
      <c r="I43" s="15" t="inlineStr">
        <is>
          <t>COH</t>
        </is>
      </c>
      <c r="J43" s="64" t="inlineStr">
        <is>
          <t>C</t>
        </is>
      </c>
      <c r="K43" s="44">
        <f>AW43</f>
        <v>389760</v>
      </c>
      <c r="V43" s="66" t="inlineStr">
        <is>
          <t>IR p.24 로드맵 2027 EU PoC → 2028~ 유럽 확대(가정). 2028~30 = 유럽 지역 목표(8_가정 §2b) − 지정 유럽 총판(GISI·NEUCA·Armedion). 2028은 지정 총판 성장분이 커서 본 행은 일시 감소</t>
        </is>
      </c>
      <c r="X43" s="56" t="n">
        <v>0</v>
      </c>
      <c r="Y43" s="56" t="n">
        <v>0</v>
      </c>
      <c r="Z43" s="56" t="n">
        <v>0</v>
      </c>
      <c r="AA43" s="56" t="n">
        <v>0</v>
      </c>
      <c r="AB43" s="56" t="n">
        <v>0</v>
      </c>
      <c r="AC43" s="56" t="n">
        <v>0</v>
      </c>
      <c r="AD43" s="56" t="n">
        <v>0</v>
      </c>
      <c r="AE43" s="56" t="n">
        <v>0</v>
      </c>
      <c r="AF43" s="56" t="n">
        <v>0</v>
      </c>
      <c r="AG43" s="56" t="n">
        <v>0</v>
      </c>
      <c r="AH43" s="56" t="n">
        <v>0</v>
      </c>
      <c r="AI43" s="56" t="n">
        <v>0</v>
      </c>
      <c r="AJ43" s="56" t="n">
        <v>16240</v>
      </c>
      <c r="AK43" s="56" t="n">
        <v>16240</v>
      </c>
      <c r="AL43" s="56" t="n">
        <v>16240</v>
      </c>
      <c r="AM43" s="56" t="n">
        <v>16240</v>
      </c>
      <c r="AN43" s="56" t="n">
        <v>32480</v>
      </c>
      <c r="AO43" s="56" t="n">
        <v>32480</v>
      </c>
      <c r="AP43" s="56" t="n">
        <v>32480</v>
      </c>
      <c r="AQ43" s="56" t="n">
        <v>32480</v>
      </c>
      <c r="AR43" s="56" t="n">
        <v>48720</v>
      </c>
      <c r="AS43" s="56" t="n">
        <v>48720</v>
      </c>
      <c r="AT43" s="56" t="n">
        <v>48720</v>
      </c>
      <c r="AU43" s="56" t="n">
        <v>48720</v>
      </c>
      <c r="AV43" s="25">
        <f>SUM(X43:AI43)</f>
        <v>0</v>
      </c>
      <c r="AW43" s="25">
        <f>SUM(AJ43:AU43)</f>
        <v>389760</v>
      </c>
      <c r="AX43" s="68">
        <f>('8_가정'!$E$6*(1-'8_가정'!$E$33)-SUMIF($C$10:$C$40,"한국",AX$10:AX$40)-SUMIF($C$10:$C$40,"인도",AX$10:AX$40))*'8_가정'!$E$31/('8_가정'!$E$28+'8_가정'!$E$29+'8_가정'!$E$30+'8_가정'!$E$31)-SUMIF($C$10:$C$40,$C43,AX$10:AX$40)</f>
        <v>345892.171557562</v>
      </c>
      <c r="AY43" s="68">
        <f>('8_가정'!$F$6*(1-'8_가정'!$F$33)-SUMIF($C$10:$C$40,"한국",AY$10:AY$40)-SUMIF($C$10:$C$40,"인도",AY$10:AY$40))*'8_가정'!$F$31/('8_가정'!$F$28+'8_가정'!$F$29+'8_가정'!$F$30+'8_가정'!$F$31)-SUMIF($C$10:$C$40,$C43,AY$10:AY$40)</f>
        <v>4183124.45300113</v>
      </c>
      <c r="AZ43" s="68">
        <f>('8_가정'!$G$6*(1-'8_가정'!$G$33)-SUMIF($C$10:$C$40,"한국",AZ$10:AZ$40)-SUMIF($C$10:$C$40,"인도",AZ$10:AZ$40))*'8_가정'!$G$31/('8_가정'!$G$28+'8_가정'!$G$29+'8_가정'!$G$30+'8_가정'!$G$31)-SUMIF($C$10:$C$40,$C43,AZ$10:AZ$40)</f>
        <v>9968344.40250479</v>
      </c>
      <c r="BA43" s="24">
        <f>SUM(AV43:AZ43)</f>
        <v>14887121.0270635</v>
      </c>
    </row>
    <row r="44">
      <c r="A44" s="63" t="n">
        <v>35</v>
      </c>
      <c r="B44" s="15" t="inlineStr">
        <is>
          <t>미국</t>
        </is>
      </c>
      <c r="C44" s="15" t="inlineStr">
        <is>
          <t>미국</t>
        </is>
      </c>
      <c r="D44" s="15" t="inlineStr">
        <is>
          <t>미국 의료유통 채널(Shelter Device PoC → 2029 유통 진입)</t>
        </is>
      </c>
      <c r="E44" s="15" t="inlineStr">
        <is>
          <t>엘더리</t>
        </is>
      </c>
      <c r="F44" s="15" t="inlineStr">
        <is>
          <t>신규 파이프라인</t>
        </is>
      </c>
      <c r="G44" s="15" t="inlineStr">
        <is>
          <t>신규</t>
        </is>
      </c>
      <c r="H44" s="15" t="inlineStr">
        <is>
          <t>C 신규 파이프라인(미확정)</t>
        </is>
      </c>
      <c r="I44" s="15" t="inlineStr">
        <is>
          <t>COH</t>
        </is>
      </c>
      <c r="J44" s="64" t="inlineStr">
        <is>
          <t>C</t>
        </is>
      </c>
      <c r="K44" s="44">
        <f>AW44</f>
        <v>162400</v>
      </c>
      <c r="V44" s="66" t="inlineStr">
        <is>
          <t>IR p.24 로드맵: 2029 미국 의료 유통 채널 본격 진입. 2027은 Shelter Device PoC·초기 공급 가정(2027-03 개시, 미확정). 2028~30은 IR p.24 차트 미국 비중에 따른 지역 목표 배분값(8_가정 §2b, 개별 계약 근거 없음). FDA 등 인허가 일정은 별도 확인 필요</t>
        </is>
      </c>
      <c r="X44" s="56" t="n">
        <v>0</v>
      </c>
      <c r="Y44" s="56" t="n">
        <v>0</v>
      </c>
      <c r="Z44" s="56" t="n">
        <v>0</v>
      </c>
      <c r="AA44" s="56" t="n">
        <v>0</v>
      </c>
      <c r="AB44" s="56" t="n">
        <v>0</v>
      </c>
      <c r="AC44" s="56" t="n">
        <v>0</v>
      </c>
      <c r="AD44" s="56" t="n">
        <v>0</v>
      </c>
      <c r="AE44" s="56" t="n">
        <v>0</v>
      </c>
      <c r="AF44" s="56" t="n">
        <v>0</v>
      </c>
      <c r="AG44" s="56" t="n">
        <v>0</v>
      </c>
      <c r="AH44" s="56" t="n">
        <v>0</v>
      </c>
      <c r="AI44" s="56" t="n">
        <v>0</v>
      </c>
      <c r="AJ44" s="56" t="n">
        <v>0</v>
      </c>
      <c r="AK44" s="56" t="n">
        <v>0</v>
      </c>
      <c r="AL44" s="56" t="n">
        <v>16240</v>
      </c>
      <c r="AM44" s="56" t="n">
        <v>16240</v>
      </c>
      <c r="AN44" s="56" t="n">
        <v>16240</v>
      </c>
      <c r="AO44" s="56" t="n">
        <v>16240</v>
      </c>
      <c r="AP44" s="56" t="n">
        <v>16240</v>
      </c>
      <c r="AQ44" s="56" t="n">
        <v>16240</v>
      </c>
      <c r="AR44" s="56" t="n">
        <v>16240</v>
      </c>
      <c r="AS44" s="56" t="n">
        <v>16240</v>
      </c>
      <c r="AT44" s="56" t="n">
        <v>16240</v>
      </c>
      <c r="AU44" s="56" t="n">
        <v>16240</v>
      </c>
      <c r="AV44" s="25">
        <f>SUM(X44:AI44)</f>
        <v>0</v>
      </c>
      <c r="AW44" s="25">
        <f>SUM(AJ44:AU44)</f>
        <v>162400</v>
      </c>
      <c r="AX44" s="68">
        <f>('8_가정'!$E$6*(1-'8_가정'!$E$33)-SUMIF($C$10:$C$40,"한국",AX$10:AX$40)-SUMIF($C$10:$C$40,"인도",AX$10:AX$40))*'8_가정'!$E$29/('8_가정'!$E$28+'8_가정'!$E$29+'8_가정'!$E$30+'8_가정'!$E$31)-SUMIF($C$10:$C$40,$C44,AX$10:AX$40)</f>
        <v>3707790.31151242</v>
      </c>
      <c r="AY44" s="68">
        <f>('8_가정'!$F$6*(1-'8_가정'!$F$33)-SUMIF($C$10:$C$40,"한국",AY$10:AY$40)-SUMIF($C$10:$C$40,"인도",AY$10:AY$40))*'8_가정'!$F$29/('8_가정'!$F$28+'8_가정'!$F$29+'8_가정'!$F$30+'8_가정'!$F$31)-SUMIF($C$10:$C$40,$C44,AY$10:AY$40)</f>
        <v>4676528.4394111</v>
      </c>
      <c r="AZ44" s="68">
        <f>('8_가정'!$G$6*(1-'8_가정'!$G$33)-SUMIF($C$10:$C$40,"한국",AZ$10:AZ$40)-SUMIF($C$10:$C$40,"인도",AZ$10:AZ$40))*'8_가정'!$G$29/('8_가정'!$G$28+'8_가정'!$G$29+'8_가정'!$G$30+'8_가정'!$G$31)-SUMIF($C$10:$C$40,$C44,AZ$10:AZ$40)</f>
        <v>35290453.6916038</v>
      </c>
      <c r="BA44" s="24">
        <f>SUM(AV44:AZ44)</f>
        <v>43837172.4425274</v>
      </c>
    </row>
    <row r="45">
      <c r="A45" s="63" t="n">
        <v>36</v>
      </c>
      <c r="B45" s="15" t="inlineStr">
        <is>
          <t>글로벌</t>
        </is>
      </c>
      <c r="C45" s="15" t="inlineStr">
        <is>
          <t>글로벌(삼성채널)</t>
        </is>
      </c>
      <c r="D45" s="15" t="inlineStr">
        <is>
          <t>삼성 글로벌 채널(B2B 오퍼링 번들·시니어 모바일 앱)</t>
        </is>
      </c>
      <c r="E45" s="15" t="inlineStr">
        <is>
          <t>엘더리</t>
        </is>
      </c>
      <c r="F45" s="15" t="inlineStr">
        <is>
          <t>파트너</t>
        </is>
      </c>
      <c r="G45" s="15" t="inlineStr">
        <is>
          <t>신규</t>
        </is>
      </c>
      <c r="H45" s="15" t="inlineStr">
        <is>
          <t>C 신규 파이프라인(미확정)</t>
        </is>
      </c>
      <c r="I45" s="15" t="inlineStr">
        <is>
          <t>COH</t>
        </is>
      </c>
      <c r="J45" s="64" t="inlineStr">
        <is>
          <t>S</t>
        </is>
      </c>
      <c r="K45" s="44">
        <f>AW45</f>
        <v>97440</v>
      </c>
      <c r="V45" s="66" t="inlineStr">
        <is>
          <t>IR p.23·24: 삼성 B2B 오퍼링 번들(2028 글로벌 확장, 273개국). 2027 = 초기 공급 가정, 2028~30 = IR 매출 × 삼성 비중(8%·6%·5%, 8_가정 §2b). 미확정 항목</t>
        </is>
      </c>
      <c r="X45" s="56" t="n">
        <v>0</v>
      </c>
      <c r="Y45" s="56" t="n">
        <v>0</v>
      </c>
      <c r="Z45" s="56" t="n">
        <v>0</v>
      </c>
      <c r="AA45" s="56" t="n">
        <v>0</v>
      </c>
      <c r="AB45" s="56" t="n">
        <v>0</v>
      </c>
      <c r="AC45" s="56" t="n">
        <v>0</v>
      </c>
      <c r="AD45" s="56" t="n">
        <v>0</v>
      </c>
      <c r="AE45" s="56" t="n">
        <v>0</v>
      </c>
      <c r="AF45" s="56" t="n">
        <v>0</v>
      </c>
      <c r="AG45" s="56" t="n">
        <v>0</v>
      </c>
      <c r="AH45" s="56" t="n">
        <v>0</v>
      </c>
      <c r="AI45" s="56" t="n">
        <v>0</v>
      </c>
      <c r="AJ45" s="56" t="n">
        <v>8120</v>
      </c>
      <c r="AK45" s="56" t="n">
        <v>8120</v>
      </c>
      <c r="AL45" s="56" t="n">
        <v>8120</v>
      </c>
      <c r="AM45" s="56" t="n">
        <v>8120</v>
      </c>
      <c r="AN45" s="56" t="n">
        <v>8120</v>
      </c>
      <c r="AO45" s="56" t="n">
        <v>8120</v>
      </c>
      <c r="AP45" s="56" t="n">
        <v>8120</v>
      </c>
      <c r="AQ45" s="56" t="n">
        <v>8120</v>
      </c>
      <c r="AR45" s="56" t="n">
        <v>8120</v>
      </c>
      <c r="AS45" s="56" t="n">
        <v>8120</v>
      </c>
      <c r="AT45" s="56" t="n">
        <v>8120</v>
      </c>
      <c r="AU45" s="56" t="n">
        <v>8120</v>
      </c>
      <c r="AV45" s="25">
        <f>SUM(X45:AI45)</f>
        <v>0</v>
      </c>
      <c r="AW45" s="25">
        <f>SUM(AJ45:AU45)</f>
        <v>97440</v>
      </c>
      <c r="AX45" s="68">
        <f>'8_가정'!$E$6-SUM(AX10:AX44)</f>
        <v>2640000</v>
      </c>
      <c r="AY45" s="68">
        <f>'8_가정'!$F$6-SUM(AY10:AY44)</f>
        <v>4200000.00000001</v>
      </c>
      <c r="AZ45" s="68">
        <f>'8_가정'!$G$6-SUM(AZ10:AZ44)</f>
        <v>7800000</v>
      </c>
      <c r="BA45" s="24">
        <f>SUM(AV45:AZ45)</f>
        <v>14737440</v>
      </c>
    </row>
    <row r="46">
      <c r="D46" s="12" t="inlineStr">
        <is>
          <t>A 합계(S1)</t>
        </is>
      </c>
      <c r="X46" s="28">
        <f>SUM(X10:X45)</f>
        <v>47067</v>
      </c>
      <c r="Y46" s="28">
        <f>SUM(Y10:Y45)</f>
        <v>36140</v>
      </c>
      <c r="Z46" s="28">
        <f>SUM(Z10:Z45)</f>
        <v>56454</v>
      </c>
      <c r="AA46" s="28">
        <f>SUM(AA10:AA45)</f>
        <v>10935</v>
      </c>
      <c r="AB46" s="28">
        <f>SUM(AB10:AB45)</f>
        <v>22317</v>
      </c>
      <c r="AC46" s="28">
        <f>SUM(AC10:AC45)</f>
        <v>51453</v>
      </c>
      <c r="AD46" s="28">
        <f>SUM(AD10:AD45)</f>
        <v>13314</v>
      </c>
      <c r="AE46" s="28">
        <f>SUM(AE10:AE45)</f>
        <v>7926</v>
      </c>
      <c r="AF46" s="28">
        <f>SUM(AF10:AF45)</f>
        <v>40729</v>
      </c>
      <c r="AG46" s="28">
        <f>SUM(AG10:AG45)</f>
        <v>178325</v>
      </c>
      <c r="AH46" s="28">
        <f>SUM(AH10:AH45)</f>
        <v>243920</v>
      </c>
      <c r="AI46" s="28">
        <f>SUM(AI10:AI45)</f>
        <v>492637</v>
      </c>
      <c r="AJ46" s="28">
        <f>SUM(AJ10:AJ45)</f>
        <v>488011</v>
      </c>
      <c r="AK46" s="28">
        <f>SUM(AK10:AK45)</f>
        <v>518130</v>
      </c>
      <c r="AL46" s="28">
        <f>SUM(AL10:AL45)</f>
        <v>642594</v>
      </c>
      <c r="AM46" s="28">
        <f>SUM(AM10:AM45)</f>
        <v>721010</v>
      </c>
      <c r="AN46" s="28">
        <f>SUM(AN10:AN45)</f>
        <v>776441</v>
      </c>
      <c r="AO46" s="28">
        <f>SUM(AO10:AO45)</f>
        <v>815573</v>
      </c>
      <c r="AP46" s="28">
        <f>SUM(AP10:AP45)</f>
        <v>883990</v>
      </c>
      <c r="AQ46" s="28">
        <f>SUM(AQ10:AQ45)</f>
        <v>915762</v>
      </c>
      <c r="AR46" s="28">
        <f>SUM(AR10:AR45)</f>
        <v>967402</v>
      </c>
      <c r="AS46" s="28">
        <f>SUM(AS10:AS45)</f>
        <v>1037299</v>
      </c>
      <c r="AT46" s="28">
        <f>SUM(AT10:AT45)</f>
        <v>1097733</v>
      </c>
      <c r="AU46" s="28">
        <f>SUM(AU10:AU45)</f>
        <v>1141055</v>
      </c>
      <c r="AV46" s="29">
        <f>SUM(AV10:AV45)</f>
        <v>1201217</v>
      </c>
      <c r="AW46" s="29">
        <f>SUM(AW10:AW45)</f>
        <v>10005000</v>
      </c>
      <c r="AX46" s="30">
        <f>SUM(AX10:AX45)</f>
        <v>33000000</v>
      </c>
      <c r="AY46" s="30">
        <f>SUM(AY10:AY45)</f>
        <v>70000000</v>
      </c>
      <c r="AZ46" s="30">
        <f>SUM(AZ10:AZ45)</f>
        <v>156000000</v>
      </c>
      <c r="BA46" s="28">
        <f>SUM(BA10:BA45)</f>
        <v>270206217</v>
      </c>
    </row>
    <row r="47">
      <c r="D47" s="53" t="inlineStr">
        <is>
          <t>IR 매출 목표(참고)</t>
        </is>
      </c>
      <c r="AV47" s="69">
        <f>'8_가정'!$C$6</f>
        <v>1200000</v>
      </c>
      <c r="AW47" s="69">
        <f>'8_가정'!$D$6</f>
        <v>10005000</v>
      </c>
      <c r="AX47" s="69">
        <f>'8_가정'!$E$6</f>
        <v>33000000</v>
      </c>
      <c r="AY47" s="69">
        <f>'8_가정'!$F$6</f>
        <v>70000000</v>
      </c>
      <c r="AZ47" s="69">
        <f>'8_가정'!$G$6</f>
        <v>156000000</v>
      </c>
      <c r="BA47" s="44">
        <f>SUM(AV47:AZ47)</f>
        <v>270205000</v>
      </c>
    </row>
    <row r="48">
      <c r="D48" s="53" t="inlineStr">
        <is>
          <t>차이(모델 − IR)</t>
        </is>
      </c>
      <c r="AV48" s="44">
        <f>AV46-AV47</f>
        <v>1217</v>
      </c>
      <c r="AW48" s="44">
        <f>AW46-AW47</f>
        <v>0</v>
      </c>
      <c r="AX48" s="44">
        <f>AX46-AX47</f>
        <v>0</v>
      </c>
      <c r="AY48" s="44">
        <f>AY46-AY47</f>
        <v>0</v>
      </c>
      <c r="AZ48" s="44">
        <f>AZ46-AZ47</f>
        <v>0</v>
      </c>
      <c r="BA48" s="44">
        <f>BA46-BA47</f>
        <v>1217</v>
      </c>
    </row>
    <row r="49">
      <c r="D49" s="53" t="inlineStr">
        <is>
          <t>차이 %</t>
        </is>
      </c>
      <c r="AV49" s="70">
        <f>IFERROR(AV48/AV47,0)</f>
        <v>0.00101416666666667</v>
      </c>
      <c r="AW49" s="70">
        <f>IFERROR(AW48/AW47,0)</f>
        <v>0</v>
      </c>
      <c r="AX49" s="70">
        <f>IFERROR(AX48/AX47,0)</f>
        <v>0</v>
      </c>
      <c r="AY49" s="70">
        <f>IFERROR(AY48/AY47,0)</f>
        <v>0</v>
      </c>
      <c r="AZ49" s="70">
        <f>IFERROR(AZ48/AZ47,0)</f>
        <v>0</v>
      </c>
      <c r="BA49" s="70">
        <f>IFERROR(BA48/BA47,0)</f>
        <v>4.5039877130327e-06</v>
      </c>
    </row>
    <row r="51">
      <c r="A51" s="3" t="inlineStr">
        <is>
          <t>B. 선택 시나리오 적용 — 손익계산서 연동 (A블록 × 아래 적용 계수)</t>
        </is>
      </c>
    </row>
    <row r="52">
      <c r="D52" s="12" t="inlineStr">
        <is>
          <t>적용 계수 = 선택 시나리오 매출 달성률(8_가정 §2)</t>
        </is>
      </c>
      <c r="X52" s="71">
        <f>IF(X$6&lt;='8_가정'!$C$22,1,'8_가정'!$G$23)</f>
        <v>1</v>
      </c>
      <c r="Y52" s="71">
        <f>IF(Y$6&lt;='8_가정'!$C$22,1,'8_가정'!$G$23)</f>
        <v>1</v>
      </c>
      <c r="Z52" s="71">
        <f>IF(Z$6&lt;='8_가정'!$C$22,1,'8_가정'!$G$23)</f>
        <v>1</v>
      </c>
      <c r="AA52" s="71">
        <f>IF(AA$6&lt;='8_가정'!$C$22,1,'8_가정'!$G$23)</f>
        <v>1</v>
      </c>
      <c r="AB52" s="71">
        <f>IF(AB$6&lt;='8_가정'!$C$22,1,'8_가정'!$G$23)</f>
        <v>1</v>
      </c>
      <c r="AC52" s="71">
        <f>IF(AC$6&lt;='8_가정'!$C$22,1,'8_가정'!$G$23)</f>
        <v>1</v>
      </c>
      <c r="AD52" s="71">
        <f>IF(AD$6&lt;='8_가정'!$C$22,1,'8_가정'!$G$23)</f>
        <v>1</v>
      </c>
      <c r="AE52" s="71">
        <f>IF(AE$6&lt;='8_가정'!$C$22,1,'8_가정'!$G$23)</f>
        <v>1</v>
      </c>
      <c r="AF52" s="71">
        <f>IF(AF$6&lt;='8_가정'!$C$22,1,'8_가정'!$G$23)</f>
        <v>1</v>
      </c>
      <c r="AG52" s="71">
        <f>IF(AG$6&lt;='8_가정'!$C$22,1,'8_가정'!$G$23)</f>
        <v>1</v>
      </c>
      <c r="AH52" s="71">
        <f>IF(AH$6&lt;='8_가정'!$C$22,1,'8_가정'!$G$23)</f>
        <v>1</v>
      </c>
      <c r="AI52" s="71">
        <f>IF(AI$6&lt;='8_가정'!$C$22,1,'8_가정'!$G$23)</f>
        <v>1</v>
      </c>
      <c r="AJ52" s="71">
        <f>'8_가정'!$G$18</f>
        <v>1</v>
      </c>
      <c r="AK52" s="71">
        <f>'8_가정'!$G$18</f>
        <v>1</v>
      </c>
      <c r="AL52" s="71">
        <f>'8_가정'!$G$18</f>
        <v>1</v>
      </c>
      <c r="AM52" s="71">
        <f>'8_가정'!$G$18</f>
        <v>1</v>
      </c>
      <c r="AN52" s="71">
        <f>'8_가정'!$G$18</f>
        <v>1</v>
      </c>
      <c r="AO52" s="71">
        <f>'8_가정'!$G$18</f>
        <v>1</v>
      </c>
      <c r="AP52" s="71">
        <f>'8_가정'!$G$18</f>
        <v>1</v>
      </c>
      <c r="AQ52" s="71">
        <f>'8_가정'!$G$18</f>
        <v>1</v>
      </c>
      <c r="AR52" s="71">
        <f>'8_가정'!$G$18</f>
        <v>1</v>
      </c>
      <c r="AS52" s="71">
        <f>'8_가정'!$G$18</f>
        <v>1</v>
      </c>
      <c r="AT52" s="71">
        <f>'8_가정'!$G$18</f>
        <v>1</v>
      </c>
      <c r="AU52" s="71">
        <f>'8_가정'!$G$18</f>
        <v>1</v>
      </c>
      <c r="AV52" s="72">
        <f>IFERROR(AV90/AV46,1)</f>
        <v>1</v>
      </c>
      <c r="AW52" s="72">
        <f>IFERROR(AW90/AW46,1)</f>
        <v>1</v>
      </c>
      <c r="AX52" s="73">
        <f>'8_가정'!$G$19</f>
        <v>1</v>
      </c>
      <c r="AY52" s="73">
        <f>'8_가정'!$G$20</f>
        <v>1</v>
      </c>
      <c r="AZ52" s="73">
        <f>'8_가정'!$G$21</f>
        <v>1</v>
      </c>
      <c r="BA52" s="74">
        <f>IFERROR(BA90/BA46,1)</f>
        <v>1</v>
      </c>
    </row>
    <row r="53">
      <c r="A53" s="22" t="inlineStr">
        <is>
          <t>No</t>
        </is>
      </c>
      <c r="B53" s="22" t="inlineStr">
        <is>
          <t>국가</t>
        </is>
      </c>
      <c r="C53" s="22" t="inlineStr">
        <is>
          <t>지역</t>
        </is>
      </c>
      <c r="D53" s="22" t="inlineStr">
        <is>
          <t>거래처</t>
        </is>
      </c>
      <c r="E53" s="22" t="inlineStr">
        <is>
          <t>카테고리</t>
        </is>
      </c>
      <c r="F53" s="22" t="inlineStr">
        <is>
          <t>거래형태</t>
        </is>
      </c>
      <c r="G53" s="22" t="inlineStr">
        <is>
          <t>모델 단계</t>
        </is>
      </c>
      <c r="H53" s="22" t="inlineStr">
        <is>
          <t>근거수준</t>
        </is>
      </c>
      <c r="I53" s="22" t="inlineStr">
        <is>
          <t>믹스</t>
        </is>
      </c>
      <c r="J53" s="22" t="inlineStr">
        <is>
          <t>입력방식</t>
        </is>
      </c>
      <c r="X53" s="22" t="inlineStr">
        <is>
          <t>2026-01</t>
        </is>
      </c>
      <c r="Y53" s="22" t="inlineStr">
        <is>
          <t>2026-02</t>
        </is>
      </c>
      <c r="Z53" s="22" t="inlineStr">
        <is>
          <t>2026-03</t>
        </is>
      </c>
      <c r="AA53" s="22" t="inlineStr">
        <is>
          <t>2026-04</t>
        </is>
      </c>
      <c r="AB53" s="22" t="inlineStr">
        <is>
          <t>2026-05</t>
        </is>
      </c>
      <c r="AC53" s="22" t="inlineStr">
        <is>
          <t>2026-06</t>
        </is>
      </c>
      <c r="AD53" s="22" t="inlineStr">
        <is>
          <t>2026-07</t>
        </is>
      </c>
      <c r="AE53" s="22" t="inlineStr">
        <is>
          <t>2026-08</t>
        </is>
      </c>
      <c r="AF53" s="22" t="inlineStr">
        <is>
          <t>2026-09</t>
        </is>
      </c>
      <c r="AG53" s="22" t="inlineStr">
        <is>
          <t>2026-10</t>
        </is>
      </c>
      <c r="AH53" s="22" t="inlineStr">
        <is>
          <t>2026-11</t>
        </is>
      </c>
      <c r="AI53" s="22" t="inlineStr">
        <is>
          <t>2026-12</t>
        </is>
      </c>
      <c r="AJ53" s="22" t="inlineStr">
        <is>
          <t>2027-01</t>
        </is>
      </c>
      <c r="AK53" s="22" t="inlineStr">
        <is>
          <t>2027-02</t>
        </is>
      </c>
      <c r="AL53" s="22" t="inlineStr">
        <is>
          <t>2027-03</t>
        </is>
      </c>
      <c r="AM53" s="22" t="inlineStr">
        <is>
          <t>2027-04</t>
        </is>
      </c>
      <c r="AN53" s="22" t="inlineStr">
        <is>
          <t>2027-05</t>
        </is>
      </c>
      <c r="AO53" s="22" t="inlineStr">
        <is>
          <t>2027-06</t>
        </is>
      </c>
      <c r="AP53" s="22" t="inlineStr">
        <is>
          <t>2027-07</t>
        </is>
      </c>
      <c r="AQ53" s="22" t="inlineStr">
        <is>
          <t>2027-08</t>
        </is>
      </c>
      <c r="AR53" s="22" t="inlineStr">
        <is>
          <t>2027-09</t>
        </is>
      </c>
      <c r="AS53" s="22" t="inlineStr">
        <is>
          <t>2027-10</t>
        </is>
      </c>
      <c r="AT53" s="22" t="inlineStr">
        <is>
          <t>2027-11</t>
        </is>
      </c>
      <c r="AU53" s="22" t="inlineStr">
        <is>
          <t>2027-12</t>
        </is>
      </c>
      <c r="AV53" s="22" t="inlineStr">
        <is>
          <t>FY2026</t>
        </is>
      </c>
      <c r="AW53" s="22" t="inlineStr">
        <is>
          <t>FY2027</t>
        </is>
      </c>
      <c r="AX53" s="22" t="inlineStr">
        <is>
          <t>2028E</t>
        </is>
      </c>
      <c r="AY53" s="22" t="inlineStr">
        <is>
          <t>2029E</t>
        </is>
      </c>
      <c r="AZ53" s="22" t="inlineStr">
        <is>
          <t>2030E</t>
        </is>
      </c>
      <c r="BA53" s="22" t="inlineStr">
        <is>
          <t>5개년 합계</t>
        </is>
      </c>
    </row>
    <row r="54">
      <c r="A54" s="7">
        <f>A10</f>
        <v>1</v>
      </c>
      <c r="B54" s="15" t="str">
        <f>B10</f>
        <v>한국</v>
      </c>
      <c r="C54" s="15" t="str">
        <f>C10</f>
        <v>한국</v>
      </c>
      <c r="D54" s="15" t="str">
        <f>D10</f>
        <v>네이버(Bebefit/Monit) — 베이비</v>
      </c>
      <c r="E54" s="15" t="str">
        <f>E10</f>
        <v>베이비</v>
      </c>
      <c r="F54" s="15" t="str">
        <f>F10</f>
        <v>온라인·B2C</v>
      </c>
      <c r="G54" s="15" t="str">
        <f>G10</f>
        <v>기존</v>
      </c>
      <c r="H54" s="15" t="str">
        <f>H10</f>
        <v>A 계약·기존 거래</v>
      </c>
      <c r="I54" s="15" t="str">
        <f>I10</f>
        <v>BABY</v>
      </c>
      <c r="J54" s="15" t="str">
        <f>J10</f>
        <v>M</v>
      </c>
      <c r="X54" s="44">
        <f>X10*X$52</f>
        <v>2371</v>
      </c>
      <c r="Y54" s="44">
        <f>Y10*Y$52</f>
        <v>1579</v>
      </c>
      <c r="Z54" s="44">
        <f>Z10*Z$52</f>
        <v>2546</v>
      </c>
      <c r="AA54" s="44">
        <f>AA10*AA$52</f>
        <v>3668</v>
      </c>
      <c r="AB54" s="44">
        <f>AB10*AB$52</f>
        <v>1798</v>
      </c>
      <c r="AC54" s="44">
        <f>AC10*AC$52</f>
        <v>1795</v>
      </c>
      <c r="AD54" s="44">
        <f>AD10*AD$52</f>
        <v>2955</v>
      </c>
      <c r="AE54" s="44">
        <f>AE10*AE$52</f>
        <v>1587</v>
      </c>
      <c r="AF54" s="44">
        <f>AF10*AF$52</f>
        <v>1879</v>
      </c>
      <c r="AG54" s="44">
        <f>AG10*AG$52</f>
        <v>2500</v>
      </c>
      <c r="AH54" s="44">
        <f>AH10*AH$52</f>
        <v>2500</v>
      </c>
      <c r="AI54" s="44">
        <f>AI10*AI$52</f>
        <v>2500</v>
      </c>
      <c r="AJ54" s="44">
        <f>AJ10*AJ$52</f>
        <v>5000</v>
      </c>
      <c r="AK54" s="44">
        <f>AK10*AK$52</f>
        <v>5000</v>
      </c>
      <c r="AL54" s="44">
        <f>AL10*AL$52</f>
        <v>5000</v>
      </c>
      <c r="AM54" s="44">
        <f>AM10*AM$52</f>
        <v>10000</v>
      </c>
      <c r="AN54" s="44">
        <f>AN10*AN$52</f>
        <v>10000</v>
      </c>
      <c r="AO54" s="44">
        <f>AO10*AO$52</f>
        <v>10000</v>
      </c>
      <c r="AP54" s="44">
        <f>AP10*AP$52</f>
        <v>20000</v>
      </c>
      <c r="AQ54" s="44">
        <f>AQ10*AQ$52</f>
        <v>20000</v>
      </c>
      <c r="AR54" s="44">
        <f>AR10*AR$52</f>
        <v>20000</v>
      </c>
      <c r="AS54" s="44">
        <f>AS10*AS$52</f>
        <v>30000</v>
      </c>
      <c r="AT54" s="44">
        <f>AT10*AT$52</f>
        <v>30000</v>
      </c>
      <c r="AU54" s="44">
        <f>AU10*AU$52</f>
        <v>30000</v>
      </c>
      <c r="AV54" s="25">
        <f>SUM(X54:AI54)</f>
        <v>27678</v>
      </c>
      <c r="AW54" s="25">
        <f>SUM(AJ54:AU54)</f>
        <v>195000</v>
      </c>
      <c r="AX54" s="46">
        <f>AX10*AX$52</f>
        <v>273000</v>
      </c>
      <c r="AY54" s="46">
        <f>AY10*AY$52</f>
        <v>327600</v>
      </c>
      <c r="AZ54" s="46">
        <f>AZ10*AZ$52</f>
        <v>366912</v>
      </c>
      <c r="BA54" s="24">
        <f>SUM(AV54:AZ54)</f>
        <v>1190190</v>
      </c>
    </row>
    <row r="55">
      <c r="A55" s="7">
        <f>A11</f>
        <v>2</v>
      </c>
      <c r="B55" s="15" t="str">
        <f>B11</f>
        <v>한국</v>
      </c>
      <c r="C55" s="15" t="str">
        <f>C11</f>
        <v>한국</v>
      </c>
      <c r="D55" s="15" t="str">
        <f>D11</f>
        <v>네이버(위탁상품) — 베이비</v>
      </c>
      <c r="E55" s="15" t="str">
        <f>E11</f>
        <v>베이비</v>
      </c>
      <c r="F55" s="15" t="str">
        <f>F11</f>
        <v>온라인·B2C</v>
      </c>
      <c r="G55" s="15" t="str">
        <f>G11</f>
        <v>기존</v>
      </c>
      <c r="H55" s="15" t="str">
        <f>H11</f>
        <v>A 계약·기존 거래</v>
      </c>
      <c r="I55" s="15" t="str">
        <f>I11</f>
        <v>BABY</v>
      </c>
      <c r="J55" s="15" t="str">
        <f>J11</f>
        <v>M</v>
      </c>
      <c r="X55" s="44">
        <f>X11*X$52</f>
        <v>437</v>
      </c>
      <c r="Y55" s="44">
        <f>Y11*Y$52</f>
        <v>655</v>
      </c>
      <c r="Z55" s="44">
        <f>Z11*Z$52</f>
        <v>1002</v>
      </c>
      <c r="AA55" s="44">
        <f>AA11*AA$52</f>
        <v>735</v>
      </c>
      <c r="AB55" s="44">
        <f>AB11*AB$52</f>
        <v>721</v>
      </c>
      <c r="AC55" s="44">
        <f>AC11*AC$52</f>
        <v>498</v>
      </c>
      <c r="AD55" s="44">
        <f>AD11*AD$52</f>
        <v>835</v>
      </c>
      <c r="AE55" s="44">
        <f>AE11*AE$52</f>
        <v>473</v>
      </c>
      <c r="AF55" s="44">
        <f>AF11*AF$52</f>
        <v>1046</v>
      </c>
      <c r="AG55" s="44">
        <f>AG11*AG$52</f>
        <v>700</v>
      </c>
      <c r="AH55" s="44">
        <f>AH11*AH$52</f>
        <v>700</v>
      </c>
      <c r="AI55" s="44">
        <f>AI11*AI$52</f>
        <v>700</v>
      </c>
      <c r="AJ55" s="44">
        <f>AJ11*AJ$52</f>
        <v>10000</v>
      </c>
      <c r="AK55" s="44">
        <f>AK11*AK$52</f>
        <v>10000</v>
      </c>
      <c r="AL55" s="44">
        <f>AL11*AL$52</f>
        <v>10000</v>
      </c>
      <c r="AM55" s="44">
        <f>AM11*AM$52</f>
        <v>10000</v>
      </c>
      <c r="AN55" s="44">
        <f>AN11*AN$52</f>
        <v>10000</v>
      </c>
      <c r="AO55" s="44">
        <f>AO11*AO$52</f>
        <v>10000</v>
      </c>
      <c r="AP55" s="44">
        <f>AP11*AP$52</f>
        <v>10000</v>
      </c>
      <c r="AQ55" s="44">
        <f>AQ11*AQ$52</f>
        <v>10000</v>
      </c>
      <c r="AR55" s="44">
        <f>AR11*AR$52</f>
        <v>10000</v>
      </c>
      <c r="AS55" s="44">
        <f>AS11*AS$52</f>
        <v>10000</v>
      </c>
      <c r="AT55" s="44">
        <f>AT11*AT$52</f>
        <v>10000</v>
      </c>
      <c r="AU55" s="44">
        <f>AU11*AU$52</f>
        <v>10000</v>
      </c>
      <c r="AV55" s="25">
        <f>SUM(X55:AI55)</f>
        <v>8502</v>
      </c>
      <c r="AW55" s="25">
        <f>SUM(AJ55:AU55)</f>
        <v>120000</v>
      </c>
      <c r="AX55" s="46">
        <f>AX11*AX$52</f>
        <v>168000</v>
      </c>
      <c r="AY55" s="46">
        <f>AY11*AY$52</f>
        <v>201600</v>
      </c>
      <c r="AZ55" s="46">
        <f>AZ11*AZ$52</f>
        <v>225792</v>
      </c>
      <c r="BA55" s="24">
        <f>SUM(AV55:AZ55)</f>
        <v>723894</v>
      </c>
    </row>
    <row r="56">
      <c r="A56" s="7">
        <f>A12</f>
        <v>3</v>
      </c>
      <c r="B56" s="15" t="str">
        <f>B12</f>
        <v>한국</v>
      </c>
      <c r="C56" s="15" t="str">
        <f>C12</f>
        <v>한국</v>
      </c>
      <c r="D56" s="15" t="str">
        <f>D12</f>
        <v>쿠팡 — 베이비</v>
      </c>
      <c r="E56" s="15" t="str">
        <f>E12</f>
        <v>베이비</v>
      </c>
      <c r="F56" s="15" t="str">
        <f>F12</f>
        <v>온라인·B2C</v>
      </c>
      <c r="G56" s="15" t="str">
        <f>G12</f>
        <v>기존</v>
      </c>
      <c r="H56" s="15" t="str">
        <f>H12</f>
        <v>A 계약·기존 거래</v>
      </c>
      <c r="I56" s="15" t="str">
        <f>I12</f>
        <v>BABY</v>
      </c>
      <c r="J56" s="15" t="str">
        <f>J12</f>
        <v>M</v>
      </c>
      <c r="X56" s="44">
        <f>X12*X$52</f>
        <v>2678</v>
      </c>
      <c r="Y56" s="44">
        <f>Y12*Y$52</f>
        <v>3941</v>
      </c>
      <c r="Z56" s="44">
        <f>Z12*Z$52</f>
        <v>4603</v>
      </c>
      <c r="AA56" s="44">
        <f>AA12*AA$52</f>
        <v>3442</v>
      </c>
      <c r="AB56" s="44">
        <f>AB12*AB$52</f>
        <v>1575</v>
      </c>
      <c r="AC56" s="44">
        <f>AC12*AC$52</f>
        <v>7345</v>
      </c>
      <c r="AD56" s="44">
        <f>AD12*AD$52</f>
        <v>3789</v>
      </c>
      <c r="AE56" s="44">
        <f>AE12*AE$52</f>
        <v>3603</v>
      </c>
      <c r="AF56" s="44">
        <f>AF12*AF$52</f>
        <v>2983</v>
      </c>
      <c r="AG56" s="44">
        <f>AG12*AG$52</f>
        <v>3000</v>
      </c>
      <c r="AH56" s="44">
        <f>AH12*AH$52</f>
        <v>3000</v>
      </c>
      <c r="AI56" s="44">
        <f>AI12*AI$52</f>
        <v>3000</v>
      </c>
      <c r="AJ56" s="44">
        <f>AJ12*AJ$52</f>
        <v>5000</v>
      </c>
      <c r="AK56" s="44">
        <f>AK12*AK$52</f>
        <v>5000</v>
      </c>
      <c r="AL56" s="44">
        <f>AL12*AL$52</f>
        <v>5000</v>
      </c>
      <c r="AM56" s="44">
        <f>AM12*AM$52</f>
        <v>10000</v>
      </c>
      <c r="AN56" s="44">
        <f>AN12*AN$52</f>
        <v>10000</v>
      </c>
      <c r="AO56" s="44">
        <f>AO12*AO$52</f>
        <v>10000</v>
      </c>
      <c r="AP56" s="44">
        <f>AP12*AP$52</f>
        <v>20000</v>
      </c>
      <c r="AQ56" s="44">
        <f>AQ12*AQ$52</f>
        <v>20000</v>
      </c>
      <c r="AR56" s="44">
        <f>AR12*AR$52</f>
        <v>20000</v>
      </c>
      <c r="AS56" s="44">
        <f>AS12*AS$52</f>
        <v>20000</v>
      </c>
      <c r="AT56" s="44">
        <f>AT12*AT$52</f>
        <v>20000</v>
      </c>
      <c r="AU56" s="44">
        <f>AU12*AU$52</f>
        <v>20000</v>
      </c>
      <c r="AV56" s="25">
        <f>SUM(X56:AI56)</f>
        <v>42959</v>
      </c>
      <c r="AW56" s="25">
        <f>SUM(AJ56:AU56)</f>
        <v>165000</v>
      </c>
      <c r="AX56" s="46">
        <f>AX12*AX$52</f>
        <v>231000</v>
      </c>
      <c r="AY56" s="46">
        <f>AY12*AY$52</f>
        <v>277200</v>
      </c>
      <c r="AZ56" s="46">
        <f>AZ12*AZ$52</f>
        <v>310464</v>
      </c>
      <c r="BA56" s="24">
        <f>SUM(AV56:AZ56)</f>
        <v>1026623</v>
      </c>
    </row>
    <row r="57">
      <c r="A57" s="7">
        <f>A13</f>
        <v>4</v>
      </c>
      <c r="B57" s="15" t="str">
        <f>B13</f>
        <v>한국</v>
      </c>
      <c r="C57" s="15" t="str">
        <f>C13</f>
        <v>한국</v>
      </c>
      <c r="D57" s="15" t="str">
        <f>D13</f>
        <v>기타 B2C — 베이비</v>
      </c>
      <c r="E57" s="15" t="str">
        <f>E13</f>
        <v>베이비</v>
      </c>
      <c r="F57" s="15" t="str">
        <f>F13</f>
        <v>온라인·B2C</v>
      </c>
      <c r="G57" s="15" t="str">
        <f>G13</f>
        <v>기존</v>
      </c>
      <c r="H57" s="15" t="str">
        <f>H13</f>
        <v>A 계약·기존 거래</v>
      </c>
      <c r="I57" s="15" t="str">
        <f>I13</f>
        <v>BABY</v>
      </c>
      <c r="J57" s="15" t="str">
        <f>J13</f>
        <v>M</v>
      </c>
      <c r="X57" s="44">
        <f>X13*X$52</f>
        <v>2252</v>
      </c>
      <c r="Y57" s="44">
        <f>Y13*Y$52</f>
        <v>3394</v>
      </c>
      <c r="Z57" s="44">
        <f>Z13*Z$52</f>
        <v>2263</v>
      </c>
      <c r="AA57" s="44">
        <f>AA13*AA$52</f>
        <v>2605</v>
      </c>
      <c r="AB57" s="44">
        <f>AB13*AB$52</f>
        <v>2220</v>
      </c>
      <c r="AC57" s="44">
        <f>AC13*AC$52</f>
        <v>1490</v>
      </c>
      <c r="AD57" s="44">
        <f>AD13*AD$52</f>
        <v>4052</v>
      </c>
      <c r="AE57" s="44">
        <f>AE13*AE$52</f>
        <v>1576</v>
      </c>
      <c r="AF57" s="44">
        <f>AF13*AF$52</f>
        <v>1220</v>
      </c>
      <c r="AG57" s="44">
        <f>AG13*AG$52</f>
        <v>2500</v>
      </c>
      <c r="AH57" s="44">
        <f>AH13*AH$52</f>
        <v>2500</v>
      </c>
      <c r="AI57" s="44">
        <f>AI13*AI$52</f>
        <v>2500</v>
      </c>
      <c r="AJ57" s="44">
        <f>AJ13*AJ$52</f>
        <v>5000</v>
      </c>
      <c r="AK57" s="44">
        <f>AK13*AK$52</f>
        <v>5000</v>
      </c>
      <c r="AL57" s="44">
        <f>AL13*AL$52</f>
        <v>5000</v>
      </c>
      <c r="AM57" s="44">
        <f>AM13*AM$52</f>
        <v>10000</v>
      </c>
      <c r="AN57" s="44">
        <f>AN13*AN$52</f>
        <v>10000</v>
      </c>
      <c r="AO57" s="44">
        <f>AO13*AO$52</f>
        <v>10000</v>
      </c>
      <c r="AP57" s="44">
        <f>AP13*AP$52</f>
        <v>18000</v>
      </c>
      <c r="AQ57" s="44">
        <f>AQ13*AQ$52</f>
        <v>18000</v>
      </c>
      <c r="AR57" s="44">
        <f>AR13*AR$52</f>
        <v>18000</v>
      </c>
      <c r="AS57" s="44">
        <f>AS13*AS$52</f>
        <v>24000</v>
      </c>
      <c r="AT57" s="44">
        <f>AT13*AT$52</f>
        <v>24000</v>
      </c>
      <c r="AU57" s="44">
        <f>AU13*AU$52</f>
        <v>24000</v>
      </c>
      <c r="AV57" s="25">
        <f>SUM(X57:AI57)</f>
        <v>28572</v>
      </c>
      <c r="AW57" s="25">
        <f>SUM(AJ57:AU57)</f>
        <v>171000</v>
      </c>
      <c r="AX57" s="46">
        <f>AX13*AX$52</f>
        <v>239400</v>
      </c>
      <c r="AY57" s="46">
        <f>AY13*AY$52</f>
        <v>287280</v>
      </c>
      <c r="AZ57" s="46">
        <f>AZ13*AZ$52</f>
        <v>321753.6</v>
      </c>
      <c r="BA57" s="24">
        <f>SUM(AV57:AZ57)</f>
        <v>1048005.6</v>
      </c>
    </row>
    <row r="58">
      <c r="A58" s="7">
        <f>A14</f>
        <v>5</v>
      </c>
      <c r="B58" s="15" t="str">
        <f>B14</f>
        <v>한국</v>
      </c>
      <c r="C58" s="15" t="str">
        <f>C14</f>
        <v>한국</v>
      </c>
      <c r="D58" s="15" t="str">
        <f>D14</f>
        <v>B2B(국내) — 베이비</v>
      </c>
      <c r="E58" s="15" t="str">
        <f>E14</f>
        <v>베이비</v>
      </c>
      <c r="F58" s="15" t="str">
        <f>F14</f>
        <v>국내 B2B</v>
      </c>
      <c r="G58" s="15" t="str">
        <f>G14</f>
        <v>기존</v>
      </c>
      <c r="H58" s="15" t="str">
        <f>H14</f>
        <v>A 계약·기존 거래</v>
      </c>
      <c r="I58" s="15" t="str">
        <f>I14</f>
        <v>BABY</v>
      </c>
      <c r="J58" s="15" t="str">
        <f>J14</f>
        <v>M</v>
      </c>
      <c r="X58" s="44">
        <f>X14*X$52</f>
        <v>0</v>
      </c>
      <c r="Y58" s="44">
        <f>Y14*Y$52</f>
        <v>0</v>
      </c>
      <c r="Z58" s="44">
        <f>Z14*Z$52</f>
        <v>0</v>
      </c>
      <c r="AA58" s="44">
        <f>AA14*AA$52</f>
        <v>0</v>
      </c>
      <c r="AB58" s="44">
        <f>AB14*AB$52</f>
        <v>0</v>
      </c>
      <c r="AC58" s="44">
        <f>AC14*AC$52</f>
        <v>0</v>
      </c>
      <c r="AD58" s="44">
        <f>AD14*AD$52</f>
        <v>0</v>
      </c>
      <c r="AE58" s="44">
        <f>AE14*AE$52</f>
        <v>0</v>
      </c>
      <c r="AF58" s="44">
        <f>AF14*AF$52</f>
        <v>0</v>
      </c>
      <c r="AG58" s="44">
        <f>AG14*AG$52</f>
        <v>0</v>
      </c>
      <c r="AH58" s="44">
        <f>AH14*AH$52</f>
        <v>0</v>
      </c>
      <c r="AI58" s="44">
        <f>AI14*AI$52</f>
        <v>10000</v>
      </c>
      <c r="AJ58" s="44">
        <f>AJ14*AJ$52</f>
        <v>10517</v>
      </c>
      <c r="AK58" s="44">
        <f>AK14*AK$52</f>
        <v>11531</v>
      </c>
      <c r="AL58" s="44">
        <f>AL14*AL$52</f>
        <v>12641</v>
      </c>
      <c r="AM58" s="44">
        <f>AM14*AM$52</f>
        <v>13859</v>
      </c>
      <c r="AN58" s="44">
        <f>AN14*AN$52</f>
        <v>15194</v>
      </c>
      <c r="AO58" s="44">
        <f>AO14*AO$52</f>
        <v>16657</v>
      </c>
      <c r="AP58" s="44">
        <f>AP14*AP$52</f>
        <v>18262</v>
      </c>
      <c r="AQ58" s="44">
        <f>AQ14*AQ$52</f>
        <v>20021</v>
      </c>
      <c r="AR58" s="44">
        <f>AR14*AR$52</f>
        <v>21949</v>
      </c>
      <c r="AS58" s="44">
        <f>AS14*AS$52</f>
        <v>24064</v>
      </c>
      <c r="AT58" s="44">
        <f>AT14*AT$52</f>
        <v>26382</v>
      </c>
      <c r="AU58" s="44">
        <f>AU14*AU$52</f>
        <v>28923</v>
      </c>
      <c r="AV58" s="25">
        <f>SUM(X58:AI58)</f>
        <v>10000</v>
      </c>
      <c r="AW58" s="25">
        <f>SUM(AJ58:AU58)</f>
        <v>220000</v>
      </c>
      <c r="AX58" s="46">
        <f>AX14*AX$52</f>
        <v>308000</v>
      </c>
      <c r="AY58" s="46">
        <f>AY14*AY$52</f>
        <v>369600</v>
      </c>
      <c r="AZ58" s="46">
        <f>AZ14*AZ$52</f>
        <v>413952</v>
      </c>
      <c r="BA58" s="24">
        <f>SUM(AV58:AZ58)</f>
        <v>1321552</v>
      </c>
    </row>
    <row r="59">
      <c r="A59" s="7">
        <f>A15</f>
        <v>6</v>
      </c>
      <c r="B59" s="15" t="str">
        <f>B15</f>
        <v>한국</v>
      </c>
      <c r="C59" s="15" t="str">
        <f>C15</f>
        <v>한국</v>
      </c>
      <c r="D59" s="15" t="str">
        <f>D15</f>
        <v>APP KOREA — 유아(스마트 베이비 기저귀)</v>
      </c>
      <c r="E59" s="15" t="str">
        <f>E15</f>
        <v>베이비</v>
      </c>
      <c r="F59" s="15" t="str">
        <f>F15</f>
        <v>파트너</v>
      </c>
      <c r="G59" s="15" t="str">
        <f>G15</f>
        <v>계약</v>
      </c>
      <c r="H59" s="15" t="str">
        <f>H15</f>
        <v>A 계약·기존 거래</v>
      </c>
      <c r="I59" s="15" t="str">
        <f>I15</f>
        <v>BABY</v>
      </c>
      <c r="J59" s="15" t="str">
        <f>J15</f>
        <v>M</v>
      </c>
      <c r="X59" s="44">
        <f>X15*X$52</f>
        <v>0</v>
      </c>
      <c r="Y59" s="44">
        <f>Y15*Y$52</f>
        <v>0</v>
      </c>
      <c r="Z59" s="44">
        <f>Z15*Z$52</f>
        <v>0</v>
      </c>
      <c r="AA59" s="44">
        <f>AA15*AA$52</f>
        <v>0</v>
      </c>
      <c r="AB59" s="44">
        <f>AB15*AB$52</f>
        <v>0</v>
      </c>
      <c r="AC59" s="44">
        <f>AC15*AC$52</f>
        <v>0</v>
      </c>
      <c r="AD59" s="44">
        <f>AD15*AD$52</f>
        <v>0</v>
      </c>
      <c r="AE59" s="44">
        <f>AE15*AE$52</f>
        <v>0</v>
      </c>
      <c r="AF59" s="44">
        <f>AF15*AF$52</f>
        <v>0</v>
      </c>
      <c r="AG59" s="44">
        <f>AG15*AG$52</f>
        <v>0</v>
      </c>
      <c r="AH59" s="44">
        <f>AH15*AH$52</f>
        <v>0</v>
      </c>
      <c r="AI59" s="44">
        <f>AI15*AI$52</f>
        <v>0</v>
      </c>
      <c r="AJ59" s="44">
        <f>AJ15*AJ$52</f>
        <v>100000</v>
      </c>
      <c r="AK59" s="44">
        <f>AK15*AK$52</f>
        <v>100000</v>
      </c>
      <c r="AL59" s="44">
        <f>AL15*AL$52</f>
        <v>100000</v>
      </c>
      <c r="AM59" s="44">
        <f>AM15*AM$52</f>
        <v>100000</v>
      </c>
      <c r="AN59" s="44">
        <f>AN15*AN$52</f>
        <v>100000</v>
      </c>
      <c r="AO59" s="44">
        <f>AO15*AO$52</f>
        <v>100000</v>
      </c>
      <c r="AP59" s="44">
        <f>AP15*AP$52</f>
        <v>100000</v>
      </c>
      <c r="AQ59" s="44">
        <f>AQ15*AQ$52</f>
        <v>100000</v>
      </c>
      <c r="AR59" s="44">
        <f>AR15*AR$52</f>
        <v>100000</v>
      </c>
      <c r="AS59" s="44">
        <f>AS15*AS$52</f>
        <v>100000</v>
      </c>
      <c r="AT59" s="44">
        <f>AT15*AT$52</f>
        <v>100000</v>
      </c>
      <c r="AU59" s="44">
        <f>AU15*AU$52</f>
        <v>100000</v>
      </c>
      <c r="AV59" s="25">
        <f>SUM(X59:AI59)</f>
        <v>0</v>
      </c>
      <c r="AW59" s="25">
        <f>SUM(AJ59:AU59)</f>
        <v>1200000</v>
      </c>
      <c r="AX59" s="46">
        <f>AX15*AX$52</f>
        <v>1968000</v>
      </c>
      <c r="AY59" s="46">
        <f>AY15*AY$52</f>
        <v>2558400</v>
      </c>
      <c r="AZ59" s="46">
        <f>AZ15*AZ$52</f>
        <v>3070080</v>
      </c>
      <c r="BA59" s="24">
        <f>SUM(AV59:AZ59)</f>
        <v>8796480</v>
      </c>
    </row>
    <row r="60">
      <c r="A60" s="7">
        <f>A16</f>
        <v>7</v>
      </c>
      <c r="B60" s="15" t="str">
        <f>B16</f>
        <v>대만</v>
      </c>
      <c r="C60" s="15" t="str">
        <f>C16</f>
        <v>동남아·APAC</v>
      </c>
      <c r="D60" s="15" t="str">
        <f>D16</f>
        <v>Little Loft(대만, 베이비)</v>
      </c>
      <c r="E60" s="15" t="str">
        <f>E16</f>
        <v>베이비</v>
      </c>
      <c r="F60" s="15" t="str">
        <f>F16</f>
        <v>총판</v>
      </c>
      <c r="G60" s="15" t="str">
        <f>G16</f>
        <v>계약</v>
      </c>
      <c r="H60" s="15" t="str">
        <f>H16</f>
        <v>A 계약·기존 거래</v>
      </c>
      <c r="I60" s="15" t="str">
        <f>I16</f>
        <v>BABY</v>
      </c>
      <c r="J60" s="15" t="str">
        <f>J16</f>
        <v>M</v>
      </c>
      <c r="X60" s="44">
        <f>X16*X$52</f>
        <v>0</v>
      </c>
      <c r="Y60" s="44">
        <f>Y16*Y$52</f>
        <v>0</v>
      </c>
      <c r="Z60" s="44">
        <f>Z16*Z$52</f>
        <v>0</v>
      </c>
      <c r="AA60" s="44">
        <f>AA16*AA$52</f>
        <v>0</v>
      </c>
      <c r="AB60" s="44">
        <f>AB16*AB$52</f>
        <v>15004</v>
      </c>
      <c r="AC60" s="44">
        <f>AC16*AC$52</f>
        <v>15946</v>
      </c>
      <c r="AD60" s="44">
        <f>AD16*AD$52</f>
        <v>0</v>
      </c>
      <c r="AE60" s="44">
        <f>AE16*AE$52</f>
        <v>0</v>
      </c>
      <c r="AF60" s="44">
        <f>AF16*AF$52</f>
        <v>0</v>
      </c>
      <c r="AG60" s="44">
        <f>AG16*AG$52</f>
        <v>0</v>
      </c>
      <c r="AH60" s="44">
        <f>AH16*AH$52</f>
        <v>20000</v>
      </c>
      <c r="AI60" s="44">
        <f>AI16*AI$52</f>
        <v>0</v>
      </c>
      <c r="AJ60" s="44">
        <f>AJ16*AJ$52</f>
        <v>4781</v>
      </c>
      <c r="AK60" s="44">
        <f>AK16*AK$52</f>
        <v>5241</v>
      </c>
      <c r="AL60" s="44">
        <f>AL16*AL$52</f>
        <v>5746</v>
      </c>
      <c r="AM60" s="44">
        <f>AM16*AM$52</f>
        <v>6299</v>
      </c>
      <c r="AN60" s="44">
        <f>AN16*AN$52</f>
        <v>6906</v>
      </c>
      <c r="AO60" s="44">
        <f>AO16*AO$52</f>
        <v>7572</v>
      </c>
      <c r="AP60" s="44">
        <f>AP16*AP$52</f>
        <v>8301</v>
      </c>
      <c r="AQ60" s="44">
        <f>AQ16*AQ$52</f>
        <v>9100</v>
      </c>
      <c r="AR60" s="44">
        <f>AR16*AR$52</f>
        <v>9977</v>
      </c>
      <c r="AS60" s="44">
        <f>AS16*AS$52</f>
        <v>10938</v>
      </c>
      <c r="AT60" s="44">
        <f>AT16*AT$52</f>
        <v>11992</v>
      </c>
      <c r="AU60" s="44">
        <f>AU16*AU$52</f>
        <v>13147</v>
      </c>
      <c r="AV60" s="25">
        <f>SUM(X60:AI60)</f>
        <v>50950</v>
      </c>
      <c r="AW60" s="25">
        <f>SUM(AJ60:AU60)</f>
        <v>100000</v>
      </c>
      <c r="AX60" s="46">
        <f>AX16*AX$52</f>
        <v>260000</v>
      </c>
      <c r="AY60" s="46">
        <f>AY16*AY$52</f>
        <v>468000</v>
      </c>
      <c r="AZ60" s="46">
        <f>AZ16*AZ$52</f>
        <v>692640</v>
      </c>
      <c r="BA60" s="24">
        <f>SUM(AV60:AZ60)</f>
        <v>1571590</v>
      </c>
    </row>
    <row r="61">
      <c r="A61" s="7">
        <f>A17</f>
        <v>8</v>
      </c>
      <c r="B61" s="15" t="str">
        <f>B17</f>
        <v>태국</v>
      </c>
      <c r="C61" s="15" t="str">
        <f>C17</f>
        <v>동남아·APAC</v>
      </c>
      <c r="D61" s="15" t="str">
        <f>D17</f>
        <v>Punnita House(태국, 베이비)</v>
      </c>
      <c r="E61" s="15" t="str">
        <f>E17</f>
        <v>베이비</v>
      </c>
      <c r="F61" s="15" t="str">
        <f>F17</f>
        <v>총판</v>
      </c>
      <c r="G61" s="15" t="str">
        <f>G17</f>
        <v>계약</v>
      </c>
      <c r="H61" s="15" t="str">
        <f>H17</f>
        <v>A 계약·기존 거래</v>
      </c>
      <c r="I61" s="15" t="str">
        <f>I17</f>
        <v>BABY</v>
      </c>
      <c r="J61" s="15" t="str">
        <f>J17</f>
        <v>M</v>
      </c>
      <c r="X61" s="44">
        <f>X17*X$52</f>
        <v>0</v>
      </c>
      <c r="Y61" s="44">
        <f>Y17*Y$52</f>
        <v>0</v>
      </c>
      <c r="Z61" s="44">
        <f>Z17*Z$52</f>
        <v>22595</v>
      </c>
      <c r="AA61" s="44">
        <f>AA17*AA$52</f>
        <v>0</v>
      </c>
      <c r="AB61" s="44">
        <f>AB17*AB$52</f>
        <v>0</v>
      </c>
      <c r="AC61" s="44">
        <f>AC17*AC$52</f>
        <v>23287</v>
      </c>
      <c r="AD61" s="44">
        <f>AD17*AD$52</f>
        <v>0</v>
      </c>
      <c r="AE61" s="44">
        <f>AE17*AE$52</f>
        <v>0</v>
      </c>
      <c r="AF61" s="44">
        <f>AF17*AF$52</f>
        <v>0</v>
      </c>
      <c r="AG61" s="44">
        <f>AG17*AG$52</f>
        <v>0</v>
      </c>
      <c r="AH61" s="44">
        <f>AH17*AH$52</f>
        <v>0</v>
      </c>
      <c r="AI61" s="44">
        <f>AI17*AI$52</f>
        <v>20000</v>
      </c>
      <c r="AJ61" s="44">
        <f>AJ17*AJ$52</f>
        <v>20000</v>
      </c>
      <c r="AK61" s="44">
        <f>AK17*AK$52</f>
        <v>0</v>
      </c>
      <c r="AL61" s="44">
        <f>AL17*AL$52</f>
        <v>6386</v>
      </c>
      <c r="AM61" s="44">
        <f>AM17*AM$52</f>
        <v>7001</v>
      </c>
      <c r="AN61" s="44">
        <f>AN17*AN$52</f>
        <v>7676</v>
      </c>
      <c r="AO61" s="44">
        <f>AO17*AO$52</f>
        <v>8415</v>
      </c>
      <c r="AP61" s="44">
        <f>AP17*AP$52</f>
        <v>9225</v>
      </c>
      <c r="AQ61" s="44">
        <f>AQ17*AQ$52</f>
        <v>10114</v>
      </c>
      <c r="AR61" s="44">
        <f>AR17*AR$52</f>
        <v>11088</v>
      </c>
      <c r="AS61" s="44">
        <f>AS17*AS$52</f>
        <v>12156</v>
      </c>
      <c r="AT61" s="44">
        <f>AT17*AT$52</f>
        <v>13327</v>
      </c>
      <c r="AU61" s="44">
        <f>AU17*AU$52</f>
        <v>14612</v>
      </c>
      <c r="AV61" s="25">
        <f>SUM(X61:AI61)</f>
        <v>65882</v>
      </c>
      <c r="AW61" s="25">
        <f>SUM(AJ61:AU61)</f>
        <v>120000</v>
      </c>
      <c r="AX61" s="46">
        <f>AX17*AX$52</f>
        <v>312000</v>
      </c>
      <c r="AY61" s="46">
        <f>AY17*AY$52</f>
        <v>561600</v>
      </c>
      <c r="AZ61" s="46">
        <f>AZ17*AZ$52</f>
        <v>831168</v>
      </c>
      <c r="BA61" s="24">
        <f>SUM(AV61:AZ61)</f>
        <v>1890650</v>
      </c>
    </row>
    <row r="62">
      <c r="A62" s="7">
        <f>A18</f>
        <v>9</v>
      </c>
      <c r="B62" s="15" t="str">
        <f>B18</f>
        <v>미정</v>
      </c>
      <c r="C62" s="15" t="str">
        <f>C18</f>
        <v>동남아·APAC</v>
      </c>
      <c r="D62" s="15" t="str">
        <f>D18</f>
        <v>신규 거래선-1 Swara Baby(베이비)</v>
      </c>
      <c r="E62" s="15" t="str">
        <f>E18</f>
        <v>베이비</v>
      </c>
      <c r="F62" s="15" t="str">
        <f>F18</f>
        <v>총판</v>
      </c>
      <c r="G62" s="15" t="str">
        <f>G18</f>
        <v>진행 중</v>
      </c>
      <c r="H62" s="15" t="str">
        <f>H18</f>
        <v>B 등록·입찰·협의 단계</v>
      </c>
      <c r="I62" s="15" t="str">
        <f>I18</f>
        <v>BABY</v>
      </c>
      <c r="J62" s="15" t="str">
        <f>J18</f>
        <v>M</v>
      </c>
      <c r="X62" s="44">
        <f>X18*X$52</f>
        <v>0</v>
      </c>
      <c r="Y62" s="44">
        <f>Y18*Y$52</f>
        <v>0</v>
      </c>
      <c r="Z62" s="44">
        <f>Z18*Z$52</f>
        <v>0</v>
      </c>
      <c r="AA62" s="44">
        <f>AA18*AA$52</f>
        <v>0</v>
      </c>
      <c r="AB62" s="44">
        <f>AB18*AB$52</f>
        <v>0</v>
      </c>
      <c r="AC62" s="44">
        <f>AC18*AC$52</f>
        <v>0</v>
      </c>
      <c r="AD62" s="44">
        <f>AD18*AD$52</f>
        <v>0</v>
      </c>
      <c r="AE62" s="44">
        <f>AE18*AE$52</f>
        <v>0</v>
      </c>
      <c r="AF62" s="44">
        <f>AF18*AF$52</f>
        <v>0</v>
      </c>
      <c r="AG62" s="44">
        <f>AG18*AG$52</f>
        <v>0</v>
      </c>
      <c r="AH62" s="44">
        <f>AH18*AH$52</f>
        <v>0</v>
      </c>
      <c r="AI62" s="44">
        <f>AI18*AI$52</f>
        <v>0</v>
      </c>
      <c r="AJ62" s="44">
        <f>AJ18*AJ$52</f>
        <v>4781</v>
      </c>
      <c r="AK62" s="44">
        <f>AK18*AK$52</f>
        <v>5241</v>
      </c>
      <c r="AL62" s="44">
        <f>AL18*AL$52</f>
        <v>5746</v>
      </c>
      <c r="AM62" s="44">
        <f>AM18*AM$52</f>
        <v>6299</v>
      </c>
      <c r="AN62" s="44">
        <f>AN18*AN$52</f>
        <v>6906</v>
      </c>
      <c r="AO62" s="44">
        <f>AO18*AO$52</f>
        <v>7572</v>
      </c>
      <c r="AP62" s="44">
        <f>AP18*AP$52</f>
        <v>8301</v>
      </c>
      <c r="AQ62" s="44">
        <f>AQ18*AQ$52</f>
        <v>9100</v>
      </c>
      <c r="AR62" s="44">
        <f>AR18*AR$52</f>
        <v>9977</v>
      </c>
      <c r="AS62" s="44">
        <f>AS18*AS$52</f>
        <v>10938</v>
      </c>
      <c r="AT62" s="44">
        <f>AT18*AT$52</f>
        <v>11992</v>
      </c>
      <c r="AU62" s="44">
        <f>AU18*AU$52</f>
        <v>13147</v>
      </c>
      <c r="AV62" s="25">
        <f>SUM(X62:AI62)</f>
        <v>0</v>
      </c>
      <c r="AW62" s="25">
        <f>SUM(AJ62:AU62)</f>
        <v>100000</v>
      </c>
      <c r="AX62" s="46">
        <f>AX18*AX$52</f>
        <v>260000</v>
      </c>
      <c r="AY62" s="46">
        <f>AY18*AY$52</f>
        <v>468000</v>
      </c>
      <c r="AZ62" s="46">
        <f>AZ18*AZ$52</f>
        <v>692640</v>
      </c>
      <c r="BA62" s="24">
        <f>SUM(AV62:AZ62)</f>
        <v>1520640</v>
      </c>
    </row>
    <row r="63">
      <c r="A63" s="7">
        <f>A19</f>
        <v>10</v>
      </c>
      <c r="B63" s="15" t="str">
        <f>B19</f>
        <v>미정</v>
      </c>
      <c r="C63" s="15" t="str">
        <f>C19</f>
        <v>동남아·APAC</v>
      </c>
      <c r="D63" s="15" t="str">
        <f>D19</f>
        <v>신규 거래선-2(베이비)</v>
      </c>
      <c r="E63" s="15" t="str">
        <f>E19</f>
        <v>베이비</v>
      </c>
      <c r="F63" s="15" t="str">
        <f>F19</f>
        <v>총판</v>
      </c>
      <c r="G63" s="15" t="str">
        <f>G19</f>
        <v>진행 중</v>
      </c>
      <c r="H63" s="15" t="str">
        <f>H19</f>
        <v>B 등록·입찰·협의 단계</v>
      </c>
      <c r="I63" s="15" t="str">
        <f>I19</f>
        <v>BABY</v>
      </c>
      <c r="J63" s="15" t="str">
        <f>J19</f>
        <v>M</v>
      </c>
      <c r="X63" s="44">
        <f>X19*X$52</f>
        <v>0</v>
      </c>
      <c r="Y63" s="44">
        <f>Y19*Y$52</f>
        <v>0</v>
      </c>
      <c r="Z63" s="44">
        <f>Z19*Z$52</f>
        <v>0</v>
      </c>
      <c r="AA63" s="44">
        <f>AA19*AA$52</f>
        <v>0</v>
      </c>
      <c r="AB63" s="44">
        <f>AB19*AB$52</f>
        <v>0</v>
      </c>
      <c r="AC63" s="44">
        <f>AC19*AC$52</f>
        <v>0</v>
      </c>
      <c r="AD63" s="44">
        <f>AD19*AD$52</f>
        <v>0</v>
      </c>
      <c r="AE63" s="44">
        <f>AE19*AE$52</f>
        <v>0</v>
      </c>
      <c r="AF63" s="44">
        <f>AF19*AF$52</f>
        <v>0</v>
      </c>
      <c r="AG63" s="44">
        <f>AG19*AG$52</f>
        <v>0</v>
      </c>
      <c r="AH63" s="44">
        <f>AH19*AH$52</f>
        <v>0</v>
      </c>
      <c r="AI63" s="44">
        <f>AI19*AI$52</f>
        <v>0</v>
      </c>
      <c r="AJ63" s="44">
        <f>AJ19*AJ$52</f>
        <v>0</v>
      </c>
      <c r="AK63" s="44">
        <f>AK19*AK$52</f>
        <v>4403</v>
      </c>
      <c r="AL63" s="44">
        <f>AL19*AL$52</f>
        <v>4828</v>
      </c>
      <c r="AM63" s="44">
        <f>AM19*AM$52</f>
        <v>5293</v>
      </c>
      <c r="AN63" s="44">
        <f>AN19*AN$52</f>
        <v>5802</v>
      </c>
      <c r="AO63" s="44">
        <f>AO19*AO$52</f>
        <v>6361</v>
      </c>
      <c r="AP63" s="44">
        <f>AP19*AP$52</f>
        <v>6974</v>
      </c>
      <c r="AQ63" s="44">
        <f>AQ19*AQ$52</f>
        <v>7646</v>
      </c>
      <c r="AR63" s="44">
        <f>AR19*AR$52</f>
        <v>8382</v>
      </c>
      <c r="AS63" s="44">
        <f>AS19*AS$52</f>
        <v>9190</v>
      </c>
      <c r="AT63" s="44">
        <f>AT19*AT$52</f>
        <v>10075</v>
      </c>
      <c r="AU63" s="44">
        <f>AU19*AU$52</f>
        <v>11046</v>
      </c>
      <c r="AV63" s="25">
        <f>SUM(X63:AI63)</f>
        <v>0</v>
      </c>
      <c r="AW63" s="25">
        <f>SUM(AJ63:AU63)</f>
        <v>80000</v>
      </c>
      <c r="AX63" s="46">
        <f>AX19*AX$52</f>
        <v>208000</v>
      </c>
      <c r="AY63" s="46">
        <f>AY19*AY$52</f>
        <v>374400</v>
      </c>
      <c r="AZ63" s="46">
        <f>AZ19*AZ$52</f>
        <v>554112</v>
      </c>
      <c r="BA63" s="24">
        <f>SUM(AV63:AZ63)</f>
        <v>1216512</v>
      </c>
    </row>
    <row r="64">
      <c r="A64" s="7">
        <f>A20</f>
        <v>11</v>
      </c>
      <c r="B64" s="15" t="str">
        <f>B20</f>
        <v>한국</v>
      </c>
      <c r="C64" s="15" t="str">
        <f>C20</f>
        <v>한국</v>
      </c>
      <c r="D64" s="15" t="str">
        <f>D20</f>
        <v>삼성노블카운티</v>
      </c>
      <c r="E64" s="15" t="str">
        <f>E20</f>
        <v>엘더리</v>
      </c>
      <c r="F64" s="15" t="str">
        <f>F20</f>
        <v>기관(직접)</v>
      </c>
      <c r="G64" s="15" t="str">
        <f>G20</f>
        <v>계약</v>
      </c>
      <c r="H64" s="15" t="str">
        <f>H20</f>
        <v>A 계약·기존 거래</v>
      </c>
      <c r="I64" s="15" t="str">
        <f>I20</f>
        <v>SUB</v>
      </c>
      <c r="J64" s="15" t="str">
        <f>J20</f>
        <v>M</v>
      </c>
      <c r="X64" s="44">
        <f>X20*X$52</f>
        <v>0</v>
      </c>
      <c r="Y64" s="44">
        <f>Y20*Y$52</f>
        <v>0</v>
      </c>
      <c r="Z64" s="44">
        <f>Z20*Z$52</f>
        <v>0</v>
      </c>
      <c r="AA64" s="44">
        <f>AA20*AA$52</f>
        <v>0</v>
      </c>
      <c r="AB64" s="44">
        <f>AB20*AB$52</f>
        <v>0</v>
      </c>
      <c r="AC64" s="44">
        <f>AC20*AC$52</f>
        <v>0</v>
      </c>
      <c r="AD64" s="44">
        <f>AD20*AD$52</f>
        <v>0</v>
      </c>
      <c r="AE64" s="44">
        <f>AE20*AE$52</f>
        <v>0</v>
      </c>
      <c r="AF64" s="44">
        <f>AF20*AF$52</f>
        <v>0</v>
      </c>
      <c r="AG64" s="44">
        <f>AG20*AG$52</f>
        <v>0</v>
      </c>
      <c r="AH64" s="44">
        <f>AH20*AH$52</f>
        <v>7900</v>
      </c>
      <c r="AI64" s="44">
        <f>AI20*AI$52</f>
        <v>7900</v>
      </c>
      <c r="AJ64" s="44">
        <f>AJ20*AJ$52</f>
        <v>7900</v>
      </c>
      <c r="AK64" s="44">
        <f>AK20*AK$52</f>
        <v>7900</v>
      </c>
      <c r="AL64" s="44">
        <f>AL20*AL$52</f>
        <v>7900</v>
      </c>
      <c r="AM64" s="44">
        <f>AM20*AM$52</f>
        <v>7900</v>
      </c>
      <c r="AN64" s="44">
        <f>AN20*AN$52</f>
        <v>7900</v>
      </c>
      <c r="AO64" s="44">
        <f>AO20*AO$52</f>
        <v>7900</v>
      </c>
      <c r="AP64" s="44">
        <f>AP20*AP$52</f>
        <v>7900</v>
      </c>
      <c r="AQ64" s="44">
        <f>AQ20*AQ$52</f>
        <v>7900</v>
      </c>
      <c r="AR64" s="44">
        <f>AR20*AR$52</f>
        <v>7900</v>
      </c>
      <c r="AS64" s="44">
        <f>AS20*AS$52</f>
        <v>7900</v>
      </c>
      <c r="AT64" s="44">
        <f>AT20*AT$52</f>
        <v>7900</v>
      </c>
      <c r="AU64" s="44">
        <f>AU20*AU$52</f>
        <v>7900</v>
      </c>
      <c r="AV64" s="25">
        <f>SUM(X64:AI64)</f>
        <v>15800</v>
      </c>
      <c r="AW64" s="25">
        <f>SUM(AJ64:AU64)</f>
        <v>94800</v>
      </c>
      <c r="AX64" s="46">
        <f>AX20*AX$52</f>
        <v>125136</v>
      </c>
      <c r="AY64" s="46">
        <f>AY20*AY$52</f>
        <v>143906.4</v>
      </c>
      <c r="AZ64" s="46">
        <f>AZ20*AZ$52</f>
        <v>155418.912</v>
      </c>
      <c r="BA64" s="24">
        <f>SUM(AV64:AZ64)</f>
        <v>535061.312</v>
      </c>
    </row>
    <row r="65">
      <c r="A65" s="7">
        <f>A21</f>
        <v>12</v>
      </c>
      <c r="B65" s="15" t="str">
        <f>B21</f>
        <v>한국</v>
      </c>
      <c r="C65" s="15" t="str">
        <f>C21</f>
        <v>한국</v>
      </c>
      <c r="D65" s="15" t="str">
        <f>D21</f>
        <v>국내 요양병원·시설 구독 매출</v>
      </c>
      <c r="E65" s="15" t="str">
        <f>E21</f>
        <v>엘더리</v>
      </c>
      <c r="F65" s="15" t="str">
        <f>F21</f>
        <v>총판</v>
      </c>
      <c r="G65" s="15" t="str">
        <f>G21</f>
        <v>진행 중</v>
      </c>
      <c r="H65" s="15" t="str">
        <f>H21</f>
        <v>B 등록·입찰·협의 단계</v>
      </c>
      <c r="I65" s="15" t="str">
        <f>I21</f>
        <v>SUB</v>
      </c>
      <c r="J65" s="15" t="str">
        <f>J21</f>
        <v>M</v>
      </c>
      <c r="X65" s="44">
        <f>X21*X$52</f>
        <v>0</v>
      </c>
      <c r="Y65" s="44">
        <f>Y21*Y$52</f>
        <v>0</v>
      </c>
      <c r="Z65" s="44">
        <f>Z21*Z$52</f>
        <v>0</v>
      </c>
      <c r="AA65" s="44">
        <f>AA21*AA$52</f>
        <v>0</v>
      </c>
      <c r="AB65" s="44">
        <f>AB21*AB$52</f>
        <v>0</v>
      </c>
      <c r="AC65" s="44">
        <f>AC21*AC$52</f>
        <v>0</v>
      </c>
      <c r="AD65" s="44">
        <f>AD21*AD$52</f>
        <v>0</v>
      </c>
      <c r="AE65" s="44">
        <f>AE21*AE$52</f>
        <v>0</v>
      </c>
      <c r="AF65" s="44">
        <f>AF21*AF$52</f>
        <v>0</v>
      </c>
      <c r="AG65" s="44">
        <f>AG21*AG$52</f>
        <v>0</v>
      </c>
      <c r="AH65" s="44">
        <f>AH21*AH$52</f>
        <v>22120</v>
      </c>
      <c r="AI65" s="44">
        <f>AI21*AI$52</f>
        <v>41080</v>
      </c>
      <c r="AJ65" s="44">
        <f>AJ21*AJ$52</f>
        <v>104676</v>
      </c>
      <c r="AK65" s="44">
        <f>AK21*AK$52</f>
        <v>115144</v>
      </c>
      <c r="AL65" s="44">
        <f>AL21*AL$52</f>
        <v>125612</v>
      </c>
      <c r="AM65" s="44">
        <f>AM21*AM$52</f>
        <v>136079</v>
      </c>
      <c r="AN65" s="44">
        <f>AN21*AN$52</f>
        <v>146547</v>
      </c>
      <c r="AO65" s="44">
        <f>AO21*AO$52</f>
        <v>167482</v>
      </c>
      <c r="AP65" s="44">
        <f>AP21*AP$52</f>
        <v>177950</v>
      </c>
      <c r="AQ65" s="44">
        <f>AQ21*AQ$52</f>
        <v>177950</v>
      </c>
      <c r="AR65" s="44">
        <f>AR21*AR$52</f>
        <v>188417</v>
      </c>
      <c r="AS65" s="44">
        <f>AS21*AS$52</f>
        <v>204980</v>
      </c>
      <c r="AT65" s="44">
        <f>AT21*AT$52</f>
        <v>215448</v>
      </c>
      <c r="AU65" s="44">
        <f>AU21*AU$52</f>
        <v>225915</v>
      </c>
      <c r="AV65" s="25">
        <f>SUM(X65:AI65)</f>
        <v>63200</v>
      </c>
      <c r="AW65" s="25">
        <f>SUM(AJ65:AU65)</f>
        <v>1986200</v>
      </c>
      <c r="AX65" s="46">
        <f>AX21*AX$52</f>
        <v>4846328</v>
      </c>
      <c r="AY65" s="46">
        <f>AY21*AY$52</f>
        <v>8238757.6</v>
      </c>
      <c r="AZ65" s="46">
        <f>AZ21*AZ$52</f>
        <v>11534260.64</v>
      </c>
      <c r="BA65" s="24">
        <f>SUM(AV65:AZ65)</f>
        <v>26668746.24</v>
      </c>
    </row>
    <row r="66">
      <c r="A66" s="7">
        <f>A22</f>
        <v>13</v>
      </c>
      <c r="B66" s="15" t="str">
        <f>B22</f>
        <v>한국</v>
      </c>
      <c r="C66" s="15" t="str">
        <f>C22</f>
        <v>한국</v>
      </c>
      <c r="D66" s="15" t="str">
        <f>D22</f>
        <v>피플앤테크놀로지 실증사업</v>
      </c>
      <c r="E66" s="15" t="str">
        <f>E22</f>
        <v>엘더리</v>
      </c>
      <c r="F66" s="15" t="str">
        <f>F22</f>
        <v>기관(직접)</v>
      </c>
      <c r="G66" s="15" t="str">
        <f>G22</f>
        <v>계약</v>
      </c>
      <c r="H66" s="15" t="str">
        <f>H22</f>
        <v>A 계약·기존 거래</v>
      </c>
      <c r="I66" s="15" t="str">
        <f>I22</f>
        <v>RND</v>
      </c>
      <c r="J66" s="15" t="str">
        <f>J22</f>
        <v>M</v>
      </c>
      <c r="X66" s="44">
        <f>X22*X$52</f>
        <v>0</v>
      </c>
      <c r="Y66" s="44">
        <f>Y22*Y$52</f>
        <v>0</v>
      </c>
      <c r="Z66" s="44">
        <f>Z22*Z$52</f>
        <v>0</v>
      </c>
      <c r="AA66" s="44">
        <f>AA22*AA$52</f>
        <v>0</v>
      </c>
      <c r="AB66" s="44">
        <f>AB22*AB$52</f>
        <v>0</v>
      </c>
      <c r="AC66" s="44">
        <f>AC22*AC$52</f>
        <v>0</v>
      </c>
      <c r="AD66" s="44">
        <f>AD22*AD$52</f>
        <v>0</v>
      </c>
      <c r="AE66" s="44">
        <f>AE22*AE$52</f>
        <v>0</v>
      </c>
      <c r="AF66" s="44">
        <f>AF22*AF$52</f>
        <v>0</v>
      </c>
      <c r="AG66" s="44">
        <f>AG22*AG$52</f>
        <v>0</v>
      </c>
      <c r="AH66" s="44">
        <f>AH22*AH$52</f>
        <v>4000</v>
      </c>
      <c r="AI66" s="44">
        <f>AI22*AI$52</f>
        <v>0</v>
      </c>
      <c r="AJ66" s="44">
        <f>AJ22*AJ$52</f>
        <v>0</v>
      </c>
      <c r="AK66" s="44">
        <f>AK22*AK$52</f>
        <v>881</v>
      </c>
      <c r="AL66" s="44">
        <f>AL22*AL$52</f>
        <v>966</v>
      </c>
      <c r="AM66" s="44">
        <f>AM22*AM$52</f>
        <v>1059</v>
      </c>
      <c r="AN66" s="44">
        <f>AN22*AN$52</f>
        <v>1160</v>
      </c>
      <c r="AO66" s="44">
        <f>AO22*AO$52</f>
        <v>1272</v>
      </c>
      <c r="AP66" s="44">
        <f>AP22*AP$52</f>
        <v>1395</v>
      </c>
      <c r="AQ66" s="44">
        <f>AQ22*AQ$52</f>
        <v>1529</v>
      </c>
      <c r="AR66" s="44">
        <f>AR22*AR$52</f>
        <v>1676</v>
      </c>
      <c r="AS66" s="44">
        <f>AS22*AS$52</f>
        <v>1838</v>
      </c>
      <c r="AT66" s="44">
        <f>AT22*AT$52</f>
        <v>2015</v>
      </c>
      <c r="AU66" s="44">
        <f>AU22*AU$52</f>
        <v>2209</v>
      </c>
      <c r="AV66" s="25">
        <f>SUM(X66:AI66)</f>
        <v>4000</v>
      </c>
      <c r="AW66" s="25">
        <f>SUM(AJ66:AU66)</f>
        <v>16000</v>
      </c>
      <c r="AX66" s="46">
        <f>AX22*AX$52</f>
        <v>16000</v>
      </c>
      <c r="AY66" s="46">
        <f>AY22*AY$52</f>
        <v>16000</v>
      </c>
      <c r="AZ66" s="46">
        <f>AZ22*AZ$52</f>
        <v>16000</v>
      </c>
      <c r="BA66" s="24">
        <f>SUM(AV66:AZ66)</f>
        <v>68000</v>
      </c>
    </row>
    <row r="67">
      <c r="A67" s="7">
        <f>A23</f>
        <v>14</v>
      </c>
      <c r="B67" s="15" t="str">
        <f>B23</f>
        <v>한국</v>
      </c>
      <c r="C67" s="15" t="str">
        <f>C23</f>
        <v>한국</v>
      </c>
      <c r="D67" s="15" t="str">
        <f>D23</f>
        <v>네이버 — 엘더리</v>
      </c>
      <c r="E67" s="15" t="str">
        <f>E23</f>
        <v>엘더리</v>
      </c>
      <c r="F67" s="15" t="str">
        <f>F23</f>
        <v>온라인·B2C</v>
      </c>
      <c r="G67" s="15" t="str">
        <f>G23</f>
        <v>기존</v>
      </c>
      <c r="H67" s="15" t="str">
        <f>H23</f>
        <v>A 계약·기존 거래</v>
      </c>
      <c r="I67" s="15" t="str">
        <f>I23</f>
        <v>SUB</v>
      </c>
      <c r="J67" s="15" t="str">
        <f>J23</f>
        <v>M</v>
      </c>
      <c r="X67" s="44">
        <f>X23*X$52</f>
        <v>16399</v>
      </c>
      <c r="Y67" s="44">
        <f>Y23*Y$52</f>
        <v>22103</v>
      </c>
      <c r="Z67" s="44">
        <f>Z23*Z$52</f>
        <v>1001</v>
      </c>
      <c r="AA67" s="44">
        <f>AA23*AA$52</f>
        <v>49</v>
      </c>
      <c r="AB67" s="44">
        <f>AB23*AB$52</f>
        <v>310</v>
      </c>
      <c r="AC67" s="44">
        <f>AC23*AC$52</f>
        <v>651</v>
      </c>
      <c r="AD67" s="44">
        <f>AD23*AD$52</f>
        <v>254</v>
      </c>
      <c r="AE67" s="44">
        <f>AE23*AE$52</f>
        <v>135</v>
      </c>
      <c r="AF67" s="44">
        <f>AF23*AF$52</f>
        <v>103</v>
      </c>
      <c r="AG67" s="44">
        <f>AG23*AG$52</f>
        <v>5000</v>
      </c>
      <c r="AH67" s="44">
        <f>AH23*AH$52</f>
        <v>5000</v>
      </c>
      <c r="AI67" s="44">
        <f>AI23*AI$52</f>
        <v>5000</v>
      </c>
      <c r="AJ67" s="44">
        <f>AJ23*AJ$52</f>
        <v>5000</v>
      </c>
      <c r="AK67" s="44">
        <f>AK23*AK$52</f>
        <v>5000</v>
      </c>
      <c r="AL67" s="44">
        <f>AL23*AL$52</f>
        <v>5000</v>
      </c>
      <c r="AM67" s="44">
        <f>AM23*AM$52</f>
        <v>10000</v>
      </c>
      <c r="AN67" s="44">
        <f>AN23*AN$52</f>
        <v>10000</v>
      </c>
      <c r="AO67" s="44">
        <f>AO23*AO$52</f>
        <v>10000</v>
      </c>
      <c r="AP67" s="44">
        <f>AP23*AP$52</f>
        <v>20000</v>
      </c>
      <c r="AQ67" s="44">
        <f>AQ23*AQ$52</f>
        <v>20000</v>
      </c>
      <c r="AR67" s="44">
        <f>AR23*AR$52</f>
        <v>20000</v>
      </c>
      <c r="AS67" s="44">
        <f>AS23*AS$52</f>
        <v>30000</v>
      </c>
      <c r="AT67" s="44">
        <f>AT23*AT$52</f>
        <v>30000</v>
      </c>
      <c r="AU67" s="44">
        <f>AU23*AU$52</f>
        <v>30000</v>
      </c>
      <c r="AV67" s="25">
        <f>SUM(X67:AI67)</f>
        <v>56005</v>
      </c>
      <c r="AW67" s="25">
        <f>SUM(AJ67:AU67)</f>
        <v>195000</v>
      </c>
      <c r="AX67" s="46">
        <f>AX23*AX$52</f>
        <v>195000</v>
      </c>
      <c r="AY67" s="46">
        <f>AY23*AY$52</f>
        <v>195000</v>
      </c>
      <c r="AZ67" s="46">
        <f>AZ23*AZ$52</f>
        <v>195000</v>
      </c>
      <c r="BA67" s="24">
        <f>SUM(AV67:AZ67)</f>
        <v>836005</v>
      </c>
    </row>
    <row r="68">
      <c r="A68" s="7">
        <f>A24</f>
        <v>15</v>
      </c>
      <c r="B68" s="15" t="str">
        <f>B24</f>
        <v>한국</v>
      </c>
      <c r="C68" s="15" t="str">
        <f>C24</f>
        <v>한국</v>
      </c>
      <c r="D68" s="15" t="str">
        <f>D24</f>
        <v>쿠팡 — 엘더리</v>
      </c>
      <c r="E68" s="15" t="str">
        <f>E24</f>
        <v>엘더리</v>
      </c>
      <c r="F68" s="15" t="str">
        <f>F24</f>
        <v>온라인·B2C</v>
      </c>
      <c r="G68" s="15" t="str">
        <f>G24</f>
        <v>기존</v>
      </c>
      <c r="H68" s="15" t="str">
        <f>H24</f>
        <v>A 계약·기존 거래</v>
      </c>
      <c r="I68" s="15" t="str">
        <f>I24</f>
        <v>SUB</v>
      </c>
      <c r="J68" s="15" t="str">
        <f>J24</f>
        <v>M</v>
      </c>
      <c r="X68" s="44">
        <f>X24*X$52</f>
        <v>245</v>
      </c>
      <c r="Y68" s="44">
        <f>Y24*Y$52</f>
        <v>489</v>
      </c>
      <c r="Z68" s="44">
        <f>Z24*Z$52</f>
        <v>1033</v>
      </c>
      <c r="AA68" s="44">
        <f>AA24*AA$52</f>
        <v>436</v>
      </c>
      <c r="AB68" s="44">
        <f>AB24*AB$52</f>
        <v>689</v>
      </c>
      <c r="AC68" s="44">
        <f>AC24*AC$52</f>
        <v>441</v>
      </c>
      <c r="AD68" s="44">
        <f>AD24*AD$52</f>
        <v>787</v>
      </c>
      <c r="AE68" s="44">
        <f>AE24*AE$52</f>
        <v>323</v>
      </c>
      <c r="AF68" s="44">
        <f>AF24*AF$52</f>
        <v>292</v>
      </c>
      <c r="AG68" s="44">
        <f>AG24*AG$52</f>
        <v>5000</v>
      </c>
      <c r="AH68" s="44">
        <f>AH24*AH$52</f>
        <v>5000</v>
      </c>
      <c r="AI68" s="44">
        <f>AI24*AI$52</f>
        <v>5000</v>
      </c>
      <c r="AJ68" s="44">
        <f>AJ24*AJ$52</f>
        <v>10000</v>
      </c>
      <c r="AK68" s="44">
        <f>AK24*AK$52</f>
        <v>10000</v>
      </c>
      <c r="AL68" s="44">
        <f>AL24*AL$52</f>
        <v>10000</v>
      </c>
      <c r="AM68" s="44">
        <f>AM24*AM$52</f>
        <v>20000</v>
      </c>
      <c r="AN68" s="44">
        <f>AN24*AN$52</f>
        <v>20000</v>
      </c>
      <c r="AO68" s="44">
        <f>AO24*AO$52</f>
        <v>20000</v>
      </c>
      <c r="AP68" s="44">
        <f>AP24*AP$52</f>
        <v>20000</v>
      </c>
      <c r="AQ68" s="44">
        <f>AQ24*AQ$52</f>
        <v>20000</v>
      </c>
      <c r="AR68" s="44">
        <f>AR24*AR$52</f>
        <v>20000</v>
      </c>
      <c r="AS68" s="44">
        <f>AS24*AS$52</f>
        <v>20000</v>
      </c>
      <c r="AT68" s="44">
        <f>AT24*AT$52</f>
        <v>20000</v>
      </c>
      <c r="AU68" s="44">
        <f>AU24*AU$52</f>
        <v>20000</v>
      </c>
      <c r="AV68" s="25">
        <f>SUM(X68:AI68)</f>
        <v>19735</v>
      </c>
      <c r="AW68" s="25">
        <f>SUM(AJ68:AU68)</f>
        <v>210000</v>
      </c>
      <c r="AX68" s="46">
        <f>AX24*AX$52</f>
        <v>310800</v>
      </c>
      <c r="AY68" s="46">
        <f>AY24*AY$52</f>
        <v>388500</v>
      </c>
      <c r="AZ68" s="46">
        <f>AZ24*AZ$52</f>
        <v>450660</v>
      </c>
      <c r="BA68" s="24">
        <f>SUM(AV68:AZ68)</f>
        <v>1379695</v>
      </c>
    </row>
    <row r="69">
      <c r="A69" s="7">
        <f>A25</f>
        <v>16</v>
      </c>
      <c r="B69" s="15" t="str">
        <f>B25</f>
        <v>한국</v>
      </c>
      <c r="C69" s="15" t="str">
        <f>C25</f>
        <v>한국</v>
      </c>
      <c r="D69" s="15" t="str">
        <f>D25</f>
        <v>복지용구(NHIS 급여, 기저귀센서)</v>
      </c>
      <c r="E69" s="15" t="str">
        <f>E25</f>
        <v>엘더리</v>
      </c>
      <c r="F69" s="15" t="str">
        <f>F25</f>
        <v>B2G·제도</v>
      </c>
      <c r="G69" s="15" t="str">
        <f>G25</f>
        <v>등록 완료</v>
      </c>
      <c r="H69" s="15" t="str">
        <f>H25</f>
        <v>B 등록·입찰·협의 단계</v>
      </c>
      <c r="I69" s="15" t="str">
        <f>I25</f>
        <v>NHIS</v>
      </c>
      <c r="J69" s="15" t="str">
        <f>J25</f>
        <v>M</v>
      </c>
      <c r="X69" s="44">
        <f>X25*X$52</f>
        <v>9806</v>
      </c>
      <c r="Y69" s="44">
        <f>Y25*Y$52</f>
        <v>3979</v>
      </c>
      <c r="Z69" s="44">
        <f>Z25*Z$52</f>
        <v>2010</v>
      </c>
      <c r="AA69" s="44">
        <f>AA25*AA$52</f>
        <v>0</v>
      </c>
      <c r="AB69" s="44">
        <f>AB25*AB$52</f>
        <v>0</v>
      </c>
      <c r="AC69" s="44">
        <f>AC25*AC$52</f>
        <v>0</v>
      </c>
      <c r="AD69" s="44">
        <f>AD25*AD$52</f>
        <v>0</v>
      </c>
      <c r="AE69" s="44">
        <f>AE25*AE$52</f>
        <v>0</v>
      </c>
      <c r="AF69" s="44">
        <f>AF25*AF$52</f>
        <v>0</v>
      </c>
      <c r="AG69" s="44">
        <f>AG25*AG$52</f>
        <v>0</v>
      </c>
      <c r="AH69" s="44">
        <f>AH25*AH$52</f>
        <v>0</v>
      </c>
      <c r="AI69" s="44">
        <f>AI25*AI$52</f>
        <v>0</v>
      </c>
      <c r="AJ69" s="44">
        <f>AJ25*AJ$52</f>
        <v>0</v>
      </c>
      <c r="AK69" s="44">
        <f>AK25*AK$52</f>
        <v>0</v>
      </c>
      <c r="AL69" s="44">
        <f>AL25*AL$52</f>
        <v>30000</v>
      </c>
      <c r="AM69" s="44">
        <f>AM25*AM$52</f>
        <v>30000</v>
      </c>
      <c r="AN69" s="44">
        <f>AN25*AN$52</f>
        <v>30000</v>
      </c>
      <c r="AO69" s="44">
        <f>AO25*AO$52</f>
        <v>30000</v>
      </c>
      <c r="AP69" s="44">
        <f>AP25*AP$52</f>
        <v>30000</v>
      </c>
      <c r="AQ69" s="44">
        <f>AQ25*AQ$52</f>
        <v>30000</v>
      </c>
      <c r="AR69" s="44">
        <f>AR25*AR$52</f>
        <v>30000</v>
      </c>
      <c r="AS69" s="44">
        <f>AS25*AS$52</f>
        <v>30000</v>
      </c>
      <c r="AT69" s="44">
        <f>AT25*AT$52</f>
        <v>30000</v>
      </c>
      <c r="AU69" s="44">
        <f>AU25*AU$52</f>
        <v>30000</v>
      </c>
      <c r="AV69" s="25">
        <f>SUM(X69:AI69)</f>
        <v>15795</v>
      </c>
      <c r="AW69" s="25">
        <f>SUM(AJ69:AU69)</f>
        <v>300000</v>
      </c>
      <c r="AX69" s="46">
        <f>AX25*AX$52</f>
        <v>588000</v>
      </c>
      <c r="AY69" s="46">
        <f>AY25*AY$52</f>
        <v>882000</v>
      </c>
      <c r="AZ69" s="46">
        <f>AZ25*AZ$52</f>
        <v>1164240</v>
      </c>
      <c r="BA69" s="24">
        <f>SUM(AV69:AZ69)</f>
        <v>2950035</v>
      </c>
    </row>
    <row r="70">
      <c r="A70" s="7">
        <f>A26</f>
        <v>17</v>
      </c>
      <c r="B70" s="15" t="str">
        <f>B26</f>
        <v>한국</v>
      </c>
      <c r="C70" s="15" t="str">
        <f>C26</f>
        <v>한국</v>
      </c>
      <c r="D70" s="15" t="str">
        <f>D26</f>
        <v>국내 B2B 기타</v>
      </c>
      <c r="E70" s="15" t="str">
        <f>E26</f>
        <v>엘더리</v>
      </c>
      <c r="F70" s="15" t="str">
        <f>F26</f>
        <v>국내 B2B</v>
      </c>
      <c r="G70" s="15" t="str">
        <f>G26</f>
        <v>기존</v>
      </c>
      <c r="H70" s="15" t="str">
        <f>H26</f>
        <v>A 계약·기존 거래</v>
      </c>
      <c r="I70" s="15" t="str">
        <f>I26</f>
        <v>SUB</v>
      </c>
      <c r="J70" s="15" t="str">
        <f>J26</f>
        <v>M</v>
      </c>
      <c r="X70" s="44">
        <f>X26*X$52</f>
        <v>0</v>
      </c>
      <c r="Y70" s="44">
        <f>Y26*Y$52</f>
        <v>0</v>
      </c>
      <c r="Z70" s="44">
        <f>Z26*Z$52</f>
        <v>0</v>
      </c>
      <c r="AA70" s="44">
        <f>AA26*AA$52</f>
        <v>0</v>
      </c>
      <c r="AB70" s="44">
        <f>AB26*AB$52</f>
        <v>0</v>
      </c>
      <c r="AC70" s="44">
        <f>AC26*AC$52</f>
        <v>0</v>
      </c>
      <c r="AD70" s="44">
        <f>AD26*AD$52</f>
        <v>642</v>
      </c>
      <c r="AE70" s="44">
        <f>AE26*AE$52</f>
        <v>229</v>
      </c>
      <c r="AF70" s="44">
        <f>AF26*AF$52</f>
        <v>0</v>
      </c>
      <c r="AG70" s="44">
        <f>AG26*AG$52</f>
        <v>0</v>
      </c>
      <c r="AH70" s="44">
        <f>AH26*AH$52</f>
        <v>3950</v>
      </c>
      <c r="AI70" s="44">
        <f>AI26*AI$52</f>
        <v>0</v>
      </c>
      <c r="AJ70" s="44">
        <f>AJ26*AJ$52</f>
        <v>10000</v>
      </c>
      <c r="AK70" s="44">
        <f>AK26*AK$52</f>
        <v>10000</v>
      </c>
      <c r="AL70" s="44">
        <f>AL26*AL$52</f>
        <v>10000</v>
      </c>
      <c r="AM70" s="44">
        <f>AM26*AM$52</f>
        <v>10000</v>
      </c>
      <c r="AN70" s="44">
        <f>AN26*AN$52</f>
        <v>10000</v>
      </c>
      <c r="AO70" s="44">
        <f>AO26*AO$52</f>
        <v>10000</v>
      </c>
      <c r="AP70" s="44">
        <f>AP26*AP$52</f>
        <v>10000</v>
      </c>
      <c r="AQ70" s="44">
        <f>AQ26*AQ$52</f>
        <v>10000</v>
      </c>
      <c r="AR70" s="44">
        <f>AR26*AR$52</f>
        <v>10000</v>
      </c>
      <c r="AS70" s="44">
        <f>AS26*AS$52</f>
        <v>10000</v>
      </c>
      <c r="AT70" s="44">
        <f>AT26*AT$52</f>
        <v>10000</v>
      </c>
      <c r="AU70" s="44">
        <f>AU26*AU$52</f>
        <v>10000</v>
      </c>
      <c r="AV70" s="25">
        <f>SUM(X70:AI70)</f>
        <v>4821</v>
      </c>
      <c r="AW70" s="25">
        <f>SUM(AJ70:AU70)</f>
        <v>120000</v>
      </c>
      <c r="AX70" s="46">
        <f>AX26*AX$52</f>
        <v>120000</v>
      </c>
      <c r="AY70" s="46">
        <f>AY26*AY$52</f>
        <v>120000</v>
      </c>
      <c r="AZ70" s="46">
        <f>AZ26*AZ$52</f>
        <v>120000</v>
      </c>
      <c r="BA70" s="24">
        <f>SUM(AV70:AZ70)</f>
        <v>484821</v>
      </c>
    </row>
    <row r="71">
      <c r="A71" s="7">
        <f>A27</f>
        <v>18</v>
      </c>
      <c r="B71" s="15" t="str">
        <f>B27</f>
        <v>한국</v>
      </c>
      <c r="C71" s="15" t="str">
        <f>C27</f>
        <v>한국</v>
      </c>
      <c r="D71" s="15" t="str">
        <f>D27</f>
        <v>APP KOREA — 성인(키퍼스 시니어 팬티형)</v>
      </c>
      <c r="E71" s="15" t="str">
        <f>E27</f>
        <v>엘더리</v>
      </c>
      <c r="F71" s="15" t="str">
        <f>F27</f>
        <v>파트너</v>
      </c>
      <c r="G71" s="15" t="str">
        <f>G27</f>
        <v>계약</v>
      </c>
      <c r="H71" s="15" t="str">
        <f>H27</f>
        <v>A 계약·기존 거래</v>
      </c>
      <c r="I71" s="15" t="str">
        <f>I27</f>
        <v>SUB</v>
      </c>
      <c r="J71" s="15" t="str">
        <f>J27</f>
        <v>M</v>
      </c>
      <c r="X71" s="44">
        <f>X27*X$52</f>
        <v>0</v>
      </c>
      <c r="Y71" s="44">
        <f>Y27*Y$52</f>
        <v>0</v>
      </c>
      <c r="Z71" s="44">
        <f>Z27*Z$52</f>
        <v>0</v>
      </c>
      <c r="AA71" s="44">
        <f>AA27*AA$52</f>
        <v>0</v>
      </c>
      <c r="AB71" s="44">
        <f>AB27*AB$52</f>
        <v>0</v>
      </c>
      <c r="AC71" s="44">
        <f>AC27*AC$52</f>
        <v>0</v>
      </c>
      <c r="AD71" s="44">
        <f>AD27*AD$52</f>
        <v>0</v>
      </c>
      <c r="AE71" s="44">
        <f>AE27*AE$52</f>
        <v>0</v>
      </c>
      <c r="AF71" s="44">
        <f>AF27*AF$52</f>
        <v>0</v>
      </c>
      <c r="AG71" s="44">
        <f>AG27*AG$52</f>
        <v>120000</v>
      </c>
      <c r="AH71" s="44">
        <f>AH27*AH$52</f>
        <v>120000</v>
      </c>
      <c r="AI71" s="44">
        <f>AI27*AI$52</f>
        <v>120000</v>
      </c>
      <c r="AJ71" s="44">
        <f>AJ27*AJ$52</f>
        <v>120000</v>
      </c>
      <c r="AK71" s="44">
        <f>AK27*AK$52</f>
        <v>120000</v>
      </c>
      <c r="AL71" s="44">
        <f>AL27*AL$52</f>
        <v>120000</v>
      </c>
      <c r="AM71" s="44">
        <f>AM27*AM$52</f>
        <v>120000</v>
      </c>
      <c r="AN71" s="44">
        <f>AN27*AN$52</f>
        <v>120000</v>
      </c>
      <c r="AO71" s="44">
        <f>AO27*AO$52</f>
        <v>120000</v>
      </c>
      <c r="AP71" s="44">
        <f>AP27*AP$52</f>
        <v>120000</v>
      </c>
      <c r="AQ71" s="44">
        <f>AQ27*AQ$52</f>
        <v>120000</v>
      </c>
      <c r="AR71" s="44">
        <f>AR27*AR$52</f>
        <v>120000</v>
      </c>
      <c r="AS71" s="44">
        <f>AS27*AS$52</f>
        <v>120000</v>
      </c>
      <c r="AT71" s="44">
        <f>AT27*AT$52</f>
        <v>120000</v>
      </c>
      <c r="AU71" s="44">
        <f>AU27*AU$52</f>
        <v>120000</v>
      </c>
      <c r="AV71" s="25">
        <f>SUM(X71:AI71)</f>
        <v>360000</v>
      </c>
      <c r="AW71" s="25">
        <f>SUM(AJ71:AU71)</f>
        <v>1440000</v>
      </c>
      <c r="AX71" s="46">
        <f>AX27*AX$52</f>
        <v>2361600</v>
      </c>
      <c r="AY71" s="46">
        <f>AY27*AY$52</f>
        <v>3070080</v>
      </c>
      <c r="AZ71" s="46">
        <f>AZ27*AZ$52</f>
        <v>3684096</v>
      </c>
      <c r="BA71" s="24">
        <f>SUM(AV71:AZ71)</f>
        <v>10915776</v>
      </c>
    </row>
    <row r="72">
      <c r="A72" s="7">
        <f>A28</f>
        <v>19</v>
      </c>
      <c r="B72" s="15" t="str">
        <f>B28</f>
        <v>일본</v>
      </c>
      <c r="C72" s="15" t="str">
        <f>C28</f>
        <v>일본</v>
      </c>
      <c r="D72" s="15" t="str">
        <f>D28</f>
        <v>일본 하트키움(HEARTCARE 오사카 요양시설)</v>
      </c>
      <c r="E72" s="15" t="str">
        <f>E28</f>
        <v>엘더리</v>
      </c>
      <c r="F72" s="15" t="str">
        <f>F28</f>
        <v>총판</v>
      </c>
      <c r="G72" s="15" t="str">
        <f>G28</f>
        <v>계약</v>
      </c>
      <c r="H72" s="15" t="str">
        <f>H28</f>
        <v>A 계약·기존 거래</v>
      </c>
      <c r="I72" s="15" t="str">
        <f>I28</f>
        <v>DIST</v>
      </c>
      <c r="J72" s="15" t="str">
        <f>J28</f>
        <v>M</v>
      </c>
      <c r="X72" s="44">
        <f>X28*X$52</f>
        <v>0</v>
      </c>
      <c r="Y72" s="44">
        <f>Y28*Y$52</f>
        <v>0</v>
      </c>
      <c r="Z72" s="44">
        <f>Z28*Z$52</f>
        <v>0</v>
      </c>
      <c r="AA72" s="44">
        <f>AA28*AA$52</f>
        <v>0</v>
      </c>
      <c r="AB72" s="44">
        <f>AB28*AB$52</f>
        <v>0</v>
      </c>
      <c r="AC72" s="44">
        <f>AC28*AC$52</f>
        <v>0</v>
      </c>
      <c r="AD72" s="44">
        <f>AD28*AD$52</f>
        <v>0</v>
      </c>
      <c r="AE72" s="44">
        <f>AE28*AE$52</f>
        <v>0</v>
      </c>
      <c r="AF72" s="44">
        <f>AF28*AF$52</f>
        <v>0</v>
      </c>
      <c r="AG72" s="44">
        <f>AG28*AG$52</f>
        <v>0</v>
      </c>
      <c r="AH72" s="44">
        <f>AH28*AH$52</f>
        <v>0</v>
      </c>
      <c r="AI72" s="44">
        <f>AI28*AI$52</f>
        <v>0</v>
      </c>
      <c r="AJ72" s="44">
        <f>AJ28*AJ$52</f>
        <v>0</v>
      </c>
      <c r="AK72" s="44">
        <f>AK28*AK$52</f>
        <v>0</v>
      </c>
      <c r="AL72" s="44">
        <f>AL28*AL$52</f>
        <v>22990</v>
      </c>
      <c r="AM72" s="44">
        <f>AM28*AM$52</f>
        <v>25204</v>
      </c>
      <c r="AN72" s="44">
        <f>AN28*AN$52</f>
        <v>27632</v>
      </c>
      <c r="AO72" s="44">
        <f>AO28*AO$52</f>
        <v>30293</v>
      </c>
      <c r="AP72" s="44">
        <f>AP28*AP$52</f>
        <v>33211</v>
      </c>
      <c r="AQ72" s="44">
        <f>AQ28*AQ$52</f>
        <v>36411</v>
      </c>
      <c r="AR72" s="44">
        <f>AR28*AR$52</f>
        <v>39918</v>
      </c>
      <c r="AS72" s="44">
        <f>AS28*AS$52</f>
        <v>43763</v>
      </c>
      <c r="AT72" s="44">
        <f>AT28*AT$52</f>
        <v>47978</v>
      </c>
      <c r="AU72" s="44">
        <f>AU28*AU$52</f>
        <v>52600</v>
      </c>
      <c r="AV72" s="25">
        <f>SUM(X72:AI72)</f>
        <v>0</v>
      </c>
      <c r="AW72" s="25">
        <f>SUM(AJ72:AU72)</f>
        <v>360000</v>
      </c>
      <c r="AX72" s="46">
        <f>AX28*AX$52</f>
        <v>1051200</v>
      </c>
      <c r="AY72" s="46">
        <f>AY28*AY$52</f>
        <v>1997280</v>
      </c>
      <c r="AZ72" s="46">
        <f>AZ28*AZ$52</f>
        <v>2955974.4</v>
      </c>
      <c r="BA72" s="24">
        <f>SUM(AV72:AZ72)</f>
        <v>6364454.4</v>
      </c>
    </row>
    <row r="73">
      <c r="A73" s="7">
        <f>A29</f>
        <v>20</v>
      </c>
      <c r="B73" s="15" t="str">
        <f>B29</f>
        <v>일본</v>
      </c>
      <c r="C73" s="15" t="str">
        <f>C29</f>
        <v>일본</v>
      </c>
      <c r="D73" s="15" t="str">
        <f>D29</f>
        <v>일본 TAIS by JAIS</v>
      </c>
      <c r="E73" s="15" t="str">
        <f>E29</f>
        <v>엘더리</v>
      </c>
      <c r="F73" s="15" t="str">
        <f>F29</f>
        <v>B2G·제도</v>
      </c>
      <c r="G73" s="15" t="str">
        <f>G29</f>
        <v>등록 완료</v>
      </c>
      <c r="H73" s="15" t="str">
        <f>H29</f>
        <v>B 등록·입찰·협의 단계</v>
      </c>
      <c r="I73" s="15" t="str">
        <f>I29</f>
        <v>SUB</v>
      </c>
      <c r="J73" s="15" t="str">
        <f>J29</f>
        <v>M</v>
      </c>
      <c r="X73" s="44">
        <f>X29*X$52</f>
        <v>0</v>
      </c>
      <c r="Y73" s="44">
        <f>Y29*Y$52</f>
        <v>0</v>
      </c>
      <c r="Z73" s="44">
        <f>Z29*Z$52</f>
        <v>0</v>
      </c>
      <c r="AA73" s="44">
        <f>AA29*AA$52</f>
        <v>0</v>
      </c>
      <c r="AB73" s="44">
        <f>AB29*AB$52</f>
        <v>0</v>
      </c>
      <c r="AC73" s="44">
        <f>AC29*AC$52</f>
        <v>0</v>
      </c>
      <c r="AD73" s="44">
        <f>AD29*AD$52</f>
        <v>0</v>
      </c>
      <c r="AE73" s="44">
        <f>AE29*AE$52</f>
        <v>0</v>
      </c>
      <c r="AF73" s="44">
        <f>AF29*AF$52</f>
        <v>0</v>
      </c>
      <c r="AG73" s="44">
        <f>AG29*AG$52</f>
        <v>0</v>
      </c>
      <c r="AH73" s="44">
        <f>AH29*AH$52</f>
        <v>0</v>
      </c>
      <c r="AI73" s="44">
        <f>AI29*AI$52</f>
        <v>0</v>
      </c>
      <c r="AJ73" s="44">
        <f>AJ29*AJ$52</f>
        <v>0</v>
      </c>
      <c r="AK73" s="44">
        <f>AK29*AK$52</f>
        <v>6605</v>
      </c>
      <c r="AL73" s="44">
        <f>AL29*AL$52</f>
        <v>7241</v>
      </c>
      <c r="AM73" s="44">
        <f>AM29*AM$52</f>
        <v>7939</v>
      </c>
      <c r="AN73" s="44">
        <f>AN29*AN$52</f>
        <v>8704</v>
      </c>
      <c r="AO73" s="44">
        <f>AO29*AO$52</f>
        <v>9542</v>
      </c>
      <c r="AP73" s="44">
        <f>AP29*AP$52</f>
        <v>10461</v>
      </c>
      <c r="AQ73" s="44">
        <f>AQ29*AQ$52</f>
        <v>11469</v>
      </c>
      <c r="AR73" s="44">
        <f>AR29*AR$52</f>
        <v>12574</v>
      </c>
      <c r="AS73" s="44">
        <f>AS29*AS$52</f>
        <v>13785</v>
      </c>
      <c r="AT73" s="44">
        <f>AT29*AT$52</f>
        <v>15113</v>
      </c>
      <c r="AU73" s="44">
        <f>AU29*AU$52</f>
        <v>16567</v>
      </c>
      <c r="AV73" s="25">
        <f>SUM(X73:AI73)</f>
        <v>0</v>
      </c>
      <c r="AW73" s="25">
        <f>SUM(AJ73:AU73)</f>
        <v>120000</v>
      </c>
      <c r="AX73" s="46">
        <f>AX29*AX$52</f>
        <v>696000</v>
      </c>
      <c r="AY73" s="46">
        <f>AY29*AY$52</f>
        <v>1531200</v>
      </c>
      <c r="AZ73" s="46">
        <f>AZ29*AZ$52</f>
        <v>2511168</v>
      </c>
      <c r="BA73" s="24">
        <f>SUM(AV73:AZ73)</f>
        <v>4858368</v>
      </c>
    </row>
    <row r="74">
      <c r="A74" s="7">
        <f>A30</f>
        <v>21</v>
      </c>
      <c r="B74" s="15" t="str">
        <f>B30</f>
        <v>인도</v>
      </c>
      <c r="C74" s="15" t="str">
        <f>C30</f>
        <v>인도</v>
      </c>
      <c r="D74" s="15" t="str">
        <f>D30</f>
        <v>케랄라 주정부(인도)</v>
      </c>
      <c r="E74" s="15" t="str">
        <f>E30</f>
        <v>엘더리</v>
      </c>
      <c r="F74" s="15" t="str">
        <f>F30</f>
        <v>기타</v>
      </c>
      <c r="G74" s="15" t="str">
        <f>G30</f>
        <v>기존</v>
      </c>
      <c r="H74" s="15" t="str">
        <f>H30</f>
        <v>A 계약·기존 거래</v>
      </c>
      <c r="I74" s="15" t="str">
        <f>I30</f>
        <v>DIST</v>
      </c>
      <c r="J74" s="15" t="str">
        <f>J30</f>
        <v>M</v>
      </c>
      <c r="X74" s="44">
        <f>X30*X$52</f>
        <v>0</v>
      </c>
      <c r="Y74" s="44">
        <f>Y30*Y$52</f>
        <v>0</v>
      </c>
      <c r="Z74" s="44">
        <f>Z30*Z$52</f>
        <v>0</v>
      </c>
      <c r="AA74" s="44">
        <f>AA30*AA$52</f>
        <v>0</v>
      </c>
      <c r="AB74" s="44">
        <f>AB30*AB$52</f>
        <v>0</v>
      </c>
      <c r="AC74" s="44">
        <f>AC30*AC$52</f>
        <v>0</v>
      </c>
      <c r="AD74" s="44">
        <f>AD30*AD$52</f>
        <v>0</v>
      </c>
      <c r="AE74" s="44">
        <f>AE30*AE$52</f>
        <v>0</v>
      </c>
      <c r="AF74" s="44">
        <f>AF30*AF$52</f>
        <v>0</v>
      </c>
      <c r="AG74" s="44">
        <f>AG30*AG$52</f>
        <v>0</v>
      </c>
      <c r="AH74" s="44">
        <f>AH30*AH$52</f>
        <v>0</v>
      </c>
      <c r="AI74" s="44">
        <f>AI30*AI$52</f>
        <v>0</v>
      </c>
      <c r="AJ74" s="44">
        <f>AJ30*AJ$52</f>
        <v>0</v>
      </c>
      <c r="AK74" s="44">
        <f>AK30*AK$52</f>
        <v>0</v>
      </c>
      <c r="AL74" s="44">
        <f>AL30*AL$52</f>
        <v>0</v>
      </c>
      <c r="AM74" s="44">
        <f>AM30*AM$52</f>
        <v>0</v>
      </c>
      <c r="AN74" s="44">
        <f>AN30*AN$52</f>
        <v>0</v>
      </c>
      <c r="AO74" s="44">
        <f>AO30*AO$52</f>
        <v>0</v>
      </c>
      <c r="AP74" s="44">
        <f>AP30*AP$52</f>
        <v>0</v>
      </c>
      <c r="AQ74" s="44">
        <f>AQ30*AQ$52</f>
        <v>9900</v>
      </c>
      <c r="AR74" s="44">
        <f>AR30*AR$52</f>
        <v>10854</v>
      </c>
      <c r="AS74" s="44">
        <f>AS30*AS$52</f>
        <v>11899</v>
      </c>
      <c r="AT74" s="44">
        <f>AT30*AT$52</f>
        <v>13045</v>
      </c>
      <c r="AU74" s="44">
        <f>AU30*AU$52</f>
        <v>14302</v>
      </c>
      <c r="AV74" s="25">
        <f>SUM(X74:AI74)</f>
        <v>0</v>
      </c>
      <c r="AW74" s="25">
        <f>SUM(AJ74:AU74)</f>
        <v>60000</v>
      </c>
      <c r="AX74" s="46">
        <f>AX30*AX$52</f>
        <v>60000</v>
      </c>
      <c r="AY74" s="46">
        <f>AY30*AY$52</f>
        <v>60000</v>
      </c>
      <c r="AZ74" s="46">
        <f>AZ30*AZ$52</f>
        <v>60000</v>
      </c>
      <c r="BA74" s="24">
        <f>SUM(AV74:AZ74)</f>
        <v>240000</v>
      </c>
    </row>
    <row r="75">
      <c r="A75" s="7">
        <f>A31</f>
        <v>22</v>
      </c>
      <c r="B75" s="15" t="str">
        <f>B31</f>
        <v>인도</v>
      </c>
      <c r="C75" s="15" t="str">
        <f>C31</f>
        <v>인도</v>
      </c>
      <c r="D75" s="15" t="str">
        <f>D31</f>
        <v>인도 뉴델리 디스트리뷰터</v>
      </c>
      <c r="E75" s="15" t="str">
        <f>E31</f>
        <v>엘더리</v>
      </c>
      <c r="F75" s="15" t="str">
        <f>F31</f>
        <v>총판</v>
      </c>
      <c r="G75" s="15" t="str">
        <f>G31</f>
        <v>진행 중</v>
      </c>
      <c r="H75" s="15" t="str">
        <f>H31</f>
        <v>B 등록·입찰·협의 단계</v>
      </c>
      <c r="I75" s="15" t="str">
        <f>I31</f>
        <v>DIST</v>
      </c>
      <c r="J75" s="15" t="str">
        <f>J31</f>
        <v>N</v>
      </c>
      <c r="X75" s="44">
        <f>X31*X$52</f>
        <v>0</v>
      </c>
      <c r="Y75" s="44">
        <f>Y31*Y$52</f>
        <v>0</v>
      </c>
      <c r="Z75" s="44">
        <f>Z31*Z$52</f>
        <v>0</v>
      </c>
      <c r="AA75" s="44">
        <f>AA31*AA$52</f>
        <v>0</v>
      </c>
      <c r="AB75" s="44">
        <f>AB31*AB$52</f>
        <v>0</v>
      </c>
      <c r="AC75" s="44">
        <f>AC31*AC$52</f>
        <v>0</v>
      </c>
      <c r="AD75" s="44">
        <f>AD31*AD$52</f>
        <v>0</v>
      </c>
      <c r="AE75" s="44">
        <f>AE31*AE$52</f>
        <v>0</v>
      </c>
      <c r="AF75" s="44">
        <f>AF31*AF$52</f>
        <v>0</v>
      </c>
      <c r="AG75" s="44">
        <f>AG31*AG$52</f>
        <v>0</v>
      </c>
      <c r="AH75" s="44">
        <f>AH31*AH$52</f>
        <v>0</v>
      </c>
      <c r="AI75" s="44">
        <f>AI31*AI$52</f>
        <v>20000</v>
      </c>
      <c r="AJ75" s="44">
        <f>AJ31*AJ$52</f>
        <v>0</v>
      </c>
      <c r="AK75" s="44">
        <f>AK31*AK$52</f>
        <v>0</v>
      </c>
      <c r="AL75" s="44">
        <f>AL31*AL$52</f>
        <v>3832</v>
      </c>
      <c r="AM75" s="44">
        <f>AM31*AM$52</f>
        <v>4201</v>
      </c>
      <c r="AN75" s="44">
        <f>AN31*AN$52</f>
        <v>4605</v>
      </c>
      <c r="AO75" s="44">
        <f>AO31*AO$52</f>
        <v>5049</v>
      </c>
      <c r="AP75" s="44">
        <f>AP31*AP$52</f>
        <v>5535</v>
      </c>
      <c r="AQ75" s="44">
        <f>AQ31*AQ$52</f>
        <v>6068</v>
      </c>
      <c r="AR75" s="44">
        <f>AR31*AR$52</f>
        <v>6653</v>
      </c>
      <c r="AS75" s="44">
        <f>AS31*AS$52</f>
        <v>7294</v>
      </c>
      <c r="AT75" s="44">
        <f>AT31*AT$52</f>
        <v>7996</v>
      </c>
      <c r="AU75" s="44">
        <f>AU31*AU$52</f>
        <v>8767</v>
      </c>
      <c r="AV75" s="25">
        <f>SUM(X75:AI75)</f>
        <v>20000</v>
      </c>
      <c r="AW75" s="25">
        <f>SUM(AJ75:AU75)</f>
        <v>60000</v>
      </c>
      <c r="AX75" s="46">
        <f>AX31*AX$52</f>
        <v>200000</v>
      </c>
      <c r="AY75" s="46">
        <f>AY31*AY$52</f>
        <v>600000</v>
      </c>
      <c r="AZ75" s="46">
        <f>AZ31*AZ$52</f>
        <v>1000000</v>
      </c>
      <c r="BA75" s="24">
        <f>SUM(AV75:AZ75)</f>
        <v>1880000</v>
      </c>
    </row>
    <row r="76">
      <c r="A76" s="7">
        <f>A32</f>
        <v>23</v>
      </c>
      <c r="B76" s="15" t="str">
        <f>B32</f>
        <v>인도</v>
      </c>
      <c r="C76" s="15" t="str">
        <f>C32</f>
        <v>인도</v>
      </c>
      <c r="D76" s="15" t="str">
        <f>D32</f>
        <v>인도 뭄바이 디스트리뷰터</v>
      </c>
      <c r="E76" s="15" t="str">
        <f>E32</f>
        <v>엘더리</v>
      </c>
      <c r="F76" s="15" t="str">
        <f>F32</f>
        <v>총판</v>
      </c>
      <c r="G76" s="15" t="str">
        <f>G32</f>
        <v>진행 중</v>
      </c>
      <c r="H76" s="15" t="str">
        <f>H32</f>
        <v>B 등록·입찰·협의 단계</v>
      </c>
      <c r="I76" s="15" t="str">
        <f>I32</f>
        <v>DIST</v>
      </c>
      <c r="J76" s="15" t="str">
        <f>J32</f>
        <v>N</v>
      </c>
      <c r="X76" s="44">
        <f>X32*X$52</f>
        <v>0</v>
      </c>
      <c r="Y76" s="44">
        <f>Y32*Y$52</f>
        <v>0</v>
      </c>
      <c r="Z76" s="44">
        <f>Z32*Z$52</f>
        <v>0</v>
      </c>
      <c r="AA76" s="44">
        <f>AA32*AA$52</f>
        <v>0</v>
      </c>
      <c r="AB76" s="44">
        <f>AB32*AB$52</f>
        <v>0</v>
      </c>
      <c r="AC76" s="44">
        <f>AC32*AC$52</f>
        <v>0</v>
      </c>
      <c r="AD76" s="44">
        <f>AD32*AD$52</f>
        <v>0</v>
      </c>
      <c r="AE76" s="44">
        <f>AE32*AE$52</f>
        <v>0</v>
      </c>
      <c r="AF76" s="44">
        <f>AF32*AF$52</f>
        <v>0</v>
      </c>
      <c r="AG76" s="44">
        <f>AG32*AG$52</f>
        <v>0</v>
      </c>
      <c r="AH76" s="44">
        <f>AH32*AH$52</f>
        <v>0</v>
      </c>
      <c r="AI76" s="44">
        <f>AI32*AI$52</f>
        <v>0</v>
      </c>
      <c r="AJ76" s="44">
        <f>AJ32*AJ$52</f>
        <v>3825</v>
      </c>
      <c r="AK76" s="44">
        <f>AK32*AK$52</f>
        <v>4193</v>
      </c>
      <c r="AL76" s="44">
        <f>AL32*AL$52</f>
        <v>4597</v>
      </c>
      <c r="AM76" s="44">
        <f>AM32*AM$52</f>
        <v>5040</v>
      </c>
      <c r="AN76" s="44">
        <f>AN32*AN$52</f>
        <v>5525</v>
      </c>
      <c r="AO76" s="44">
        <f>AO32*AO$52</f>
        <v>6057</v>
      </c>
      <c r="AP76" s="44">
        <f>AP32*AP$52</f>
        <v>6641</v>
      </c>
      <c r="AQ76" s="44">
        <f>AQ32*AQ$52</f>
        <v>7280</v>
      </c>
      <c r="AR76" s="44">
        <f>AR32*AR$52</f>
        <v>7982</v>
      </c>
      <c r="AS76" s="44">
        <f>AS32*AS$52</f>
        <v>8750</v>
      </c>
      <c r="AT76" s="44">
        <f>AT32*AT$52</f>
        <v>9593</v>
      </c>
      <c r="AU76" s="44">
        <f>AU32*AU$52</f>
        <v>10517</v>
      </c>
      <c r="AV76" s="25">
        <f>SUM(X76:AI76)</f>
        <v>0</v>
      </c>
      <c r="AW76" s="25">
        <f>SUM(AJ76:AU76)</f>
        <v>80000</v>
      </c>
      <c r="AX76" s="46">
        <f>AX32*AX$52</f>
        <v>200000</v>
      </c>
      <c r="AY76" s="46">
        <f>AY32*AY$52</f>
        <v>600000</v>
      </c>
      <c r="AZ76" s="46">
        <f>AZ32*AZ$52</f>
        <v>1000000</v>
      </c>
      <c r="BA76" s="24">
        <f>SUM(AV76:AZ76)</f>
        <v>1880000</v>
      </c>
    </row>
    <row r="77">
      <c r="A77" s="7">
        <f>A33</f>
        <v>24</v>
      </c>
      <c r="B77" s="15" t="str">
        <f>B33</f>
        <v>네덜란드</v>
      </c>
      <c r="C77" s="15" t="str">
        <f>C33</f>
        <v>유럽</v>
      </c>
      <c r="D77" s="15" t="str">
        <f>D33</f>
        <v>GISI Distribution(네덜란드·룩셈부르크·독일·폴란드)</v>
      </c>
      <c r="E77" s="15" t="str">
        <f>E33</f>
        <v>엘더리</v>
      </c>
      <c r="F77" s="15" t="str">
        <f>F33</f>
        <v>총판</v>
      </c>
      <c r="G77" s="15" t="str">
        <f>G33</f>
        <v>계약</v>
      </c>
      <c r="H77" s="15" t="str">
        <f>H33</f>
        <v>A 계약·기존 거래</v>
      </c>
      <c r="I77" s="15" t="str">
        <f>I33</f>
        <v>DIST</v>
      </c>
      <c r="J77" s="15" t="str">
        <f>J33</f>
        <v>M</v>
      </c>
      <c r="X77" s="44">
        <f>X33*X$52</f>
        <v>0</v>
      </c>
      <c r="Y77" s="44">
        <f>Y33*Y$52</f>
        <v>0</v>
      </c>
      <c r="Z77" s="44">
        <f>Z33*Z$52</f>
        <v>6359</v>
      </c>
      <c r="AA77" s="44">
        <f>AA33*AA$52</f>
        <v>0</v>
      </c>
      <c r="AB77" s="44">
        <f>AB33*AB$52</f>
        <v>0</v>
      </c>
      <c r="AC77" s="44">
        <f>AC33*AC$52</f>
        <v>0</v>
      </c>
      <c r="AD77" s="44">
        <f>AD33*AD$52</f>
        <v>0</v>
      </c>
      <c r="AE77" s="44">
        <f>AE33*AE$52</f>
        <v>0</v>
      </c>
      <c r="AF77" s="44">
        <f>AF33*AF$52</f>
        <v>31303</v>
      </c>
      <c r="AG77" s="44">
        <f>AG33*AG$52</f>
        <v>16000</v>
      </c>
      <c r="AH77" s="44">
        <f>AH33*AH$52</f>
        <v>0</v>
      </c>
      <c r="AI77" s="44">
        <f>AI33*AI$52</f>
        <v>16000</v>
      </c>
      <c r="AJ77" s="44">
        <f>AJ33*AJ$52</f>
        <v>7171</v>
      </c>
      <c r="AK77" s="44">
        <f>AK33*AK$52</f>
        <v>7862</v>
      </c>
      <c r="AL77" s="44">
        <f>AL33*AL$52</f>
        <v>8619</v>
      </c>
      <c r="AM77" s="44">
        <f>AM33*AM$52</f>
        <v>9449</v>
      </c>
      <c r="AN77" s="44">
        <f>AN33*AN$52</f>
        <v>10359</v>
      </c>
      <c r="AO77" s="44">
        <f>AO33*AO$52</f>
        <v>11357</v>
      </c>
      <c r="AP77" s="44">
        <f>AP33*AP$52</f>
        <v>12451</v>
      </c>
      <c r="AQ77" s="44">
        <f>AQ33*AQ$52</f>
        <v>13651</v>
      </c>
      <c r="AR77" s="44">
        <f>AR33*AR$52</f>
        <v>14966</v>
      </c>
      <c r="AS77" s="44">
        <f>AS33*AS$52</f>
        <v>16407</v>
      </c>
      <c r="AT77" s="44">
        <f>AT33*AT$52</f>
        <v>17988</v>
      </c>
      <c r="AU77" s="44">
        <f>AU33*AU$52</f>
        <v>19720</v>
      </c>
      <c r="AV77" s="25">
        <f>SUM(X77:AI77)</f>
        <v>69662</v>
      </c>
      <c r="AW77" s="25">
        <f>SUM(AJ77:AU77)</f>
        <v>150000</v>
      </c>
      <c r="AX77" s="46">
        <f>AX33*AX$52</f>
        <v>390000</v>
      </c>
      <c r="AY77" s="46">
        <f>AY33*AY$52</f>
        <v>702000</v>
      </c>
      <c r="AZ77" s="46">
        <f>AZ33*AZ$52</f>
        <v>1038960</v>
      </c>
      <c r="BA77" s="24">
        <f>SUM(AV77:AZ77)</f>
        <v>2350622</v>
      </c>
    </row>
    <row r="78">
      <c r="A78" s="7">
        <f>A34</f>
        <v>25</v>
      </c>
      <c r="B78" s="15" t="str">
        <f>B34</f>
        <v>폴란드</v>
      </c>
      <c r="C78" s="15" t="str">
        <f>C34</f>
        <v>유럽</v>
      </c>
      <c r="D78" s="15" t="str">
        <f>D34</f>
        <v>NEUCA(폴란드 총판)</v>
      </c>
      <c r="E78" s="15" t="str">
        <f>E34</f>
        <v>엘더리</v>
      </c>
      <c r="F78" s="15" t="str">
        <f>F34</f>
        <v>총판</v>
      </c>
      <c r="G78" s="15" t="str">
        <f>G34</f>
        <v>접촉</v>
      </c>
      <c r="H78" s="15" t="str">
        <f>H34</f>
        <v>B 등록·입찰·협의 단계</v>
      </c>
      <c r="I78" s="15" t="str">
        <f>I34</f>
        <v>DIST</v>
      </c>
      <c r="J78" s="15" t="str">
        <f>J34</f>
        <v>M</v>
      </c>
      <c r="X78" s="44">
        <f>X34*X$52</f>
        <v>0</v>
      </c>
      <c r="Y78" s="44">
        <f>Y34*Y$52</f>
        <v>0</v>
      </c>
      <c r="Z78" s="44">
        <f>Z34*Z$52</f>
        <v>0</v>
      </c>
      <c r="AA78" s="44">
        <f>AA34*AA$52</f>
        <v>0</v>
      </c>
      <c r="AB78" s="44">
        <f>AB34*AB$52</f>
        <v>0</v>
      </c>
      <c r="AC78" s="44">
        <f>AC34*AC$52</f>
        <v>0</v>
      </c>
      <c r="AD78" s="44">
        <f>AD34*AD$52</f>
        <v>0</v>
      </c>
      <c r="AE78" s="44">
        <f>AE34*AE$52</f>
        <v>0</v>
      </c>
      <c r="AF78" s="44">
        <f>AF34*AF$52</f>
        <v>0</v>
      </c>
      <c r="AG78" s="44">
        <f>AG34*AG$52</f>
        <v>0</v>
      </c>
      <c r="AH78" s="44">
        <f>AH34*AH$52</f>
        <v>0</v>
      </c>
      <c r="AI78" s="44">
        <f>AI34*AI$52</f>
        <v>0</v>
      </c>
      <c r="AJ78" s="44">
        <f>AJ34*AJ$52</f>
        <v>0</v>
      </c>
      <c r="AK78" s="44">
        <f>AK34*AK$52</f>
        <v>8256</v>
      </c>
      <c r="AL78" s="44">
        <f>AL34*AL$52</f>
        <v>9052</v>
      </c>
      <c r="AM78" s="44">
        <f>AM34*AM$52</f>
        <v>9924</v>
      </c>
      <c r="AN78" s="44">
        <f>AN34*AN$52</f>
        <v>10880</v>
      </c>
      <c r="AO78" s="44">
        <f>AO34*AO$52</f>
        <v>11928</v>
      </c>
      <c r="AP78" s="44">
        <f>AP34*AP$52</f>
        <v>13076</v>
      </c>
      <c r="AQ78" s="44">
        <f>AQ34*AQ$52</f>
        <v>14336</v>
      </c>
      <c r="AR78" s="44">
        <f>AR34*AR$52</f>
        <v>15717</v>
      </c>
      <c r="AS78" s="44">
        <f>AS34*AS$52</f>
        <v>17231</v>
      </c>
      <c r="AT78" s="44">
        <f>AT34*AT$52</f>
        <v>18891</v>
      </c>
      <c r="AU78" s="44">
        <f>AU34*AU$52</f>
        <v>20709</v>
      </c>
      <c r="AV78" s="25">
        <f>SUM(X78:AI78)</f>
        <v>0</v>
      </c>
      <c r="AW78" s="25">
        <f>SUM(AJ78:AU78)</f>
        <v>150000</v>
      </c>
      <c r="AX78" s="46">
        <f>AX34*AX$52</f>
        <v>390000</v>
      </c>
      <c r="AY78" s="46">
        <f>AY34*AY$52</f>
        <v>702000</v>
      </c>
      <c r="AZ78" s="46">
        <f>AZ34*AZ$52</f>
        <v>1038960</v>
      </c>
      <c r="BA78" s="24">
        <f>SUM(AV78:AZ78)</f>
        <v>2280960</v>
      </c>
    </row>
    <row r="79">
      <c r="A79" s="7">
        <f>A35</f>
        <v>26</v>
      </c>
      <c r="B79" s="15" t="str">
        <f>B35</f>
        <v>독일</v>
      </c>
      <c r="C79" s="15" t="str">
        <f>C35</f>
        <v>유럽</v>
      </c>
      <c r="D79" s="15" t="str">
        <f>D35</f>
        <v>Armedion(독일 총판)</v>
      </c>
      <c r="E79" s="15" t="str">
        <f>E35</f>
        <v>엘더리</v>
      </c>
      <c r="F79" s="15" t="str">
        <f>F35</f>
        <v>총판</v>
      </c>
      <c r="G79" s="15" t="str">
        <f>G35</f>
        <v>진행 중</v>
      </c>
      <c r="H79" s="15" t="str">
        <f>H35</f>
        <v>B 등록·입찰·협의 단계</v>
      </c>
      <c r="I79" s="15" t="str">
        <f>I35</f>
        <v>DIST</v>
      </c>
      <c r="J79" s="15" t="str">
        <f>J35</f>
        <v>M</v>
      </c>
      <c r="X79" s="44">
        <f>X35*X$52</f>
        <v>0</v>
      </c>
      <c r="Y79" s="44">
        <f>Y35*Y$52</f>
        <v>0</v>
      </c>
      <c r="Z79" s="44">
        <f>Z35*Z$52</f>
        <v>0</v>
      </c>
      <c r="AA79" s="44">
        <f>AA35*AA$52</f>
        <v>0</v>
      </c>
      <c r="AB79" s="44">
        <f>AB35*AB$52</f>
        <v>0</v>
      </c>
      <c r="AC79" s="44">
        <f>AC35*AC$52</f>
        <v>0</v>
      </c>
      <c r="AD79" s="44">
        <f>AD35*AD$52</f>
        <v>0</v>
      </c>
      <c r="AE79" s="44">
        <f>AE35*AE$52</f>
        <v>0</v>
      </c>
      <c r="AF79" s="44">
        <f>AF35*AF$52</f>
        <v>0</v>
      </c>
      <c r="AG79" s="44">
        <f>AG35*AG$52</f>
        <v>0</v>
      </c>
      <c r="AH79" s="44">
        <f>AH35*AH$52</f>
        <v>0</v>
      </c>
      <c r="AI79" s="44">
        <f>AI35*AI$52</f>
        <v>50000</v>
      </c>
      <c r="AJ79" s="44">
        <f>AJ35*AJ$52</f>
        <v>0</v>
      </c>
      <c r="AK79" s="44">
        <f>AK35*AK$52</f>
        <v>0</v>
      </c>
      <c r="AL79" s="44">
        <f>AL35*AL$52</f>
        <v>0</v>
      </c>
      <c r="AM79" s="44">
        <f>AM35*AM$52</f>
        <v>0</v>
      </c>
      <c r="AN79" s="44">
        <f>AN35*AN$52</f>
        <v>13293</v>
      </c>
      <c r="AO79" s="44">
        <f>AO35*AO$52</f>
        <v>14573</v>
      </c>
      <c r="AP79" s="44">
        <f>AP35*AP$52</f>
        <v>15977</v>
      </c>
      <c r="AQ79" s="44">
        <f>AQ35*AQ$52</f>
        <v>17516</v>
      </c>
      <c r="AR79" s="44">
        <f>AR35*AR$52</f>
        <v>19203</v>
      </c>
      <c r="AS79" s="44">
        <f>AS35*AS$52</f>
        <v>21053</v>
      </c>
      <c r="AT79" s="44">
        <f>AT35*AT$52</f>
        <v>23081</v>
      </c>
      <c r="AU79" s="44">
        <f>AU35*AU$52</f>
        <v>25304</v>
      </c>
      <c r="AV79" s="25">
        <f>SUM(X79:AI79)</f>
        <v>50000</v>
      </c>
      <c r="AW79" s="25">
        <f>SUM(AJ79:AU79)</f>
        <v>150000</v>
      </c>
      <c r="AX79" s="46">
        <f>AX35*AX$52</f>
        <v>390000</v>
      </c>
      <c r="AY79" s="46">
        <f>AY35*AY$52</f>
        <v>702000</v>
      </c>
      <c r="AZ79" s="46">
        <f>AZ35*AZ$52</f>
        <v>1038960</v>
      </c>
      <c r="BA79" s="24">
        <f>SUM(AV79:AZ79)</f>
        <v>2330960</v>
      </c>
    </row>
    <row r="80">
      <c r="A80" s="7">
        <f>A36</f>
        <v>27</v>
      </c>
      <c r="B80" s="15" t="str">
        <f>B36</f>
        <v>싱가포르</v>
      </c>
      <c r="C80" s="15" t="str">
        <f>C36</f>
        <v>동남아·APAC</v>
      </c>
      <c r="D80" s="15" t="str">
        <f>D36</f>
        <v>INTEGA(싱가포르·말레이시아·태국)</v>
      </c>
      <c r="E80" s="15" t="str">
        <f>E36</f>
        <v>엘더리</v>
      </c>
      <c r="F80" s="15" t="str">
        <f>F36</f>
        <v>총판</v>
      </c>
      <c r="G80" s="15" t="str">
        <f>G36</f>
        <v>계약</v>
      </c>
      <c r="H80" s="15" t="str">
        <f>H36</f>
        <v>A 계약·기존 거래</v>
      </c>
      <c r="I80" s="15" t="str">
        <f>I36</f>
        <v>DIST</v>
      </c>
      <c r="J80" s="15" t="str">
        <f>J36</f>
        <v>M</v>
      </c>
      <c r="X80" s="44">
        <f>X36*X$52</f>
        <v>12879</v>
      </c>
      <c r="Y80" s="44">
        <f>Y36*Y$52</f>
        <v>0</v>
      </c>
      <c r="Z80" s="44">
        <f>Z36*Z$52</f>
        <v>13042</v>
      </c>
      <c r="AA80" s="44">
        <f>AA36*AA$52</f>
        <v>0</v>
      </c>
      <c r="AB80" s="44">
        <f>AB36*AB$52</f>
        <v>0</v>
      </c>
      <c r="AC80" s="44">
        <f>AC36*AC$52</f>
        <v>0</v>
      </c>
      <c r="AD80" s="44">
        <f>AD36*AD$52</f>
        <v>0</v>
      </c>
      <c r="AE80" s="44">
        <f>AE36*AE$52</f>
        <v>0</v>
      </c>
      <c r="AF80" s="44">
        <f>AF36*AF$52</f>
        <v>0</v>
      </c>
      <c r="AG80" s="44">
        <f>AG36*AG$52</f>
        <v>0</v>
      </c>
      <c r="AH80" s="44">
        <f>AH36*AH$52</f>
        <v>23625</v>
      </c>
      <c r="AI80" s="44">
        <f>AI36*AI$52</f>
        <v>0</v>
      </c>
      <c r="AJ80" s="44">
        <f>AJ36*AJ$52</f>
        <v>0</v>
      </c>
      <c r="AK80" s="44">
        <f>AK36*AK$52</f>
        <v>16513</v>
      </c>
      <c r="AL80" s="44">
        <f>AL36*AL$52</f>
        <v>18103</v>
      </c>
      <c r="AM80" s="44">
        <f>AM36*AM$52</f>
        <v>19847</v>
      </c>
      <c r="AN80" s="44">
        <f>AN36*AN$52</f>
        <v>21759</v>
      </c>
      <c r="AO80" s="44">
        <f>AO36*AO$52</f>
        <v>23855</v>
      </c>
      <c r="AP80" s="44">
        <f>AP36*AP$52</f>
        <v>26153</v>
      </c>
      <c r="AQ80" s="44">
        <f>AQ36*AQ$52</f>
        <v>28672</v>
      </c>
      <c r="AR80" s="44">
        <f>AR36*AR$52</f>
        <v>31434</v>
      </c>
      <c r="AS80" s="44">
        <f>AS36*AS$52</f>
        <v>34462</v>
      </c>
      <c r="AT80" s="44">
        <f>AT36*AT$52</f>
        <v>37781</v>
      </c>
      <c r="AU80" s="44">
        <f>AU36*AU$52</f>
        <v>41421</v>
      </c>
      <c r="AV80" s="25">
        <f>SUM(X80:AI80)</f>
        <v>49546</v>
      </c>
      <c r="AW80" s="25">
        <f>SUM(AJ80:AU80)</f>
        <v>300000</v>
      </c>
      <c r="AX80" s="46">
        <f>AX36*AX$52</f>
        <v>684000</v>
      </c>
      <c r="AY80" s="46">
        <f>AY36*AY$52</f>
        <v>1094400</v>
      </c>
      <c r="AZ80" s="46">
        <f>AZ36*AZ$52</f>
        <v>1532160</v>
      </c>
      <c r="BA80" s="24">
        <f>SUM(AV80:AZ80)</f>
        <v>3660106</v>
      </c>
    </row>
    <row r="81">
      <c r="A81" s="7">
        <f>A37</f>
        <v>28</v>
      </c>
      <c r="B81" s="15" t="str">
        <f>B37</f>
        <v>말레이시아</v>
      </c>
      <c r="C81" s="15" t="str">
        <f>C37</f>
        <v>동남아·APAC</v>
      </c>
      <c r="D81" s="15" t="str">
        <f>D37</f>
        <v>Sunway Sanctuary(말레이시아)</v>
      </c>
      <c r="E81" s="15" t="str">
        <f>E37</f>
        <v>엘더리</v>
      </c>
      <c r="F81" s="15" t="str">
        <f>F37</f>
        <v>기관(직접)</v>
      </c>
      <c r="G81" s="15" t="str">
        <f>G37</f>
        <v>PoC / R&amp;D</v>
      </c>
      <c r="H81" s="15" t="str">
        <f>H37</f>
        <v>B 등록·입찰·협의 단계</v>
      </c>
      <c r="I81" s="15" t="str">
        <f>I37</f>
        <v>RND</v>
      </c>
      <c r="J81" s="15" t="str">
        <f>J37</f>
        <v>M</v>
      </c>
      <c r="X81" s="44">
        <f>X37*X$52</f>
        <v>0</v>
      </c>
      <c r="Y81" s="44">
        <f>Y37*Y$52</f>
        <v>0</v>
      </c>
      <c r="Z81" s="44">
        <f>Z37*Z$52</f>
        <v>0</v>
      </c>
      <c r="AA81" s="44">
        <f>AA37*AA$52</f>
        <v>0</v>
      </c>
      <c r="AB81" s="44">
        <f>AB37*AB$52</f>
        <v>0</v>
      </c>
      <c r="AC81" s="44">
        <f>AC37*AC$52</f>
        <v>0</v>
      </c>
      <c r="AD81" s="44">
        <f>AD37*AD$52</f>
        <v>0</v>
      </c>
      <c r="AE81" s="44">
        <f>AE37*AE$52</f>
        <v>0</v>
      </c>
      <c r="AF81" s="44">
        <f>AF37*AF$52</f>
        <v>0</v>
      </c>
      <c r="AG81" s="44">
        <f>AG37*AG$52</f>
        <v>0</v>
      </c>
      <c r="AH81" s="44">
        <f>AH37*AH$52</f>
        <v>0</v>
      </c>
      <c r="AI81" s="44">
        <f>AI37*AI$52</f>
        <v>0</v>
      </c>
      <c r="AJ81" s="44">
        <f>AJ37*AJ$52</f>
        <v>0</v>
      </c>
      <c r="AK81" s="44">
        <f>AK37*AK$52</f>
        <v>0</v>
      </c>
      <c r="AL81" s="44">
        <f>AL37*AL$52</f>
        <v>0</v>
      </c>
      <c r="AM81" s="44">
        <f>AM37*AM$52</f>
        <v>3739</v>
      </c>
      <c r="AN81" s="44">
        <f>AN37*AN$52</f>
        <v>4100</v>
      </c>
      <c r="AO81" s="44">
        <f>AO37*AO$52</f>
        <v>4494</v>
      </c>
      <c r="AP81" s="44">
        <f>AP37*AP$52</f>
        <v>4927</v>
      </c>
      <c r="AQ81" s="44">
        <f>AQ37*AQ$52</f>
        <v>5402</v>
      </c>
      <c r="AR81" s="44">
        <f>AR37*AR$52</f>
        <v>5922</v>
      </c>
      <c r="AS81" s="44">
        <f>AS37*AS$52</f>
        <v>6493</v>
      </c>
      <c r="AT81" s="44">
        <f>AT37*AT$52</f>
        <v>7118</v>
      </c>
      <c r="AU81" s="44">
        <f>AU37*AU$52</f>
        <v>7805</v>
      </c>
      <c r="AV81" s="25">
        <f>SUM(X81:AI81)</f>
        <v>0</v>
      </c>
      <c r="AW81" s="25">
        <f>SUM(AJ81:AU81)</f>
        <v>50000</v>
      </c>
      <c r="AX81" s="46">
        <f>AX37*AX$52</f>
        <v>210000</v>
      </c>
      <c r="AY81" s="46">
        <f>AY37*AY$52</f>
        <v>420000</v>
      </c>
      <c r="AZ81" s="46">
        <f>AZ37*AZ$52</f>
        <v>588000</v>
      </c>
      <c r="BA81" s="24">
        <f>SUM(AV81:AZ81)</f>
        <v>1268000</v>
      </c>
    </row>
    <row r="82">
      <c r="A82" s="7">
        <f>A38</f>
        <v>29</v>
      </c>
      <c r="B82" s="15" t="str">
        <f>B38</f>
        <v>싱가포르</v>
      </c>
      <c r="C82" s="15" t="str">
        <f>C38</f>
        <v>동남아·APAC</v>
      </c>
      <c r="D82" s="15" t="str">
        <f>D38</f>
        <v>NHG(KTPH·TTSH·Woodlands) 스마트 병동</v>
      </c>
      <c r="E82" s="15" t="str">
        <f>E38</f>
        <v>엘더리</v>
      </c>
      <c r="F82" s="15" t="str">
        <f>F38</f>
        <v>기관(직접)</v>
      </c>
      <c r="G82" s="15" t="str">
        <f>G38</f>
        <v>단독입찰 제안(LOA 대기)</v>
      </c>
      <c r="H82" s="15" t="str">
        <f>H38</f>
        <v>B 등록·입찰·협의 단계</v>
      </c>
      <c r="I82" s="15" t="str">
        <f>I38</f>
        <v>HWPROJ</v>
      </c>
      <c r="J82" s="15" t="str">
        <f>J38</f>
        <v>M</v>
      </c>
      <c r="X82" s="44">
        <f>X38*X$52</f>
        <v>0</v>
      </c>
      <c r="Y82" s="44">
        <f>Y38*Y$52</f>
        <v>0</v>
      </c>
      <c r="Z82" s="44">
        <f>Z38*Z$52</f>
        <v>0</v>
      </c>
      <c r="AA82" s="44">
        <f>AA38*AA$52</f>
        <v>0</v>
      </c>
      <c r="AB82" s="44">
        <f>AB38*AB$52</f>
        <v>0</v>
      </c>
      <c r="AC82" s="44">
        <f>AC38*AC$52</f>
        <v>0</v>
      </c>
      <c r="AD82" s="44">
        <f>AD38*AD$52</f>
        <v>0</v>
      </c>
      <c r="AE82" s="44">
        <f>AE38*AE$52</f>
        <v>0</v>
      </c>
      <c r="AF82" s="44">
        <f>AF38*AF$52</f>
        <v>0</v>
      </c>
      <c r="AG82" s="44">
        <f>AG38*AG$52</f>
        <v>0</v>
      </c>
      <c r="AH82" s="44">
        <f>AH38*AH$52</f>
        <v>0</v>
      </c>
      <c r="AI82" s="44">
        <f>AI38*AI$52</f>
        <v>188957</v>
      </c>
      <c r="AJ82" s="44">
        <f>AJ38*AJ$52</f>
        <v>30000</v>
      </c>
      <c r="AK82" s="44">
        <f>AK38*AK$52</f>
        <v>30000</v>
      </c>
      <c r="AL82" s="44">
        <f>AL38*AL$52</f>
        <v>30000</v>
      </c>
      <c r="AM82" s="44">
        <f>AM38*AM$52</f>
        <v>30000</v>
      </c>
      <c r="AN82" s="44">
        <f>AN38*AN$52</f>
        <v>30000</v>
      </c>
      <c r="AO82" s="44">
        <f>AO38*AO$52</f>
        <v>30000</v>
      </c>
      <c r="AP82" s="44">
        <f>AP38*AP$52</f>
        <v>30000</v>
      </c>
      <c r="AQ82" s="44">
        <f>AQ38*AQ$52</f>
        <v>30000</v>
      </c>
      <c r="AR82" s="44">
        <f>AR38*AR$52</f>
        <v>30000</v>
      </c>
      <c r="AS82" s="44">
        <f>AS38*AS$52</f>
        <v>30000</v>
      </c>
      <c r="AT82" s="44">
        <f>AT38*AT$52</f>
        <v>50000</v>
      </c>
      <c r="AU82" s="44">
        <f>AU38*AU$52</f>
        <v>50000</v>
      </c>
      <c r="AV82" s="25">
        <f>SUM(X82:AI82)</f>
        <v>188957</v>
      </c>
      <c r="AW82" s="25">
        <f>SUM(AJ82:AU82)</f>
        <v>400000</v>
      </c>
      <c r="AX82" s="46">
        <f>AX38*AX$52</f>
        <v>720000</v>
      </c>
      <c r="AY82" s="46">
        <f>AY38*AY$52</f>
        <v>1008000</v>
      </c>
      <c r="AZ82" s="46">
        <f>AZ38*AZ$52</f>
        <v>1330560</v>
      </c>
      <c r="BA82" s="24">
        <f>SUM(AV82:AZ82)</f>
        <v>3647517</v>
      </c>
    </row>
    <row r="83">
      <c r="A83" s="7">
        <f>A39</f>
        <v>30</v>
      </c>
      <c r="B83" s="15" t="str">
        <f>B39</f>
        <v>싱가포르</v>
      </c>
      <c r="C83" s="15" t="str">
        <f>C39</f>
        <v>동남아·APAC</v>
      </c>
      <c r="D83" s="15" t="str">
        <f>D39</f>
        <v>IMH 스마트 욕창 케어 R&amp;D</v>
      </c>
      <c r="E83" s="15" t="str">
        <f>E39</f>
        <v>엘더리</v>
      </c>
      <c r="F83" s="15" t="str">
        <f>F39</f>
        <v>기관(직접)</v>
      </c>
      <c r="G83" s="15" t="str">
        <f>G39</f>
        <v>계약</v>
      </c>
      <c r="H83" s="15" t="str">
        <f>H39</f>
        <v>A 계약·기존 거래</v>
      </c>
      <c r="I83" s="15" t="str">
        <f>I39</f>
        <v>RND</v>
      </c>
      <c r="J83" s="15" t="str">
        <f>J39</f>
        <v>M</v>
      </c>
      <c r="X83" s="44">
        <f>X39*X$52</f>
        <v>0</v>
      </c>
      <c r="Y83" s="44">
        <f>Y39*Y$52</f>
        <v>0</v>
      </c>
      <c r="Z83" s="44">
        <f>Z39*Z$52</f>
        <v>0</v>
      </c>
      <c r="AA83" s="44">
        <f>AA39*AA$52</f>
        <v>0</v>
      </c>
      <c r="AB83" s="44">
        <f>AB39*AB$52</f>
        <v>0</v>
      </c>
      <c r="AC83" s="44">
        <f>AC39*AC$52</f>
        <v>0</v>
      </c>
      <c r="AD83" s="44">
        <f>AD39*AD$52</f>
        <v>0</v>
      </c>
      <c r="AE83" s="44">
        <f>AE39*AE$52</f>
        <v>0</v>
      </c>
      <c r="AF83" s="44">
        <f>AF39*AF$52</f>
        <v>0</v>
      </c>
      <c r="AG83" s="44">
        <f>AG39*AG$52</f>
        <v>23625</v>
      </c>
      <c r="AH83" s="44">
        <f>AH39*AH$52</f>
        <v>23625</v>
      </c>
      <c r="AI83" s="44">
        <f>AI39*AI$52</f>
        <v>0</v>
      </c>
      <c r="AJ83" s="44">
        <f>AJ39*AJ$52</f>
        <v>0</v>
      </c>
      <c r="AK83" s="44">
        <f>AK39*AK$52</f>
        <v>0</v>
      </c>
      <c r="AL83" s="44">
        <f>AL39*AL$52</f>
        <v>11495</v>
      </c>
      <c r="AM83" s="44">
        <f>AM39*AM$52</f>
        <v>12602</v>
      </c>
      <c r="AN83" s="44">
        <f>AN39*AN$52</f>
        <v>13816</v>
      </c>
      <c r="AO83" s="44">
        <f>AO39*AO$52</f>
        <v>15147</v>
      </c>
      <c r="AP83" s="44">
        <f>AP39*AP$52</f>
        <v>16606</v>
      </c>
      <c r="AQ83" s="44">
        <f>AQ39*AQ$52</f>
        <v>18205</v>
      </c>
      <c r="AR83" s="44">
        <f>AR39*AR$52</f>
        <v>19959</v>
      </c>
      <c r="AS83" s="44">
        <f>AS39*AS$52</f>
        <v>21881</v>
      </c>
      <c r="AT83" s="44">
        <f>AT39*AT$52</f>
        <v>23989</v>
      </c>
      <c r="AU83" s="44">
        <f>AU39*AU$52</f>
        <v>26300</v>
      </c>
      <c r="AV83" s="25">
        <f>SUM(X83:AI83)</f>
        <v>47250</v>
      </c>
      <c r="AW83" s="25">
        <f>SUM(AJ83:AU83)</f>
        <v>180000</v>
      </c>
      <c r="AX83" s="46">
        <f>AX39*AX$52</f>
        <v>180000</v>
      </c>
      <c r="AY83" s="46">
        <f>AY39*AY$52</f>
        <v>180000</v>
      </c>
      <c r="AZ83" s="46">
        <f>AZ39*AZ$52</f>
        <v>180000</v>
      </c>
      <c r="BA83" s="24">
        <f>SUM(AV83:AZ83)</f>
        <v>767250</v>
      </c>
    </row>
    <row r="84">
      <c r="A84" s="7">
        <f>A40</f>
        <v>31</v>
      </c>
      <c r="B84" s="15" t="str">
        <f>B40</f>
        <v>호주</v>
      </c>
      <c r="C84" s="15" t="str">
        <f>C40</f>
        <v>동남아·APAC</v>
      </c>
      <c r="D84" s="15" t="str">
        <f>D40</f>
        <v>Healthbeats(호주·뉴질랜드)</v>
      </c>
      <c r="E84" s="15" t="str">
        <f>E40</f>
        <v>엘더리</v>
      </c>
      <c r="F84" s="15" t="str">
        <f>F40</f>
        <v>총판</v>
      </c>
      <c r="G84" s="15" t="str">
        <f>G40</f>
        <v>계약</v>
      </c>
      <c r="H84" s="15" t="str">
        <f>H40</f>
        <v>A 계약·기존 거래</v>
      </c>
      <c r="I84" s="15" t="str">
        <f>I40</f>
        <v>DIST</v>
      </c>
      <c r="J84" s="15" t="str">
        <f>J40</f>
        <v>M</v>
      </c>
      <c r="X84" s="44">
        <f>X40*X$52</f>
        <v>0</v>
      </c>
      <c r="Y84" s="44">
        <f>Y40*Y$52</f>
        <v>0</v>
      </c>
      <c r="Z84" s="44">
        <f>Z40*Z$52</f>
        <v>0</v>
      </c>
      <c r="AA84" s="44">
        <f>AA40*AA$52</f>
        <v>0</v>
      </c>
      <c r="AB84" s="44">
        <f>AB40*AB$52</f>
        <v>0</v>
      </c>
      <c r="AC84" s="44">
        <f>AC40*AC$52</f>
        <v>0</v>
      </c>
      <c r="AD84" s="44">
        <f>AD40*AD$52</f>
        <v>0</v>
      </c>
      <c r="AE84" s="44">
        <f>AE40*AE$52</f>
        <v>0</v>
      </c>
      <c r="AF84" s="44">
        <f>AF40*AF$52</f>
        <v>1903</v>
      </c>
      <c r="AG84" s="44">
        <f>AG40*AG$52</f>
        <v>0</v>
      </c>
      <c r="AH84" s="44">
        <f>AH40*AH$52</f>
        <v>0</v>
      </c>
      <c r="AI84" s="44">
        <f>AI40*AI$52</f>
        <v>0</v>
      </c>
      <c r="AJ84" s="44">
        <f>AJ40*AJ$52</f>
        <v>0</v>
      </c>
      <c r="AK84" s="44">
        <f>AK40*AK$52</f>
        <v>0</v>
      </c>
      <c r="AL84" s="44">
        <f>AL40*AL$52</f>
        <v>0</v>
      </c>
      <c r="AM84" s="44">
        <f>AM40*AM$52</f>
        <v>22436</v>
      </c>
      <c r="AN84" s="44">
        <f>AN40*AN$52</f>
        <v>24597</v>
      </c>
      <c r="AO84" s="44">
        <f>AO40*AO$52</f>
        <v>26967</v>
      </c>
      <c r="AP84" s="44">
        <f>AP40*AP$52</f>
        <v>29564</v>
      </c>
      <c r="AQ84" s="44">
        <f>AQ40*AQ$52</f>
        <v>32412</v>
      </c>
      <c r="AR84" s="44">
        <f>AR40*AR$52</f>
        <v>35534</v>
      </c>
      <c r="AS84" s="44">
        <f>AS40*AS$52</f>
        <v>38957</v>
      </c>
      <c r="AT84" s="44">
        <f>AT40*AT$52</f>
        <v>42709</v>
      </c>
      <c r="AU84" s="44">
        <f>AU40*AU$52</f>
        <v>46824</v>
      </c>
      <c r="AV84" s="25">
        <f>SUM(X84:AI84)</f>
        <v>1903</v>
      </c>
      <c r="AW84" s="25">
        <f>SUM(AJ84:AU84)</f>
        <v>300000</v>
      </c>
      <c r="AX84" s="46">
        <f>AX40*AX$52</f>
        <v>780000</v>
      </c>
      <c r="AY84" s="46">
        <f>AY40*AY$52</f>
        <v>1404000</v>
      </c>
      <c r="AZ84" s="46">
        <f>AZ40*AZ$52</f>
        <v>2077920</v>
      </c>
      <c r="BA84" s="24">
        <f>SUM(AV84:AZ84)</f>
        <v>4563823</v>
      </c>
    </row>
    <row r="85">
      <c r="A85" s="7">
        <f>A41</f>
        <v>32</v>
      </c>
      <c r="B85" s="15" t="str">
        <f>B41</f>
        <v>일본</v>
      </c>
      <c r="C85" s="15" t="str">
        <f>C41</f>
        <v>일본</v>
      </c>
      <c r="D85" s="15" t="str">
        <f>D41</f>
        <v>일본 신규 시설·재가 채널(하트키움·TAIS 외 직접 도입)</v>
      </c>
      <c r="E85" s="15" t="str">
        <f>E41</f>
        <v>엘더리</v>
      </c>
      <c r="F85" s="15" t="str">
        <f>F41</f>
        <v>신규 파이프라인</v>
      </c>
      <c r="G85" s="15" t="str">
        <f>G41</f>
        <v>신규</v>
      </c>
      <c r="H85" s="15" t="str">
        <f>H41</f>
        <v>C 신규 파이프라인(미확정)</v>
      </c>
      <c r="I85" s="15" t="str">
        <f>I41</f>
        <v>COH</v>
      </c>
      <c r="J85" s="15" t="str">
        <f>J41</f>
        <v>C</v>
      </c>
      <c r="X85" s="44">
        <f>X41*X$52</f>
        <v>0</v>
      </c>
      <c r="Y85" s="44">
        <f>Y41*Y$52</f>
        <v>0</v>
      </c>
      <c r="Z85" s="44">
        <f>Z41*Z$52</f>
        <v>0</v>
      </c>
      <c r="AA85" s="44">
        <f>AA41*AA$52</f>
        <v>0</v>
      </c>
      <c r="AB85" s="44">
        <f>AB41*AB$52</f>
        <v>0</v>
      </c>
      <c r="AC85" s="44">
        <f>AC41*AC$52</f>
        <v>0</v>
      </c>
      <c r="AD85" s="44">
        <f>AD41*AD$52</f>
        <v>0</v>
      </c>
      <c r="AE85" s="44">
        <f>AE41*AE$52</f>
        <v>0</v>
      </c>
      <c r="AF85" s="44">
        <f>AF41*AF$52</f>
        <v>0</v>
      </c>
      <c r="AG85" s="44">
        <f>AG41*AG$52</f>
        <v>0</v>
      </c>
      <c r="AH85" s="44">
        <f>AH41*AH$52</f>
        <v>0</v>
      </c>
      <c r="AI85" s="44">
        <f>AI41*AI$52</f>
        <v>0</v>
      </c>
      <c r="AJ85" s="44">
        <f>AJ41*AJ$52</f>
        <v>0</v>
      </c>
      <c r="AK85" s="44">
        <f>AK41*AK$52</f>
        <v>0</v>
      </c>
      <c r="AL85" s="44">
        <f>AL41*AL$52</f>
        <v>0</v>
      </c>
      <c r="AM85" s="44">
        <f>AM41*AM$52</f>
        <v>0</v>
      </c>
      <c r="AN85" s="44">
        <f>AN41*AN$52</f>
        <v>0</v>
      </c>
      <c r="AO85" s="44">
        <f>AO41*AO$52</f>
        <v>0</v>
      </c>
      <c r="AP85" s="44">
        <f>AP41*AP$52</f>
        <v>0</v>
      </c>
      <c r="AQ85" s="44">
        <f>AQ41*AQ$52</f>
        <v>0</v>
      </c>
      <c r="AR85" s="44">
        <f>AR41*AR$52</f>
        <v>0</v>
      </c>
      <c r="AS85" s="44">
        <f>AS41*AS$52</f>
        <v>0</v>
      </c>
      <c r="AT85" s="44">
        <f>AT41*AT$52</f>
        <v>0</v>
      </c>
      <c r="AU85" s="44">
        <f>AU41*AU$52</f>
        <v>0</v>
      </c>
      <c r="AV85" s="25">
        <f>SUM(X85:AI85)</f>
        <v>0</v>
      </c>
      <c r="AW85" s="25">
        <f>SUM(AJ85:AU85)</f>
        <v>0</v>
      </c>
      <c r="AX85" s="46">
        <f>AX41*AX$52</f>
        <v>7327668</v>
      </c>
      <c r="AY85" s="46">
        <f>AY41*AY$52</f>
        <v>25659507.8459796</v>
      </c>
      <c r="AZ85" s="46">
        <f>AZ41*AZ$52</f>
        <v>55068542.2095676</v>
      </c>
      <c r="BA85" s="24">
        <f>SUM(AV85:AZ85)</f>
        <v>88055718.0555472</v>
      </c>
    </row>
    <row r="86">
      <c r="A86" s="7">
        <f>A42</f>
        <v>33</v>
      </c>
      <c r="B86" s="15" t="str">
        <f>B42</f>
        <v>싱가포르·말레이시아 외</v>
      </c>
      <c r="C86" s="15" t="str">
        <f>C42</f>
        <v>동남아·APAC</v>
      </c>
      <c r="D86" s="15" t="str">
        <f>D42</f>
        <v>동남아 병원·요양그룹 확대(IHH·NTUC·SingHealth·Econ·ACG 전환)</v>
      </c>
      <c r="E86" s="15" t="str">
        <f>E42</f>
        <v>엘더리</v>
      </c>
      <c r="F86" s="15" t="str">
        <f>F42</f>
        <v>신규 파이프라인</v>
      </c>
      <c r="G86" s="15" t="str">
        <f>G42</f>
        <v>신규</v>
      </c>
      <c r="H86" s="15" t="str">
        <f>H42</f>
        <v>C 신규 파이프라인(미확정)</v>
      </c>
      <c r="I86" s="15" t="str">
        <f>I42</f>
        <v>COH</v>
      </c>
      <c r="J86" s="15" t="str">
        <f>J42</f>
        <v>C</v>
      </c>
      <c r="X86" s="44">
        <f>X42*X$52</f>
        <v>0</v>
      </c>
      <c r="Y86" s="44">
        <f>Y42*Y$52</f>
        <v>0</v>
      </c>
      <c r="Z86" s="44">
        <f>Z42*Z$52</f>
        <v>0</v>
      </c>
      <c r="AA86" s="44">
        <f>AA42*AA$52</f>
        <v>0</v>
      </c>
      <c r="AB86" s="44">
        <f>AB42*AB$52</f>
        <v>0</v>
      </c>
      <c r="AC86" s="44">
        <f>AC42*AC$52</f>
        <v>0</v>
      </c>
      <c r="AD86" s="44">
        <f>AD42*AD$52</f>
        <v>0</v>
      </c>
      <c r="AE86" s="44">
        <f>AE42*AE$52</f>
        <v>0</v>
      </c>
      <c r="AF86" s="44">
        <f>AF42*AF$52</f>
        <v>0</v>
      </c>
      <c r="AG86" s="44">
        <f>AG42*AG$52</f>
        <v>0</v>
      </c>
      <c r="AH86" s="44">
        <f>AH42*AH$52</f>
        <v>0</v>
      </c>
      <c r="AI86" s="44">
        <f>AI42*AI$52</f>
        <v>0</v>
      </c>
      <c r="AJ86" s="44">
        <f>AJ42*AJ$52</f>
        <v>0</v>
      </c>
      <c r="AK86" s="44">
        <f>AK42*AK$52</f>
        <v>0</v>
      </c>
      <c r="AL86" s="44">
        <f>AL42*AL$52</f>
        <v>16240</v>
      </c>
      <c r="AM86" s="44">
        <f>AM42*AM$52</f>
        <v>16240</v>
      </c>
      <c r="AN86" s="44">
        <f>AN42*AN$52</f>
        <v>16240</v>
      </c>
      <c r="AO86" s="44">
        <f>AO42*AO$52</f>
        <v>16240</v>
      </c>
      <c r="AP86" s="44">
        <f>AP42*AP$52</f>
        <v>16240</v>
      </c>
      <c r="AQ86" s="44">
        <f>AQ42*AQ$52</f>
        <v>16240</v>
      </c>
      <c r="AR86" s="44">
        <f>AR42*AR$52</f>
        <v>16240</v>
      </c>
      <c r="AS86" s="44">
        <f>AS42*AS$52</f>
        <v>16240</v>
      </c>
      <c r="AT86" s="44">
        <f>AT42*AT$52</f>
        <v>16240</v>
      </c>
      <c r="AU86" s="44">
        <f>AU42*AU$52</f>
        <v>16240</v>
      </c>
      <c r="AV86" s="25">
        <f>SUM(X86:AI86)</f>
        <v>0</v>
      </c>
      <c r="AW86" s="25">
        <f>SUM(AJ86:AU86)</f>
        <v>162400</v>
      </c>
      <c r="AX86" s="46">
        <f>AX42*AX$52</f>
        <v>237185.516930022</v>
      </c>
      <c r="AY86" s="46">
        <f>AY42*AY$52</f>
        <v>1332035.26160815</v>
      </c>
      <c r="AZ86" s="46">
        <f>AZ42*AZ$52</f>
        <v>6720808.14432375</v>
      </c>
      <c r="BA86" s="24">
        <f>SUM(AV86:AZ86)</f>
        <v>8452428.92286193</v>
      </c>
    </row>
    <row r="87">
      <c r="A87" s="7">
        <f>A43</f>
        <v>34</v>
      </c>
      <c r="B87" s="15" t="str">
        <f>B43</f>
        <v>유럽</v>
      </c>
      <c r="C87" s="15" t="str">
        <f>C43</f>
        <v>유럽</v>
      </c>
      <c r="D87" s="15" t="str">
        <f>D43</f>
        <v>유럽 총판 확대(NL·DE·PL·PT·북유럽)</v>
      </c>
      <c r="E87" s="15" t="str">
        <f>E43</f>
        <v>엘더리</v>
      </c>
      <c r="F87" s="15" t="str">
        <f>F43</f>
        <v>신규 파이프라인</v>
      </c>
      <c r="G87" s="15" t="str">
        <f>G43</f>
        <v>신규</v>
      </c>
      <c r="H87" s="15" t="str">
        <f>H43</f>
        <v>C 신규 파이프라인(미확정)</v>
      </c>
      <c r="I87" s="15" t="str">
        <f>I43</f>
        <v>COH</v>
      </c>
      <c r="J87" s="15" t="str">
        <f>J43</f>
        <v>C</v>
      </c>
      <c r="X87" s="44">
        <f>X43*X$52</f>
        <v>0</v>
      </c>
      <c r="Y87" s="44">
        <f>Y43*Y$52</f>
        <v>0</v>
      </c>
      <c r="Z87" s="44">
        <f>Z43*Z$52</f>
        <v>0</v>
      </c>
      <c r="AA87" s="44">
        <f>AA43*AA$52</f>
        <v>0</v>
      </c>
      <c r="AB87" s="44">
        <f>AB43*AB$52</f>
        <v>0</v>
      </c>
      <c r="AC87" s="44">
        <f>AC43*AC$52</f>
        <v>0</v>
      </c>
      <c r="AD87" s="44">
        <f>AD43*AD$52</f>
        <v>0</v>
      </c>
      <c r="AE87" s="44">
        <f>AE43*AE$52</f>
        <v>0</v>
      </c>
      <c r="AF87" s="44">
        <f>AF43*AF$52</f>
        <v>0</v>
      </c>
      <c r="AG87" s="44">
        <f>AG43*AG$52</f>
        <v>0</v>
      </c>
      <c r="AH87" s="44">
        <f>AH43*AH$52</f>
        <v>0</v>
      </c>
      <c r="AI87" s="44">
        <f>AI43*AI$52</f>
        <v>0</v>
      </c>
      <c r="AJ87" s="44">
        <f>AJ43*AJ$52</f>
        <v>16240</v>
      </c>
      <c r="AK87" s="44">
        <f>AK43*AK$52</f>
        <v>16240</v>
      </c>
      <c r="AL87" s="44">
        <f>AL43*AL$52</f>
        <v>16240</v>
      </c>
      <c r="AM87" s="44">
        <f>AM43*AM$52</f>
        <v>16240</v>
      </c>
      <c r="AN87" s="44">
        <f>AN43*AN$52</f>
        <v>32480</v>
      </c>
      <c r="AO87" s="44">
        <f>AO43*AO$52</f>
        <v>32480</v>
      </c>
      <c r="AP87" s="44">
        <f>AP43*AP$52</f>
        <v>32480</v>
      </c>
      <c r="AQ87" s="44">
        <f>AQ43*AQ$52</f>
        <v>32480</v>
      </c>
      <c r="AR87" s="44">
        <f>AR43*AR$52</f>
        <v>48720</v>
      </c>
      <c r="AS87" s="44">
        <f>AS43*AS$52</f>
        <v>48720</v>
      </c>
      <c r="AT87" s="44">
        <f>AT43*AT$52</f>
        <v>48720</v>
      </c>
      <c r="AU87" s="44">
        <f>AU43*AU$52</f>
        <v>48720</v>
      </c>
      <c r="AV87" s="25">
        <f>SUM(X87:AI87)</f>
        <v>0</v>
      </c>
      <c r="AW87" s="25">
        <f>SUM(AJ87:AU87)</f>
        <v>389760</v>
      </c>
      <c r="AX87" s="46">
        <f>AX43*AX$52</f>
        <v>345892.171557562</v>
      </c>
      <c r="AY87" s="46">
        <f>AY43*AY$52</f>
        <v>4183124.45300113</v>
      </c>
      <c r="AZ87" s="46">
        <f>AZ43*AZ$52</f>
        <v>9968344.40250479</v>
      </c>
      <c r="BA87" s="24">
        <f>SUM(AV87:AZ87)</f>
        <v>14887121.0270635</v>
      </c>
    </row>
    <row r="88">
      <c r="A88" s="7">
        <f>A44</f>
        <v>35</v>
      </c>
      <c r="B88" s="15" t="str">
        <f>B44</f>
        <v>미국</v>
      </c>
      <c r="C88" s="15" t="str">
        <f>C44</f>
        <v>미국</v>
      </c>
      <c r="D88" s="15" t="str">
        <f>D44</f>
        <v>미국 의료유통 채널(Shelter Device PoC → 2029 유통 진입)</v>
      </c>
      <c r="E88" s="15" t="str">
        <f>E44</f>
        <v>엘더리</v>
      </c>
      <c r="F88" s="15" t="str">
        <f>F44</f>
        <v>신규 파이프라인</v>
      </c>
      <c r="G88" s="15" t="str">
        <f>G44</f>
        <v>신규</v>
      </c>
      <c r="H88" s="15" t="str">
        <f>H44</f>
        <v>C 신규 파이프라인(미확정)</v>
      </c>
      <c r="I88" s="15" t="str">
        <f>I44</f>
        <v>COH</v>
      </c>
      <c r="J88" s="15" t="str">
        <f>J44</f>
        <v>C</v>
      </c>
      <c r="X88" s="44">
        <f>X44*X$52</f>
        <v>0</v>
      </c>
      <c r="Y88" s="44">
        <f>Y44*Y$52</f>
        <v>0</v>
      </c>
      <c r="Z88" s="44">
        <f>Z44*Z$52</f>
        <v>0</v>
      </c>
      <c r="AA88" s="44">
        <f>AA44*AA$52</f>
        <v>0</v>
      </c>
      <c r="AB88" s="44">
        <f>AB44*AB$52</f>
        <v>0</v>
      </c>
      <c r="AC88" s="44">
        <f>AC44*AC$52</f>
        <v>0</v>
      </c>
      <c r="AD88" s="44">
        <f>AD44*AD$52</f>
        <v>0</v>
      </c>
      <c r="AE88" s="44">
        <f>AE44*AE$52</f>
        <v>0</v>
      </c>
      <c r="AF88" s="44">
        <f>AF44*AF$52</f>
        <v>0</v>
      </c>
      <c r="AG88" s="44">
        <f>AG44*AG$52</f>
        <v>0</v>
      </c>
      <c r="AH88" s="44">
        <f>AH44*AH$52</f>
        <v>0</v>
      </c>
      <c r="AI88" s="44">
        <f>AI44*AI$52</f>
        <v>0</v>
      </c>
      <c r="AJ88" s="44">
        <f>AJ44*AJ$52</f>
        <v>0</v>
      </c>
      <c r="AK88" s="44">
        <f>AK44*AK$52</f>
        <v>0</v>
      </c>
      <c r="AL88" s="44">
        <f>AL44*AL$52</f>
        <v>16240</v>
      </c>
      <c r="AM88" s="44">
        <f>AM44*AM$52</f>
        <v>16240</v>
      </c>
      <c r="AN88" s="44">
        <f>AN44*AN$52</f>
        <v>16240</v>
      </c>
      <c r="AO88" s="44">
        <f>AO44*AO$52</f>
        <v>16240</v>
      </c>
      <c r="AP88" s="44">
        <f>AP44*AP$52</f>
        <v>16240</v>
      </c>
      <c r="AQ88" s="44">
        <f>AQ44*AQ$52</f>
        <v>16240</v>
      </c>
      <c r="AR88" s="44">
        <f>AR44*AR$52</f>
        <v>16240</v>
      </c>
      <c r="AS88" s="44">
        <f>AS44*AS$52</f>
        <v>16240</v>
      </c>
      <c r="AT88" s="44">
        <f>AT44*AT$52</f>
        <v>16240</v>
      </c>
      <c r="AU88" s="44">
        <f>AU44*AU$52</f>
        <v>16240</v>
      </c>
      <c r="AV88" s="25">
        <f>SUM(X88:AI88)</f>
        <v>0</v>
      </c>
      <c r="AW88" s="25">
        <f>SUM(AJ88:AU88)</f>
        <v>162400</v>
      </c>
      <c r="AX88" s="46">
        <f>AX44*AX$52</f>
        <v>3707790.31151242</v>
      </c>
      <c r="AY88" s="46">
        <f>AY44*AY$52</f>
        <v>4676528.4394111</v>
      </c>
      <c r="AZ88" s="46">
        <f>AZ44*AZ$52</f>
        <v>35290453.6916038</v>
      </c>
      <c r="BA88" s="24">
        <f>SUM(AV88:AZ88)</f>
        <v>43837172.4425274</v>
      </c>
    </row>
    <row r="89">
      <c r="A89" s="7">
        <f>A45</f>
        <v>36</v>
      </c>
      <c r="B89" s="15" t="str">
        <f>B45</f>
        <v>글로벌</v>
      </c>
      <c r="C89" s="15" t="str">
        <f>C45</f>
        <v>글로벌(삼성채널)</v>
      </c>
      <c r="D89" s="15" t="str">
        <f>D45</f>
        <v>삼성 글로벌 채널(B2B 오퍼링 번들·시니어 모바일 앱)</v>
      </c>
      <c r="E89" s="15" t="str">
        <f>E45</f>
        <v>엘더리</v>
      </c>
      <c r="F89" s="15" t="str">
        <f>F45</f>
        <v>파트너</v>
      </c>
      <c r="G89" s="15" t="str">
        <f>G45</f>
        <v>신규</v>
      </c>
      <c r="H89" s="15" t="str">
        <f>H45</f>
        <v>C 신규 파이프라인(미확정)</v>
      </c>
      <c r="I89" s="15" t="str">
        <f>I45</f>
        <v>COH</v>
      </c>
      <c r="J89" s="15" t="str">
        <f>J45</f>
        <v>S</v>
      </c>
      <c r="X89" s="44">
        <f>X45*X$52</f>
        <v>0</v>
      </c>
      <c r="Y89" s="44">
        <f>Y45*Y$52</f>
        <v>0</v>
      </c>
      <c r="Z89" s="44">
        <f>Z45*Z$52</f>
        <v>0</v>
      </c>
      <c r="AA89" s="44">
        <f>AA45*AA$52</f>
        <v>0</v>
      </c>
      <c r="AB89" s="44">
        <f>AB45*AB$52</f>
        <v>0</v>
      </c>
      <c r="AC89" s="44">
        <f>AC45*AC$52</f>
        <v>0</v>
      </c>
      <c r="AD89" s="44">
        <f>AD45*AD$52</f>
        <v>0</v>
      </c>
      <c r="AE89" s="44">
        <f>AE45*AE$52</f>
        <v>0</v>
      </c>
      <c r="AF89" s="44">
        <f>AF45*AF$52</f>
        <v>0</v>
      </c>
      <c r="AG89" s="44">
        <f>AG45*AG$52</f>
        <v>0</v>
      </c>
      <c r="AH89" s="44">
        <f>AH45*AH$52</f>
        <v>0</v>
      </c>
      <c r="AI89" s="44">
        <f>AI45*AI$52</f>
        <v>0</v>
      </c>
      <c r="AJ89" s="44">
        <f>AJ45*AJ$52</f>
        <v>8120</v>
      </c>
      <c r="AK89" s="44">
        <f>AK45*AK$52</f>
        <v>8120</v>
      </c>
      <c r="AL89" s="44">
        <f>AL45*AL$52</f>
        <v>8120</v>
      </c>
      <c r="AM89" s="44">
        <f>AM45*AM$52</f>
        <v>8120</v>
      </c>
      <c r="AN89" s="44">
        <f>AN45*AN$52</f>
        <v>8120</v>
      </c>
      <c r="AO89" s="44">
        <f>AO45*AO$52</f>
        <v>8120</v>
      </c>
      <c r="AP89" s="44">
        <f>AP45*AP$52</f>
        <v>8120</v>
      </c>
      <c r="AQ89" s="44">
        <f>AQ45*AQ$52</f>
        <v>8120</v>
      </c>
      <c r="AR89" s="44">
        <f>AR45*AR$52</f>
        <v>8120</v>
      </c>
      <c r="AS89" s="44">
        <f>AS45*AS$52</f>
        <v>8120</v>
      </c>
      <c r="AT89" s="44">
        <f>AT45*AT$52</f>
        <v>8120</v>
      </c>
      <c r="AU89" s="44">
        <f>AU45*AU$52</f>
        <v>8120</v>
      </c>
      <c r="AV89" s="25">
        <f>SUM(X89:AI89)</f>
        <v>0</v>
      </c>
      <c r="AW89" s="25">
        <f>SUM(AJ89:AU89)</f>
        <v>97440</v>
      </c>
      <c r="AX89" s="46">
        <f>AX45*AX$52</f>
        <v>2640000</v>
      </c>
      <c r="AY89" s="46">
        <f>AY45*AY$52</f>
        <v>4200000.00000001</v>
      </c>
      <c r="AZ89" s="46">
        <f>AZ45*AZ$52</f>
        <v>7800000</v>
      </c>
      <c r="BA89" s="24">
        <f>SUM(AV89:AZ89)</f>
        <v>14737440</v>
      </c>
    </row>
    <row r="90">
      <c r="D90" s="12" t="inlineStr">
        <is>
          <t>B 합계(선택 시나리오)</t>
        </is>
      </c>
      <c r="X90" s="28">
        <f>SUM(X54:X89)</f>
        <v>47067</v>
      </c>
      <c r="Y90" s="28">
        <f>SUM(Y54:Y89)</f>
        <v>36140</v>
      </c>
      <c r="Z90" s="28">
        <f>SUM(Z54:Z89)</f>
        <v>56454</v>
      </c>
      <c r="AA90" s="28">
        <f>SUM(AA54:AA89)</f>
        <v>10935</v>
      </c>
      <c r="AB90" s="28">
        <f>SUM(AB54:AB89)</f>
        <v>22317</v>
      </c>
      <c r="AC90" s="28">
        <f>SUM(AC54:AC89)</f>
        <v>51453</v>
      </c>
      <c r="AD90" s="28">
        <f>SUM(AD54:AD89)</f>
        <v>13314</v>
      </c>
      <c r="AE90" s="28">
        <f>SUM(AE54:AE89)</f>
        <v>7926</v>
      </c>
      <c r="AF90" s="28">
        <f>SUM(AF54:AF89)</f>
        <v>40729</v>
      </c>
      <c r="AG90" s="28">
        <f>SUM(AG54:AG89)</f>
        <v>178325</v>
      </c>
      <c r="AH90" s="28">
        <f>SUM(AH54:AH89)</f>
        <v>243920</v>
      </c>
      <c r="AI90" s="28">
        <f>SUM(AI54:AI89)</f>
        <v>492637</v>
      </c>
      <c r="AJ90" s="28">
        <f>SUM(AJ54:AJ89)</f>
        <v>488011</v>
      </c>
      <c r="AK90" s="28">
        <f>SUM(AK54:AK89)</f>
        <v>518130</v>
      </c>
      <c r="AL90" s="28">
        <f>SUM(AL54:AL89)</f>
        <v>642594</v>
      </c>
      <c r="AM90" s="28">
        <f>SUM(AM54:AM89)</f>
        <v>721010</v>
      </c>
      <c r="AN90" s="28">
        <f>SUM(AN54:AN89)</f>
        <v>776441</v>
      </c>
      <c r="AO90" s="28">
        <f>SUM(AO54:AO89)</f>
        <v>815573</v>
      </c>
      <c r="AP90" s="28">
        <f>SUM(AP54:AP89)</f>
        <v>883990</v>
      </c>
      <c r="AQ90" s="28">
        <f>SUM(AQ54:AQ89)</f>
        <v>915762</v>
      </c>
      <c r="AR90" s="28">
        <f>SUM(AR54:AR89)</f>
        <v>967402</v>
      </c>
      <c r="AS90" s="28">
        <f>SUM(AS54:AS89)</f>
        <v>1037299</v>
      </c>
      <c r="AT90" s="28">
        <f>SUM(AT54:AT89)</f>
        <v>1097733</v>
      </c>
      <c r="AU90" s="28">
        <f>SUM(AU54:AU89)</f>
        <v>1141055</v>
      </c>
      <c r="AV90" s="29">
        <f>SUM(AV54:AV89)</f>
        <v>1201217</v>
      </c>
      <c r="AW90" s="29">
        <f>SUM(AW54:AW89)</f>
        <v>10005000</v>
      </c>
      <c r="AX90" s="30">
        <f>SUM(AX54:AX89)</f>
        <v>33000000</v>
      </c>
      <c r="AY90" s="30">
        <f>SUM(AY54:AY89)</f>
        <v>70000000</v>
      </c>
      <c r="AZ90" s="30">
        <f>SUM(AZ54:AZ89)</f>
        <v>156000000</v>
      </c>
      <c r="BA90" s="28">
        <f>SUM(BA54:BA89)</f>
        <v>270206217</v>
      </c>
    </row>
    <row r="91">
      <c r="D91" s="53" t="inlineStr">
        <is>
          <t>전년 대비 성장률</t>
        </is>
      </c>
      <c r="AW91" s="58">
        <f>IFERROR(AW90/AV90-1,0)</f>
        <v>7.32905295213105</v>
      </c>
      <c r="AX91" s="58">
        <f>IFERROR(AX90/AW90-1,0)</f>
        <v>2.29835082458771</v>
      </c>
      <c r="AY91" s="58">
        <f>IFERROR(AY90/AX90-1,0)</f>
        <v>1.12121212121212</v>
      </c>
      <c r="AZ91" s="58">
        <f>IFERROR(AZ90/AY90-1,0)</f>
        <v>1.22857142857143</v>
      </c>
    </row>
    <row r="93">
      <c r="A93" s="53" t="inlineStr">
        <is>
          <t>※ 2026은 거래처 매출표 기준 사실(1~9월 실적, 10~12월 확정·예상 발주). 2027은 매출표 거래처 구성을 바탕으로 IR 목표(100.05억)에 맞춘 계획: 진행 중 요양병원·시설은 IR p.25 표 금액, 신규 파이프라인은 비례 축소.</t>
        </is>
      </c>
    </row>
    <row r="94">
      <c r="A94" s="53" t="inlineStr">
        <is>
          <t>※ 2027 월별: 분기·격월 등 불규칙 발주 거래처는 첫 발주 월부터 월 9.6% 성장곡선(인원 8→22명 증가율)으로 배분, 계약형(월 정액)·단계형 거래처는 매출표 패턴 유지. Punnita 잔금 2,000만원은 2027-01 고정.</t>
        </is>
      </c>
    </row>
    <row r="95">
      <c r="A95" s="53" t="inlineStr">
        <is>
          <t>※ 2028~2030: M = 2027 매출 × (1+성장률), N = 연간 입력(인도), C = 지역 목표(IR p.24 차트 비중) − 지정 거래처, S = 삼성 글로벌 채널(IR × 삼성 비중). 합계는 IR 목표와 정확히 일치.</t>
        </is>
      </c>
    </row>
    <row r="96">
      <c r="A96" s="53" t="inlineStr">
        <is>
          <t>※ O~V열(근거·가정 메모)은 그룹으로 접혀 있습니다(열 머리글 위 + 클릭 시 펼쳐짐).</t>
        </is>
      </c>
    </row>
    <row r="97">
      <c r="A97" s="53" t="inlineStr">
        <is>
          <t>※ 시나리오: B블록 = A블록 × 적용 계수(S1 100% · S2 80% · S3 60%). 2026은 1~9월 실적을 고정하고 10~12월에 계수를 역산 적용해 연간 달성률을 맞춥니다. S1에서 B블록 = A블록입니다.</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2F5597"/>
    <outlinePr summaryBelow="1" summaryRight="1"/>
    <pageSetUpPr fitToPage="1"/>
  </sheetPr>
  <dimension ref="A1:AF115"/>
  <sheetViews>
    <sheetView zoomScale="85" workbookViewId="0">
      <pane xSplit="2" ySplit="6" topLeftCell="C7" activePane="bottomRight" state="frozen"/>
      <selection pane="topRight"/>
      <selection pane="bottomLeft"/>
      <selection pane="bottomRight" activeCell="A1" sqref="A1"/>
    </sheetView>
  </sheetViews>
  <sheetFormatPr baseColWidth="8" defaultRowHeight="15"/>
  <cols>
    <col width="44" customWidth="1" min="1" max="1"/>
    <col width="8" customWidth="1" min="2" max="2"/>
    <col outlineLevel="1" width="10.5" customWidth="1" min="3" max="26"/>
    <col width="10.5" customWidth="1" min="27" max="27"/>
    <col width="10.5" customWidth="1" min="28" max="28"/>
    <col width="10.5" customWidth="1" min="29" max="29"/>
    <col width="10.5" customWidth="1" min="30" max="30"/>
    <col width="10.5" customWidth="1" min="31" max="31"/>
    <col width="10.5" customWidth="1" min="32" max="32"/>
  </cols>
  <sheetData>
    <row r="1">
      <c r="A1" s="1" t="inlineStr">
        <is>
          <t>5_매출_제품지역 — 제품·카테고리·지역·채널·근거수준별 매출</t>
        </is>
      </c>
    </row>
    <row r="2">
      <c r="A2" s="2" t="inlineStr">
        <is>
          <t>단위: 천원. 선택 시나리오 기준(4_매출_거래처 B블록 집계). 모든 블록의 합계는 제품 합계 = 4번 시트 B합계와 일치해야 합니다(검증 행).</t>
        </is>
      </c>
    </row>
    <row r="3">
      <c r="A3" s="2" t="inlineStr">
        <is>
          <t>※ 천원 미만 단수 처리로 표시된 항목 합계가 ±1천원 차이날 수 있습니다(내부 계산값은 정확히 일치).</t>
        </is>
      </c>
    </row>
    <row r="5">
      <c r="A5" s="21" t="inlineStr">
        <is>
          <t>구분</t>
        </is>
      </c>
      <c r="B5" s="11" t="inlineStr">
        <is>
          <t>코드</t>
        </is>
      </c>
      <c r="C5" s="11" t="inlineStr">
        <is>
          <t>2026-01</t>
        </is>
      </c>
      <c r="D5" s="11" t="inlineStr">
        <is>
          <t>2026-02</t>
        </is>
      </c>
      <c r="E5" s="11" t="inlineStr">
        <is>
          <t>2026-03</t>
        </is>
      </c>
      <c r="F5" s="11" t="inlineStr">
        <is>
          <t>2026-04</t>
        </is>
      </c>
      <c r="G5" s="11" t="inlineStr">
        <is>
          <t>2026-05</t>
        </is>
      </c>
      <c r="H5" s="11" t="inlineStr">
        <is>
          <t>2026-06</t>
        </is>
      </c>
      <c r="I5" s="11" t="inlineStr">
        <is>
          <t>2026-07</t>
        </is>
      </c>
      <c r="J5" s="11" t="inlineStr">
        <is>
          <t>2026-08</t>
        </is>
      </c>
      <c r="K5" s="11" t="inlineStr">
        <is>
          <t>2026-09</t>
        </is>
      </c>
      <c r="L5" s="11" t="inlineStr">
        <is>
          <t>2026-10</t>
        </is>
      </c>
      <c r="M5" s="11" t="inlineStr">
        <is>
          <t>2026-11</t>
        </is>
      </c>
      <c r="N5" s="11" t="inlineStr">
        <is>
          <t>2026-12</t>
        </is>
      </c>
      <c r="O5" s="11" t="inlineStr">
        <is>
          <t>2027-01</t>
        </is>
      </c>
      <c r="P5" s="11" t="inlineStr">
        <is>
          <t>2027-02</t>
        </is>
      </c>
      <c r="Q5" s="11" t="inlineStr">
        <is>
          <t>2027-03</t>
        </is>
      </c>
      <c r="R5" s="11" t="inlineStr">
        <is>
          <t>2027-04</t>
        </is>
      </c>
      <c r="S5" s="11" t="inlineStr">
        <is>
          <t>2027-05</t>
        </is>
      </c>
      <c r="T5" s="11" t="inlineStr">
        <is>
          <t>2027-06</t>
        </is>
      </c>
      <c r="U5" s="11" t="inlineStr">
        <is>
          <t>2027-07</t>
        </is>
      </c>
      <c r="V5" s="11" t="inlineStr">
        <is>
          <t>2027-08</t>
        </is>
      </c>
      <c r="W5" s="11" t="inlineStr">
        <is>
          <t>2027-09</t>
        </is>
      </c>
      <c r="X5" s="11" t="inlineStr">
        <is>
          <t>2027-10</t>
        </is>
      </c>
      <c r="Y5" s="11" t="inlineStr">
        <is>
          <t>2027-11</t>
        </is>
      </c>
      <c r="Z5" s="11" t="inlineStr">
        <is>
          <t>2027-12</t>
        </is>
      </c>
      <c r="AA5" s="11" t="inlineStr">
        <is>
          <t>FY2026</t>
        </is>
      </c>
      <c r="AB5" s="11" t="inlineStr">
        <is>
          <t>FY2027</t>
        </is>
      </c>
      <c r="AC5" s="11" t="inlineStr">
        <is>
          <t>2028E</t>
        </is>
      </c>
      <c r="AD5" s="11" t="inlineStr">
        <is>
          <t>2029E</t>
        </is>
      </c>
      <c r="AE5" s="11" t="inlineStr">
        <is>
          <t>2030E</t>
        </is>
      </c>
      <c r="AF5" s="11" t="inlineStr">
        <is>
          <t>5개년 합계</t>
        </is>
      </c>
    </row>
    <row r="6">
      <c r="A6" s="22" t="inlineStr"/>
      <c r="B6" s="22" t="inlineStr"/>
      <c r="C6" s="22" t="inlineStr">
        <is>
          <t>잠정</t>
        </is>
      </c>
      <c r="D6" s="22" t="inlineStr">
        <is>
          <t>잠정</t>
        </is>
      </c>
      <c r="E6" s="22" t="inlineStr">
        <is>
          <t>잠정</t>
        </is>
      </c>
      <c r="F6" s="22" t="inlineStr">
        <is>
          <t>잠정</t>
        </is>
      </c>
      <c r="G6" s="22" t="inlineStr">
        <is>
          <t>잠정</t>
        </is>
      </c>
      <c r="H6" s="22" t="inlineStr">
        <is>
          <t>잠정</t>
        </is>
      </c>
      <c r="I6" s="22" t="inlineStr">
        <is>
          <t>잠정</t>
        </is>
      </c>
      <c r="J6" s="22" t="inlineStr">
        <is>
          <t>잠정</t>
        </is>
      </c>
      <c r="K6" s="22" t="inlineStr">
        <is>
          <t>잠정</t>
        </is>
      </c>
      <c r="L6" s="22" t="inlineStr">
        <is>
          <t>계획</t>
        </is>
      </c>
      <c r="M6" s="22" t="inlineStr">
        <is>
          <t>계획</t>
        </is>
      </c>
      <c r="N6" s="22" t="inlineStr">
        <is>
          <t>계획</t>
        </is>
      </c>
      <c r="O6" s="22" t="inlineStr">
        <is>
          <t>계획</t>
        </is>
      </c>
      <c r="P6" s="22" t="inlineStr">
        <is>
          <t>계획</t>
        </is>
      </c>
      <c r="Q6" s="22" t="inlineStr">
        <is>
          <t>계획</t>
        </is>
      </c>
      <c r="R6" s="22" t="inlineStr">
        <is>
          <t>계획</t>
        </is>
      </c>
      <c r="S6" s="22" t="inlineStr">
        <is>
          <t>계획</t>
        </is>
      </c>
      <c r="T6" s="22" t="inlineStr">
        <is>
          <t>계획</t>
        </is>
      </c>
      <c r="U6" s="22" t="inlineStr">
        <is>
          <t>계획</t>
        </is>
      </c>
      <c r="V6" s="22" t="inlineStr">
        <is>
          <t>계획</t>
        </is>
      </c>
      <c r="W6" s="22" t="inlineStr">
        <is>
          <t>계획</t>
        </is>
      </c>
      <c r="X6" s="22" t="inlineStr">
        <is>
          <t>계획</t>
        </is>
      </c>
      <c r="Y6" s="22" t="inlineStr">
        <is>
          <t>계획</t>
        </is>
      </c>
      <c r="Z6" s="22" t="inlineStr">
        <is>
          <t>계획</t>
        </is>
      </c>
      <c r="AA6" s="22" t="inlineStr">
        <is>
          <t>FY합계</t>
        </is>
      </c>
      <c r="AB6" s="22" t="inlineStr">
        <is>
          <t>FY합계</t>
        </is>
      </c>
      <c r="AC6" s="22" t="inlineStr">
        <is>
          <t>계획(연)</t>
        </is>
      </c>
      <c r="AD6" s="22" t="inlineStr">
        <is>
          <t>계획(연)</t>
        </is>
      </c>
      <c r="AE6" s="22" t="inlineStr">
        <is>
          <t>계획(연)</t>
        </is>
      </c>
      <c r="AF6" s="22" t="inlineStr">
        <is>
          <t>합계</t>
        </is>
      </c>
    </row>
    <row r="8">
      <c r="A8" s="3" t="inlineStr">
        <is>
          <t>A. 제품별 매출</t>
        </is>
      </c>
    </row>
    <row r="9">
      <c r="A9" s="15" t="inlineStr">
        <is>
          <t>스마트 기저귀(전용 기저귀·패드, 소모품)</t>
        </is>
      </c>
      <c r="B9" s="15" t="inlineStr">
        <is>
          <t>P1</t>
        </is>
      </c>
      <c r="C9" s="69">
        <f>SUMPRODUCT('4_매출_거래처'!X$54:X$89,$C$80:$C$115)</f>
        <v>31309.58</v>
      </c>
      <c r="D9" s="69">
        <f>SUMPRODUCT('4_매출_거래처'!Y$54:Y$89,$C$80:$C$115)</f>
        <v>27599.9</v>
      </c>
      <c r="E9" s="69">
        <f>SUMPRODUCT('4_매출_거래처'!Z$54:Z$89,$C$80:$C$115)</f>
        <v>42416.97</v>
      </c>
      <c r="F9" s="69">
        <f>SUMPRODUCT('4_매출_거래처'!AA$54:AA$89,$C$80:$C$115)</f>
        <v>9270.5</v>
      </c>
      <c r="G9" s="69">
        <f>SUMPRODUCT('4_매출_거래처'!AB$54:AB$89,$C$80:$C$115)</f>
        <v>18919.5</v>
      </c>
      <c r="H9" s="69">
        <f>SUMPRODUCT('4_매출_거래처'!AC$54:AC$89,$C$80:$C$115)</f>
        <v>43680.45</v>
      </c>
      <c r="I9" s="69">
        <f>SUMPRODUCT('4_매출_거래처'!AD$54:AD$89,$C$80:$C$115)</f>
        <v>11232.75</v>
      </c>
      <c r="J9" s="69">
        <f>SUMPRODUCT('4_매출_거래처'!AE$54:AE$89,$C$80:$C$115)</f>
        <v>6702.75</v>
      </c>
      <c r="K9" s="69">
        <f>SUMPRODUCT('4_매출_거래처'!AF$54:AF$89,$C$80:$C$115)</f>
        <v>26962.52</v>
      </c>
      <c r="L9" s="69">
        <f>SUMPRODUCT('4_매출_거래처'!AG$54:AG$89,$C$80:$C$115)</f>
        <v>121315</v>
      </c>
      <c r="M9" s="69">
        <f>SUMPRODUCT('4_매출_거래처'!AH$54:AH$89,$C$80:$C$115)</f>
        <v>170218.5</v>
      </c>
      <c r="N9" s="69">
        <f>SUMPRODUCT('4_매출_거래처'!AI$54:AI$89,$C$80:$C$115)</f>
        <v>229399</v>
      </c>
      <c r="O9" s="69">
        <f>SUMPRODUCT('4_매출_거래처'!AJ$54:AJ$89,$D$80:$D$115)</f>
        <v>364121.55</v>
      </c>
      <c r="P9" s="69">
        <f>SUMPRODUCT('4_매출_거래처'!AK$54:AK$89,$D$80:$D$115)</f>
        <v>381838.3</v>
      </c>
      <c r="Q9" s="69">
        <f>SUMPRODUCT('4_매출_거래처'!AL$54:AL$89,$D$80:$D$115)</f>
        <v>448856.35</v>
      </c>
      <c r="R9" s="69">
        <f>SUMPRODUCT('4_매출_거래처'!AM$54:AM$89,$D$80:$D$115)</f>
        <v>502831.41</v>
      </c>
      <c r="S9" s="69">
        <f>SUMPRODUCT('4_매출_거래처'!AN$54:AN$89,$D$80:$D$115)</f>
        <v>539464.98</v>
      </c>
      <c r="T9" s="69">
        <f>SUMPRODUCT('4_매출_거래처'!AO$54:AO$89,$D$80:$D$115)</f>
        <v>567012.95</v>
      </c>
      <c r="U9" s="69">
        <f>SUMPRODUCT('4_매출_거래처'!AP$54:AP$89,$D$80:$D$115)</f>
        <v>619075.89</v>
      </c>
      <c r="V9" s="69">
        <f>SUMPRODUCT('4_매출_거래처'!AQ$54:AQ$89,$D$80:$D$115)</f>
        <v>638697.99</v>
      </c>
      <c r="W9" s="69">
        <f>SUMPRODUCT('4_매출_거래처'!AR$54:AR$89,$D$80:$D$115)</f>
        <v>672955.05</v>
      </c>
      <c r="X9" s="69">
        <f>SUMPRODUCT('4_매출_거래처'!AS$54:AS$89,$D$80:$D$115)</f>
        <v>724128.92</v>
      </c>
      <c r="Y9" s="69">
        <f>SUMPRODUCT('4_매출_거래처'!AT$54:AT$89,$D$80:$D$115)</f>
        <v>750772.02</v>
      </c>
      <c r="Z9" s="69">
        <f>SUMPRODUCT('4_매출_거래처'!AU$54:AU$89,$D$80:$D$115)</f>
        <v>779194.59</v>
      </c>
      <c r="AA9" s="25">
        <f>SUM(C9:N9)</f>
        <v>739027.42</v>
      </c>
      <c r="AB9" s="25">
        <f>SUM(O9:Z9)</f>
        <v>6988950</v>
      </c>
      <c r="AC9" s="68">
        <f>SUMPRODUCT('4_매출_거래처'!AX$54:AX$89,$E$80:$E$115)</f>
        <v>22089683.12</v>
      </c>
      <c r="AD9" s="68">
        <f>SUMPRODUCT('4_매출_거래처'!AY$54:AY$89,$F$80:$F$115)</f>
        <v>43454750.8</v>
      </c>
      <c r="AE9" s="68">
        <f>SUMPRODUCT('4_매출_거래처'!AZ$54:AZ$89,$G$80:$G$115)</f>
        <v>90093769.33472</v>
      </c>
      <c r="AF9" s="24">
        <f>SUM(AA9:AE9)</f>
        <v>163366180.67472</v>
      </c>
    </row>
    <row r="10">
      <c r="A10" s="15" t="inlineStr">
        <is>
          <t>센서·BLE 게이트웨이(하드웨어)</t>
        </is>
      </c>
      <c r="B10" s="15" t="inlineStr">
        <is>
          <t>P2</t>
        </is>
      </c>
      <c r="C10" s="69">
        <f>SUMPRODUCT('4_매출_거래처'!X$54:X$89,$H$80:$H$115)</f>
        <v>10227.54</v>
      </c>
      <c r="D10" s="69">
        <f>SUMPRODUCT('4_매출_거래처'!Y$54:Y$89,$H$80:$H$115)</f>
        <v>4275.31</v>
      </c>
      <c r="E10" s="69">
        <f>SUMPRODUCT('4_매출_거래처'!Z$54:Z$89,$H$80:$H$115)</f>
        <v>8250.45</v>
      </c>
      <c r="F10" s="69">
        <f>SUMPRODUCT('4_매출_거래처'!AA$54:AA$89,$H$80:$H$115)</f>
        <v>561.3</v>
      </c>
      <c r="G10" s="69">
        <f>SUMPRODUCT('4_매출_거래처'!AB$54:AB$89,$H$80:$H$115)</f>
        <v>1145.82</v>
      </c>
      <c r="H10" s="69">
        <f>SUMPRODUCT('4_매출_거래처'!AC$54:AC$89,$H$80:$H$115)</f>
        <v>2605.41</v>
      </c>
      <c r="I10" s="69">
        <f>SUMPRODUCT('4_매출_거래처'!AD$54:AD$89,$H$80:$H$115)</f>
        <v>716.19</v>
      </c>
      <c r="J10" s="69">
        <f>SUMPRODUCT('4_매출_거래처'!AE$54:AE$89,$H$80:$H$115)</f>
        <v>416.91</v>
      </c>
      <c r="K10" s="69">
        <f>SUMPRODUCT('4_매출_거래처'!AF$54:AF$89,$H$80:$H$115)</f>
        <v>9685.68</v>
      </c>
      <c r="L10" s="69">
        <f>SUMPRODUCT('4_매출_거래처'!AG$54:AG$89,$H$80:$H$115)</f>
        <v>15315</v>
      </c>
      <c r="M10" s="69">
        <f>SUMPRODUCT('4_매출_거래처'!AH$54:AH$89,$H$80:$H$115)</f>
        <v>21167.6</v>
      </c>
      <c r="N10" s="69">
        <f>SUMPRODUCT('4_매출_거래처'!AI$54:AI$89,$H$80:$H$115)</f>
        <v>172603.3</v>
      </c>
      <c r="O10" s="69">
        <f>SUMPRODUCT('4_매출_거래처'!AJ$54:AJ$89,$I$80:$I$115)</f>
        <v>55154.99</v>
      </c>
      <c r="P10" s="69">
        <f>SUMPRODUCT('4_매출_거래처'!AK$54:AK$89,$I$80:$I$115)</f>
        <v>62552.96</v>
      </c>
      <c r="Q10" s="69">
        <f>SUMPRODUCT('4_매출_거래처'!AL$54:AL$89,$I$80:$I$115)</f>
        <v>90031.77</v>
      </c>
      <c r="R10" s="69">
        <f>SUMPRODUCT('4_매출_거래처'!AM$54:AM$89,$I$80:$I$115)</f>
        <v>100561.25</v>
      </c>
      <c r="S10" s="69">
        <f>SUMPRODUCT('4_매출_거래처'!AN$54:AN$89,$I$80:$I$115)</f>
        <v>109133.28</v>
      </c>
      <c r="T10" s="69">
        <f>SUMPRODUCT('4_매출_거래처'!AO$54:AO$89,$I$80:$I$115)</f>
        <v>114051.31</v>
      </c>
      <c r="U10" s="69">
        <f>SUMPRODUCT('4_매출_거래처'!AP$54:AP$89,$I$80:$I$115)</f>
        <v>120644.11</v>
      </c>
      <c r="V10" s="69">
        <f>SUMPRODUCT('4_매출_거래처'!AQ$54:AQ$89,$I$80:$I$115)</f>
        <v>127116.53</v>
      </c>
      <c r="W10" s="69">
        <f>SUMPRODUCT('4_매출_거래처'!AR$54:AR$89,$I$80:$I$115)</f>
        <v>134099.79</v>
      </c>
      <c r="X10" s="69">
        <f>SUMPRODUCT('4_매출_거래처'!AS$54:AS$89,$I$80:$I$115)</f>
        <v>141981.66</v>
      </c>
      <c r="Y10" s="69">
        <f>SUMPRODUCT('4_매출_거래처'!AT$54:AT$89,$I$80:$I$115)</f>
        <v>162253.4</v>
      </c>
      <c r="Z10" s="69">
        <f>SUMPRODUCT('4_매출_거래처'!AU$54:AU$89,$I$80:$I$115)</f>
        <v>169048.95</v>
      </c>
      <c r="AA10" s="25">
        <f>SUM(C10:N10)</f>
        <v>246970.51</v>
      </c>
      <c r="AB10" s="25">
        <f>SUM(O10:Z10)</f>
        <v>1386630</v>
      </c>
      <c r="AC10" s="68">
        <f>SUMPRODUCT('4_매출_거래처'!AX$54:AX$89,$J$80:$J$115)</f>
        <v>4110700.72</v>
      </c>
      <c r="AD10" s="68">
        <f>SUMPRODUCT('4_매출_거래처'!AY$54:AY$89,$K$80:$K$115)</f>
        <v>8636200.68</v>
      </c>
      <c r="AE10" s="68">
        <f>SUMPRODUCT('4_매출_거래처'!AZ$54:AZ$89,$L$80:$L$115)</f>
        <v>18303207.17344</v>
      </c>
      <c r="AF10" s="24">
        <f>SUM(AA10:AE10)</f>
        <v>32683709.08344</v>
      </c>
    </row>
    <row r="11">
      <c r="A11" s="15" t="inlineStr">
        <is>
          <t>앱·웹 모니터링 구독(SW·AI)</t>
        </is>
      </c>
      <c r="B11" s="15" t="inlineStr">
        <is>
          <t>P3</t>
        </is>
      </c>
      <c r="C11" s="69">
        <f>SUMPRODUCT('4_매출_거래처'!X$54:X$89,$M$80:$M$115)</f>
        <v>5529.88</v>
      </c>
      <c r="D11" s="69">
        <f>SUMPRODUCT('4_매출_거래처'!Y$54:Y$89,$M$80:$M$115)</f>
        <v>4264.79</v>
      </c>
      <c r="E11" s="69">
        <f>SUMPRODUCT('4_매출_거래처'!Z$54:Z$89,$M$80:$M$115)</f>
        <v>5786.58</v>
      </c>
      <c r="F11" s="69">
        <f>SUMPRODUCT('4_매출_거래처'!AA$54:AA$89,$M$80:$M$115)</f>
        <v>1103.2</v>
      </c>
      <c r="G11" s="69">
        <f>SUMPRODUCT('4_매출_거래처'!AB$54:AB$89,$M$80:$M$115)</f>
        <v>2251.68</v>
      </c>
      <c r="H11" s="69">
        <f>SUMPRODUCT('4_매출_거래처'!AC$54:AC$89,$M$80:$M$115)</f>
        <v>5167.14</v>
      </c>
      <c r="I11" s="69">
        <f>SUMPRODUCT('4_매출_거래처'!AD$54:AD$89,$M$80:$M$115)</f>
        <v>1365.06</v>
      </c>
      <c r="J11" s="69">
        <f>SUMPRODUCT('4_매출_거래처'!AE$54:AE$89,$M$80:$M$115)</f>
        <v>806.34</v>
      </c>
      <c r="K11" s="69">
        <f>SUMPRODUCT('4_매출_거래처'!AF$54:AF$89,$M$80:$M$115)</f>
        <v>4080.8</v>
      </c>
      <c r="L11" s="69">
        <f>SUMPRODUCT('4_매출_거래처'!AG$54:AG$89,$M$80:$M$115)</f>
        <v>18070</v>
      </c>
      <c r="M11" s="69">
        <f>SUMPRODUCT('4_매출_거래처'!AH$54:AH$89,$M$80:$M$115)</f>
        <v>24908.9</v>
      </c>
      <c r="N11" s="69">
        <f>SUMPRODUCT('4_매출_거래처'!AI$54:AI$89,$M$80:$M$115)</f>
        <v>62291.15</v>
      </c>
      <c r="O11" s="69">
        <f>SUMPRODUCT('4_매출_거래처'!AJ$54:AJ$89,$N$80:$N$115)</f>
        <v>53254.1</v>
      </c>
      <c r="P11" s="69">
        <f>SUMPRODUCT('4_매출_거래처'!AK$54:AK$89,$N$80:$N$115)</f>
        <v>56090.35</v>
      </c>
      <c r="Q11" s="69">
        <f>SUMPRODUCT('4_매출_거래처'!AL$54:AL$89,$N$80:$N$115)</f>
        <v>69335.7</v>
      </c>
      <c r="R11" s="69">
        <f>SUMPRODUCT('4_매출_거래처'!AM$54:AM$89,$N$80:$N$115)</f>
        <v>76655.97</v>
      </c>
      <c r="S11" s="69">
        <f>SUMPRODUCT('4_매출_거래처'!AN$54:AN$89,$N$80:$N$115)</f>
        <v>82243.11</v>
      </c>
      <c r="T11" s="69">
        <f>SUMPRODUCT('4_매출_거래처'!AO$54:AO$89,$N$80:$N$115)</f>
        <v>86076.05</v>
      </c>
      <c r="U11" s="69">
        <f>SUMPRODUCT('4_매출_거래처'!AP$54:AP$89,$N$80:$N$115)</f>
        <v>92804.83</v>
      </c>
      <c r="V11" s="69">
        <f>SUMPRODUCT('4_매출_거래처'!AQ$54:AQ$89,$N$80:$N$115)</f>
        <v>95534.93</v>
      </c>
      <c r="W11" s="69">
        <f>SUMPRODUCT('4_매출_거래처'!AR$54:AR$89,$N$80:$N$115)</f>
        <v>100737.2</v>
      </c>
      <c r="X11" s="69">
        <f>SUMPRODUCT('4_매출_거래처'!AS$54:AS$89,$N$80:$N$115)</f>
        <v>107563.59</v>
      </c>
      <c r="Y11" s="69">
        <f>SUMPRODUCT('4_매출_거래처'!AT$54:AT$89,$N$80:$N$115)</f>
        <v>114241.49</v>
      </c>
      <c r="Z11" s="69">
        <f>SUMPRODUCT('4_매출_거래처'!AU$54:AU$89,$N$80:$N$115)</f>
        <v>118162.68</v>
      </c>
      <c r="AA11" s="25">
        <f>SUM(C11:N11)</f>
        <v>135625.52</v>
      </c>
      <c r="AB11" s="25">
        <f>SUM(O11:Z11)</f>
        <v>1052700</v>
      </c>
      <c r="AC11" s="68">
        <f>SUMPRODUCT('4_매출_거래처'!AX$54:AX$89,$O$80:$O$115)</f>
        <v>3783068</v>
      </c>
      <c r="AD11" s="68">
        <f>SUMPRODUCT('4_매출_거래처'!AY$54:AY$89,$P$80:$P$115)</f>
        <v>8107672.8</v>
      </c>
      <c r="AE11" s="68">
        <f>SUMPRODUCT('4_매출_거래처'!AZ$54:AZ$89,$Q$80:$Q$115)</f>
        <v>18316315.04</v>
      </c>
      <c r="AF11" s="24">
        <f>SUM(AA11:AE11)</f>
        <v>31395381.36</v>
      </c>
    </row>
    <row r="12">
      <c r="A12" s="15" t="inlineStr">
        <is>
          <t>바이탈 모니터링 센서(60GHz, 2026 Q4 출시)</t>
        </is>
      </c>
      <c r="B12" s="15" t="inlineStr">
        <is>
          <t>P4</t>
        </is>
      </c>
      <c r="C12" s="69">
        <f>SUMPRODUCT('4_매출_거래처'!X$54:X$89,$R$80:$R$115)</f>
        <v>0</v>
      </c>
      <c r="D12" s="69">
        <f>SUMPRODUCT('4_매출_거래처'!Y$54:Y$89,$R$80:$R$115)</f>
        <v>0</v>
      </c>
      <c r="E12" s="69">
        <f>SUMPRODUCT('4_매출_거래처'!Z$54:Z$89,$R$80:$R$115)</f>
        <v>0</v>
      </c>
      <c r="F12" s="69">
        <f>SUMPRODUCT('4_매출_거래처'!AA$54:AA$89,$R$80:$R$115)</f>
        <v>0</v>
      </c>
      <c r="G12" s="69">
        <f>SUMPRODUCT('4_매출_거래처'!AB$54:AB$89,$R$80:$R$115)</f>
        <v>0</v>
      </c>
      <c r="H12" s="69">
        <f>SUMPRODUCT('4_매출_거래처'!AC$54:AC$89,$R$80:$R$115)</f>
        <v>0</v>
      </c>
      <c r="I12" s="69">
        <f>SUMPRODUCT('4_매출_거래처'!AD$54:AD$89,$R$80:$R$115)</f>
        <v>0</v>
      </c>
      <c r="J12" s="69">
        <f>SUMPRODUCT('4_매출_거래처'!AE$54:AE$89,$R$80:$R$115)</f>
        <v>0</v>
      </c>
      <c r="K12" s="69">
        <f>SUMPRODUCT('4_매출_거래처'!AF$54:AF$89,$R$80:$R$115)</f>
        <v>0</v>
      </c>
      <c r="L12" s="69">
        <f>SUMPRODUCT('4_매출_거래처'!AG$54:AG$89,$R$80:$R$115)</f>
        <v>0</v>
      </c>
      <c r="M12" s="69">
        <f>SUMPRODUCT('4_매출_거래처'!AH$54:AH$89,$R$80:$R$115)</f>
        <v>0</v>
      </c>
      <c r="N12" s="69">
        <f>SUMPRODUCT('4_매출_거래처'!AI$54:AI$89,$R$80:$R$115)</f>
        <v>0</v>
      </c>
      <c r="O12" s="69">
        <f>SUMPRODUCT('4_매출_거래처'!AJ$54:AJ$89,$S$80:$S$115)</f>
        <v>10005.96</v>
      </c>
      <c r="P12" s="69">
        <f>SUMPRODUCT('4_매출_거래처'!AK$54:AK$89,$S$80:$S$115)</f>
        <v>11292.99</v>
      </c>
      <c r="Q12" s="69">
        <f>SUMPRODUCT('4_매출_거래처'!AL$54:AL$89,$S$80:$S$115)</f>
        <v>15135.58</v>
      </c>
      <c r="R12" s="69">
        <f>SUMPRODUCT('4_매출_거래처'!AM$54:AM$89,$S$80:$S$115)</f>
        <v>16787.77</v>
      </c>
      <c r="S12" s="69">
        <f>SUMPRODUCT('4_매출_거래처'!AN$54:AN$89,$S$80:$S$115)</f>
        <v>19100.43</v>
      </c>
      <c r="T12" s="69">
        <f>SUMPRODUCT('4_매출_거래처'!AO$54:AO$89,$S$80:$S$115)</f>
        <v>20096.49</v>
      </c>
      <c r="U12" s="69">
        <f>SUMPRODUCT('4_매출_거래처'!AP$54:AP$89,$S$80:$S$115)</f>
        <v>21113.97</v>
      </c>
      <c r="V12" s="69">
        <f>SUMPRODUCT('4_매출_거래처'!AQ$54:AQ$89,$S$80:$S$115)</f>
        <v>21853.35</v>
      </c>
      <c r="W12" s="69">
        <f>SUMPRODUCT('4_매출_거래처'!AR$54:AR$89,$S$80:$S$115)</f>
        <v>23980.16</v>
      </c>
      <c r="X12" s="69">
        <f>SUMPRODUCT('4_매출_거래처'!AS$54:AS$89,$S$80:$S$115)</f>
        <v>25340.03</v>
      </c>
      <c r="Y12" s="69">
        <f>SUMPRODUCT('4_매출_거래처'!AT$54:AT$89,$S$80:$S$115)</f>
        <v>26271.29</v>
      </c>
      <c r="Z12" s="69">
        <f>SUMPRODUCT('4_매출_거래처'!AU$54:AU$89,$S$80:$S$115)</f>
        <v>27261.98</v>
      </c>
      <c r="AA12" s="25">
        <f>SUM(C12:N12)</f>
        <v>0</v>
      </c>
      <c r="AB12" s="25">
        <f>SUM(O12:Z12)</f>
        <v>238240</v>
      </c>
      <c r="AC12" s="68">
        <f>SUMPRODUCT('4_매출_거래처'!AX$54:AX$89,$T$80:$T$115)</f>
        <v>1792446.08</v>
      </c>
      <c r="AD12" s="68">
        <f>SUMPRODUCT('4_매출_거래처'!AY$54:AY$89,$U$80:$U$115)</f>
        <v>5949350.24</v>
      </c>
      <c r="AE12" s="68">
        <f>SUMPRODUCT('4_매출_거래처'!AZ$54:AZ$89,$V$80:$V$115)</f>
        <v>17723889.71392</v>
      </c>
      <c r="AF12" s="24">
        <f>SUM(AA12:AE12)</f>
        <v>25703926.03392</v>
      </c>
    </row>
    <row r="13">
      <c r="A13" s="15" t="inlineStr">
        <is>
          <t>스마트 욕창 케어(2027 출시)</t>
        </is>
      </c>
      <c r="B13" s="15" t="inlineStr">
        <is>
          <t>P5</t>
        </is>
      </c>
      <c r="C13" s="69">
        <f>SUMPRODUCT('4_매출_거래처'!X$54:X$89,$W$80:$W$115)</f>
        <v>0</v>
      </c>
      <c r="D13" s="69">
        <f>SUMPRODUCT('4_매출_거래처'!Y$54:Y$89,$W$80:$W$115)</f>
        <v>0</v>
      </c>
      <c r="E13" s="69">
        <f>SUMPRODUCT('4_매출_거래처'!Z$54:Z$89,$W$80:$W$115)</f>
        <v>0</v>
      </c>
      <c r="F13" s="69">
        <f>SUMPRODUCT('4_매출_거래처'!AA$54:AA$89,$W$80:$W$115)</f>
        <v>0</v>
      </c>
      <c r="G13" s="69">
        <f>SUMPRODUCT('4_매출_거래처'!AB$54:AB$89,$W$80:$W$115)</f>
        <v>0</v>
      </c>
      <c r="H13" s="69">
        <f>SUMPRODUCT('4_매출_거래처'!AC$54:AC$89,$W$80:$W$115)</f>
        <v>0</v>
      </c>
      <c r="I13" s="69">
        <f>SUMPRODUCT('4_매출_거래처'!AD$54:AD$89,$W$80:$W$115)</f>
        <v>0</v>
      </c>
      <c r="J13" s="69">
        <f>SUMPRODUCT('4_매출_거래처'!AE$54:AE$89,$W$80:$W$115)</f>
        <v>0</v>
      </c>
      <c r="K13" s="69">
        <f>SUMPRODUCT('4_매출_거래처'!AF$54:AF$89,$W$80:$W$115)</f>
        <v>0</v>
      </c>
      <c r="L13" s="69">
        <f>SUMPRODUCT('4_매출_거래처'!AG$54:AG$89,$W$80:$W$115)</f>
        <v>0</v>
      </c>
      <c r="M13" s="69">
        <f>SUMPRODUCT('4_매출_거래처'!AH$54:AH$89,$W$80:$W$115)</f>
        <v>0</v>
      </c>
      <c r="N13" s="69">
        <f>SUMPRODUCT('4_매출_거래처'!AI$54:AI$89,$W$80:$W$115)</f>
        <v>0</v>
      </c>
      <c r="O13" s="69">
        <f>SUMPRODUCT('4_매출_거래처'!AJ$54:AJ$89,$X$80:$X$115)</f>
        <v>487.2</v>
      </c>
      <c r="P13" s="69">
        <f>SUMPRODUCT('4_매출_거래처'!AK$54:AK$89,$X$80:$X$115)</f>
        <v>487.2</v>
      </c>
      <c r="Q13" s="69">
        <f>SUMPRODUCT('4_매출_거래처'!AL$54:AL$89,$X$80:$X$115)</f>
        <v>1136.8</v>
      </c>
      <c r="R13" s="69">
        <f>SUMPRODUCT('4_매출_거래처'!AM$54:AM$89,$X$80:$X$115)</f>
        <v>1136.8</v>
      </c>
      <c r="S13" s="69">
        <f>SUMPRODUCT('4_매출_거래처'!AN$54:AN$89,$X$80:$X$115)</f>
        <v>1461.6</v>
      </c>
      <c r="T13" s="69">
        <f>SUMPRODUCT('4_매출_거래처'!AO$54:AO$89,$X$80:$X$115)</f>
        <v>1461.6</v>
      </c>
      <c r="U13" s="69">
        <f>SUMPRODUCT('4_매출_거래처'!AP$54:AP$89,$X$80:$X$115)</f>
        <v>1461.6</v>
      </c>
      <c r="V13" s="69">
        <f>SUMPRODUCT('4_매출_거래처'!AQ$54:AQ$89,$X$80:$X$115)</f>
        <v>1461.6</v>
      </c>
      <c r="W13" s="69">
        <f>SUMPRODUCT('4_매출_거래처'!AR$54:AR$89,$X$80:$X$115)</f>
        <v>1786.4</v>
      </c>
      <c r="X13" s="69">
        <f>SUMPRODUCT('4_매출_거래처'!AS$54:AS$89,$X$80:$X$115)</f>
        <v>1786.4</v>
      </c>
      <c r="Y13" s="69">
        <f>SUMPRODUCT('4_매출_거래처'!AT$54:AT$89,$X$80:$X$115)</f>
        <v>1786.4</v>
      </c>
      <c r="Z13" s="69">
        <f>SUMPRODUCT('4_매출_거래처'!AU$54:AU$89,$X$80:$X$115)</f>
        <v>1786.4</v>
      </c>
      <c r="AA13" s="25">
        <f>SUM(C13:N13)</f>
        <v>0</v>
      </c>
      <c r="AB13" s="25">
        <f>SUM(O13:Z13)</f>
        <v>16240</v>
      </c>
      <c r="AC13" s="68">
        <f>SUMPRODUCT('4_매출_거래처'!AX$54:AX$89,$Y$80:$Y$115)</f>
        <v>424931.36</v>
      </c>
      <c r="AD13" s="68">
        <f>SUMPRODUCT('4_매출_거래처'!AY$54:AY$89,$Z$80:$Z$115)</f>
        <v>2283801.56</v>
      </c>
      <c r="AE13" s="68">
        <f>SUMPRODUCT('4_매출_거래처'!AZ$54:AZ$89,$AA$80:$AA$115)</f>
        <v>8282271.76896</v>
      </c>
      <c r="AF13" s="24">
        <f>SUM(AA13:AE13)</f>
        <v>11007244.68896</v>
      </c>
    </row>
    <row r="14">
      <c r="A14" s="15" t="inlineStr">
        <is>
          <t>R&amp;D·PoC 용역</t>
        </is>
      </c>
      <c r="B14" s="15" t="inlineStr">
        <is>
          <t>P6</t>
        </is>
      </c>
      <c r="C14" s="69">
        <f>SUMPRODUCT('4_매출_거래처'!X$54:X$89,$AB$80:$AB$115)</f>
        <v>0</v>
      </c>
      <c r="D14" s="69">
        <f>SUMPRODUCT('4_매출_거래처'!Y$54:Y$89,$AB$80:$AB$115)</f>
        <v>0</v>
      </c>
      <c r="E14" s="69">
        <f>SUMPRODUCT('4_매출_거래처'!Z$54:Z$89,$AB$80:$AB$115)</f>
        <v>0</v>
      </c>
      <c r="F14" s="69">
        <f>SUMPRODUCT('4_매출_거래처'!AA$54:AA$89,$AB$80:$AB$115)</f>
        <v>0</v>
      </c>
      <c r="G14" s="69">
        <f>SUMPRODUCT('4_매출_거래처'!AB$54:AB$89,$AB$80:$AB$115)</f>
        <v>0</v>
      </c>
      <c r="H14" s="69">
        <f>SUMPRODUCT('4_매출_거래처'!AC$54:AC$89,$AB$80:$AB$115)</f>
        <v>0</v>
      </c>
      <c r="I14" s="69">
        <f>SUMPRODUCT('4_매출_거래처'!AD$54:AD$89,$AB$80:$AB$115)</f>
        <v>0</v>
      </c>
      <c r="J14" s="69">
        <f>SUMPRODUCT('4_매출_거래처'!AE$54:AE$89,$AB$80:$AB$115)</f>
        <v>0</v>
      </c>
      <c r="K14" s="69">
        <f>SUMPRODUCT('4_매출_거래처'!AF$54:AF$89,$AB$80:$AB$115)</f>
        <v>0</v>
      </c>
      <c r="L14" s="69">
        <f>SUMPRODUCT('4_매출_거래처'!AG$54:AG$89,$AB$80:$AB$115)</f>
        <v>23625</v>
      </c>
      <c r="M14" s="69">
        <f>SUMPRODUCT('4_매출_거래처'!AH$54:AH$89,$AB$80:$AB$115)</f>
        <v>27625</v>
      </c>
      <c r="N14" s="69">
        <f>SUMPRODUCT('4_매출_거래처'!AI$54:AI$89,$AB$80:$AB$115)</f>
        <v>28343.55</v>
      </c>
      <c r="O14" s="69">
        <f>SUMPRODUCT('4_매출_거래처'!AJ$54:AJ$89,$AC$80:$AC$115)</f>
        <v>4987.2</v>
      </c>
      <c r="P14" s="69">
        <f>SUMPRODUCT('4_매출_거래처'!AK$54:AK$89,$AC$80:$AC$115)</f>
        <v>5868.2</v>
      </c>
      <c r="Q14" s="69">
        <f>SUMPRODUCT('4_매출_거래처'!AL$54:AL$89,$AC$80:$AC$115)</f>
        <v>18097.8</v>
      </c>
      <c r="R14" s="69">
        <f>SUMPRODUCT('4_매출_거래처'!AM$54:AM$89,$AC$80:$AC$115)</f>
        <v>23036.8</v>
      </c>
      <c r="S14" s="69">
        <f>SUMPRODUCT('4_매출_거래처'!AN$54:AN$89,$AC$80:$AC$115)</f>
        <v>25037.6</v>
      </c>
      <c r="T14" s="69">
        <f>SUMPRODUCT('4_매출_거래처'!AO$54:AO$89,$AC$80:$AC$115)</f>
        <v>26874.6</v>
      </c>
      <c r="U14" s="69">
        <f>SUMPRODUCT('4_매출_거래처'!AP$54:AP$89,$AC$80:$AC$115)</f>
        <v>28889.6</v>
      </c>
      <c r="V14" s="69">
        <f>SUMPRODUCT('4_매출_거래처'!AQ$54:AQ$89,$AC$80:$AC$115)</f>
        <v>31097.6</v>
      </c>
      <c r="W14" s="69">
        <f>SUMPRODUCT('4_매출_거래처'!AR$54:AR$89,$AC$80:$AC$115)</f>
        <v>33843.4</v>
      </c>
      <c r="X14" s="69">
        <f>SUMPRODUCT('4_매출_거래처'!AS$54:AS$89,$AC$80:$AC$115)</f>
        <v>36498.4</v>
      </c>
      <c r="Y14" s="69">
        <f>SUMPRODUCT('4_매출_거래처'!AT$54:AT$89,$AC$80:$AC$115)</f>
        <v>42408.4</v>
      </c>
      <c r="Z14" s="69">
        <f>SUMPRODUCT('4_매출_거래처'!AU$54:AU$89,$AC$80:$AC$115)</f>
        <v>45600.4</v>
      </c>
      <c r="AA14" s="25">
        <f>SUM(C14:N14)</f>
        <v>79593.55</v>
      </c>
      <c r="AB14" s="25">
        <f>SUM(O14:Z14)</f>
        <v>322240</v>
      </c>
      <c r="AC14" s="68">
        <f>SUMPRODUCT('4_매출_거래처'!AX$54:AX$89,$AD$80:$AD$115)</f>
        <v>799170.72</v>
      </c>
      <c r="AD14" s="68">
        <f>SUMPRODUCT('4_매출_거래처'!AY$54:AY$89,$AE$80:$AE$115)</f>
        <v>1568223.92</v>
      </c>
      <c r="AE14" s="68">
        <f>SUMPRODUCT('4_매출_거래처'!AZ$54:AZ$89,$AF$80:$AF$115)</f>
        <v>3280546.96896</v>
      </c>
      <c r="AF14" s="24">
        <f>SUM(AA14:AE14)</f>
        <v>6049775.15896</v>
      </c>
    </row>
    <row r="15">
      <c r="A15" s="12" t="inlineStr">
        <is>
          <t>매출액 합계</t>
        </is>
      </c>
      <c r="C15" s="28">
        <f>SUM(C9:C14)</f>
        <v>47067</v>
      </c>
      <c r="D15" s="28">
        <f>SUM(D9:D14)</f>
        <v>36140</v>
      </c>
      <c r="E15" s="28">
        <f>SUM(E9:E14)</f>
        <v>56454</v>
      </c>
      <c r="F15" s="28">
        <f>SUM(F9:F14)</f>
        <v>10935</v>
      </c>
      <c r="G15" s="28">
        <f>SUM(G9:G14)</f>
        <v>22317</v>
      </c>
      <c r="H15" s="28">
        <f>SUM(H9:H14)</f>
        <v>51453</v>
      </c>
      <c r="I15" s="28">
        <f>SUM(I9:I14)</f>
        <v>13314</v>
      </c>
      <c r="J15" s="28">
        <f>SUM(J9:J14)</f>
        <v>7926</v>
      </c>
      <c r="K15" s="28">
        <f>SUM(K9:K14)</f>
        <v>40729</v>
      </c>
      <c r="L15" s="28">
        <f>SUM(L9:L14)</f>
        <v>178325</v>
      </c>
      <c r="M15" s="28">
        <f>SUM(M9:M14)</f>
        <v>243920</v>
      </c>
      <c r="N15" s="28">
        <f>SUM(N9:N14)</f>
        <v>492637</v>
      </c>
      <c r="O15" s="28">
        <f>SUM(O9:O14)</f>
        <v>488011</v>
      </c>
      <c r="P15" s="28">
        <f>SUM(P9:P14)</f>
        <v>518130</v>
      </c>
      <c r="Q15" s="28">
        <f>SUM(Q9:Q14)</f>
        <v>642594</v>
      </c>
      <c r="R15" s="28">
        <f>SUM(R9:R14)</f>
        <v>721010</v>
      </c>
      <c r="S15" s="28">
        <f>SUM(S9:S14)</f>
        <v>776441</v>
      </c>
      <c r="T15" s="28">
        <f>SUM(T9:T14)</f>
        <v>815573</v>
      </c>
      <c r="U15" s="28">
        <f>SUM(U9:U14)</f>
        <v>883990</v>
      </c>
      <c r="V15" s="28">
        <f>SUM(V9:V14)</f>
        <v>915762</v>
      </c>
      <c r="W15" s="28">
        <f>SUM(W9:W14)</f>
        <v>967402</v>
      </c>
      <c r="X15" s="28">
        <f>SUM(X9:X14)</f>
        <v>1037299</v>
      </c>
      <c r="Y15" s="28">
        <f>SUM(Y9:Y14)</f>
        <v>1097733</v>
      </c>
      <c r="Z15" s="28">
        <f>SUM(Z9:Z14)</f>
        <v>1141055</v>
      </c>
      <c r="AA15" s="29">
        <f>SUM(AA9:AA14)</f>
        <v>1201217</v>
      </c>
      <c r="AB15" s="29">
        <f>SUM(AB9:AB14)</f>
        <v>10005000</v>
      </c>
      <c r="AC15" s="30">
        <f>SUM(AC9:AC14)</f>
        <v>33000000</v>
      </c>
      <c r="AD15" s="30">
        <f>SUM(AD9:AD14)</f>
        <v>70000000</v>
      </c>
      <c r="AE15" s="30">
        <f>SUM(AE9:AE14)</f>
        <v>156000000</v>
      </c>
      <c r="AF15" s="28">
        <f>SUM(AF9:AF14)</f>
        <v>270206217</v>
      </c>
    </row>
    <row r="16">
      <c r="A16" s="2" t="inlineStr">
        <is>
          <t>검증: 제품 합계 − 4_매출_거래처 B합계(0이어야 함)</t>
        </is>
      </c>
      <c r="C16" s="60">
        <f>C15-'4_매출_거래처'!X90</f>
        <v>0</v>
      </c>
      <c r="D16" s="60">
        <f>D15-'4_매출_거래처'!Y90</f>
        <v>0</v>
      </c>
      <c r="E16" s="60">
        <f>E15-'4_매출_거래처'!Z90</f>
        <v>0</v>
      </c>
      <c r="F16" s="60">
        <f>F15-'4_매출_거래처'!AA90</f>
        <v>0</v>
      </c>
      <c r="G16" s="60">
        <f>G15-'4_매출_거래처'!AB90</f>
        <v>0</v>
      </c>
      <c r="H16" s="60">
        <f>H15-'4_매출_거래처'!AC90</f>
        <v>0</v>
      </c>
      <c r="I16" s="60">
        <f>I15-'4_매출_거래처'!AD90</f>
        <v>0</v>
      </c>
      <c r="J16" s="60">
        <f>J15-'4_매출_거래처'!AE90</f>
        <v>0</v>
      </c>
      <c r="K16" s="60">
        <f>K15-'4_매출_거래처'!AF90</f>
        <v>0</v>
      </c>
      <c r="L16" s="60">
        <f>L15-'4_매출_거래처'!AG90</f>
        <v>0</v>
      </c>
      <c r="M16" s="60">
        <f>M15-'4_매출_거래처'!AH90</f>
        <v>0</v>
      </c>
      <c r="N16" s="60">
        <f>N15-'4_매출_거래처'!AI90</f>
        <v>0</v>
      </c>
      <c r="O16" s="60">
        <f>O15-'4_매출_거래처'!AJ90</f>
        <v>0</v>
      </c>
      <c r="P16" s="60">
        <f>P15-'4_매출_거래처'!AK90</f>
        <v>0</v>
      </c>
      <c r="Q16" s="60">
        <f>Q15-'4_매출_거래처'!AL90</f>
        <v>0</v>
      </c>
      <c r="R16" s="60">
        <f>R15-'4_매출_거래처'!AM90</f>
        <v>0</v>
      </c>
      <c r="S16" s="60">
        <f>S15-'4_매출_거래처'!AN90</f>
        <v>0</v>
      </c>
      <c r="T16" s="60">
        <f>T15-'4_매출_거래처'!AO90</f>
        <v>0</v>
      </c>
      <c r="U16" s="60">
        <f>U15-'4_매출_거래처'!AP90</f>
        <v>0</v>
      </c>
      <c r="V16" s="60">
        <f>V15-'4_매출_거래처'!AQ90</f>
        <v>0</v>
      </c>
      <c r="W16" s="60">
        <f>W15-'4_매출_거래처'!AR90</f>
        <v>0</v>
      </c>
      <c r="X16" s="60">
        <f>X15-'4_매출_거래처'!AS90</f>
        <v>0</v>
      </c>
      <c r="Y16" s="60">
        <f>Y15-'4_매출_거래처'!AT90</f>
        <v>0</v>
      </c>
      <c r="Z16" s="60">
        <f>Z15-'4_매출_거래처'!AU90</f>
        <v>0</v>
      </c>
      <c r="AA16" s="60">
        <f>AA15-'4_매출_거래처'!AV90</f>
        <v>0</v>
      </c>
      <c r="AB16" s="60">
        <f>AB15-'4_매출_거래처'!AW90</f>
        <v>0</v>
      </c>
      <c r="AC16" s="60">
        <f>AC15-'4_매출_거래처'!AX90</f>
        <v>0</v>
      </c>
      <c r="AD16" s="60">
        <f>AD15-'4_매출_거래처'!AY90</f>
        <v>0</v>
      </c>
      <c r="AE16" s="60">
        <f>AE15-'4_매출_거래처'!AZ90</f>
        <v>0</v>
      </c>
      <c r="AF16" s="60">
        <f>AF15-'4_매출_거래처'!BA90</f>
        <v>0</v>
      </c>
    </row>
    <row r="17">
      <c r="A17" s="3" t="inlineStr">
        <is>
          <t>B. 카테고리별 매출 (베이비 / 엘더리)</t>
        </is>
      </c>
    </row>
    <row r="18">
      <c r="A18" s="15" t="inlineStr">
        <is>
          <t>베이비</t>
        </is>
      </c>
      <c r="C18" s="69">
        <f>SUMIF('4_매출_거래처'!$E$54:$E$89,$A18,'4_매출_거래처'!X$54:X$89)</f>
        <v>7738</v>
      </c>
      <c r="D18" s="69">
        <f>SUMIF('4_매출_거래처'!$E$54:$E$89,$A18,'4_매출_거래처'!Y$54:Y$89)</f>
        <v>9569</v>
      </c>
      <c r="E18" s="69">
        <f>SUMIF('4_매출_거래처'!$E$54:$E$89,$A18,'4_매출_거래처'!Z$54:Z$89)</f>
        <v>33009</v>
      </c>
      <c r="F18" s="69">
        <f>SUMIF('4_매출_거래처'!$E$54:$E$89,$A18,'4_매출_거래처'!AA$54:AA$89)</f>
        <v>10450</v>
      </c>
      <c r="G18" s="69">
        <f>SUMIF('4_매출_거래처'!$E$54:$E$89,$A18,'4_매출_거래처'!AB$54:AB$89)</f>
        <v>21318</v>
      </c>
      <c r="H18" s="69">
        <f>SUMIF('4_매출_거래처'!$E$54:$E$89,$A18,'4_매출_거래처'!AC$54:AC$89)</f>
        <v>50361</v>
      </c>
      <c r="I18" s="69">
        <f>SUMIF('4_매출_거래처'!$E$54:$E$89,$A18,'4_매출_거래처'!AD$54:AD$89)</f>
        <v>11631</v>
      </c>
      <c r="J18" s="69">
        <f>SUMIF('4_매출_거래처'!$E$54:$E$89,$A18,'4_매출_거래처'!AE$54:AE$89)</f>
        <v>7239</v>
      </c>
      <c r="K18" s="69">
        <f>SUMIF('4_매출_거래처'!$E$54:$E$89,$A18,'4_매출_거래처'!AF$54:AF$89)</f>
        <v>7128</v>
      </c>
      <c r="L18" s="69">
        <f>SUMIF('4_매출_거래처'!$E$54:$E$89,$A18,'4_매출_거래처'!AG$54:AG$89)</f>
        <v>8700</v>
      </c>
      <c r="M18" s="69">
        <f>SUMIF('4_매출_거래처'!$E$54:$E$89,$A18,'4_매출_거래처'!AH$54:AH$89)</f>
        <v>28700</v>
      </c>
      <c r="N18" s="69">
        <f>SUMIF('4_매출_거래처'!$E$54:$E$89,$A18,'4_매출_거래처'!AI$54:AI$89)</f>
        <v>38700</v>
      </c>
      <c r="O18" s="69">
        <f>SUMIF('4_매출_거래처'!$E$54:$E$89,$A18,'4_매출_거래처'!AJ$54:AJ$89)</f>
        <v>165079</v>
      </c>
      <c r="P18" s="69">
        <f>SUMIF('4_매출_거래처'!$E$54:$E$89,$A18,'4_매출_거래처'!AK$54:AK$89)</f>
        <v>151416</v>
      </c>
      <c r="Q18" s="69">
        <f>SUMIF('4_매출_거래처'!$E$54:$E$89,$A18,'4_매출_거래처'!AL$54:AL$89)</f>
        <v>160347</v>
      </c>
      <c r="R18" s="69">
        <f>SUMIF('4_매출_거래처'!$E$54:$E$89,$A18,'4_매출_거래처'!AM$54:AM$89)</f>
        <v>178751</v>
      </c>
      <c r="S18" s="69">
        <f>SUMIF('4_매출_거래처'!$E$54:$E$89,$A18,'4_매출_거래처'!AN$54:AN$89)</f>
        <v>182484</v>
      </c>
      <c r="T18" s="69">
        <f>SUMIF('4_매출_거래처'!$E$54:$E$89,$A18,'4_매출_거래처'!AO$54:AO$89)</f>
        <v>186577</v>
      </c>
      <c r="U18" s="69">
        <f>SUMIF('4_매출_거래처'!$E$54:$E$89,$A18,'4_매출_거래처'!AP$54:AP$89)</f>
        <v>219063</v>
      </c>
      <c r="V18" s="69">
        <f>SUMIF('4_매출_거래처'!$E$54:$E$89,$A18,'4_매출_거래처'!AQ$54:AQ$89)</f>
        <v>223981</v>
      </c>
      <c r="W18" s="69">
        <f>SUMIF('4_매출_거래처'!$E$54:$E$89,$A18,'4_매출_거래처'!AR$54:AR$89)</f>
        <v>229373</v>
      </c>
      <c r="X18" s="69">
        <f>SUMIF('4_매출_거래처'!$E$54:$E$89,$A18,'4_매출_거래처'!AS$54:AS$89)</f>
        <v>251286</v>
      </c>
      <c r="Y18" s="69">
        <f>SUMIF('4_매출_거래처'!$E$54:$E$89,$A18,'4_매출_거래처'!AT$54:AT$89)</f>
        <v>257768</v>
      </c>
      <c r="Z18" s="69">
        <f>SUMIF('4_매출_거래처'!$E$54:$E$89,$A18,'4_매출_거래처'!AU$54:AU$89)</f>
        <v>264875</v>
      </c>
      <c r="AA18" s="25">
        <f>SUM(C18:N18)</f>
        <v>234543</v>
      </c>
      <c r="AB18" s="25">
        <f>SUM(O18:Z18)</f>
        <v>2471000</v>
      </c>
      <c r="AC18" s="68">
        <f>SUMIF('4_매출_거래처'!$E$54:$E$89,$A18,'4_매출_거래처'!AX$54:AX$89)</f>
        <v>4227400</v>
      </c>
      <c r="AD18" s="68">
        <f>SUMIF('4_매출_거래처'!$E$54:$E$89,$A18,'4_매출_거래처'!AY$54:AY$89)</f>
        <v>5893680</v>
      </c>
      <c r="AE18" s="68">
        <f>SUMIF('4_매출_거래처'!$E$54:$E$89,$A18,'4_매출_거래처'!AZ$54:AZ$89)</f>
        <v>7479513.6</v>
      </c>
      <c r="AF18" s="24">
        <f>SUM(AA18:AE18)</f>
        <v>20306136.6</v>
      </c>
    </row>
    <row r="19">
      <c r="A19" s="15" t="inlineStr">
        <is>
          <t>엘더리</t>
        </is>
      </c>
      <c r="C19" s="69">
        <f>SUMIF('4_매출_거래처'!$E$54:$E$89,$A19,'4_매출_거래처'!X$54:X$89)</f>
        <v>39329</v>
      </c>
      <c r="D19" s="69">
        <f>SUMIF('4_매출_거래처'!$E$54:$E$89,$A19,'4_매출_거래처'!Y$54:Y$89)</f>
        <v>26571</v>
      </c>
      <c r="E19" s="69">
        <f>SUMIF('4_매출_거래처'!$E$54:$E$89,$A19,'4_매출_거래처'!Z$54:Z$89)</f>
        <v>23445</v>
      </c>
      <c r="F19" s="69">
        <f>SUMIF('4_매출_거래처'!$E$54:$E$89,$A19,'4_매출_거래처'!AA$54:AA$89)</f>
        <v>485</v>
      </c>
      <c r="G19" s="69">
        <f>SUMIF('4_매출_거래처'!$E$54:$E$89,$A19,'4_매출_거래처'!AB$54:AB$89)</f>
        <v>999</v>
      </c>
      <c r="H19" s="69">
        <f>SUMIF('4_매출_거래처'!$E$54:$E$89,$A19,'4_매출_거래처'!AC$54:AC$89)</f>
        <v>1092</v>
      </c>
      <c r="I19" s="69">
        <f>SUMIF('4_매출_거래처'!$E$54:$E$89,$A19,'4_매출_거래처'!AD$54:AD$89)</f>
        <v>1683</v>
      </c>
      <c r="J19" s="69">
        <f>SUMIF('4_매출_거래처'!$E$54:$E$89,$A19,'4_매출_거래처'!AE$54:AE$89)</f>
        <v>687</v>
      </c>
      <c r="K19" s="69">
        <f>SUMIF('4_매출_거래처'!$E$54:$E$89,$A19,'4_매출_거래처'!AF$54:AF$89)</f>
        <v>33601</v>
      </c>
      <c r="L19" s="69">
        <f>SUMIF('4_매출_거래처'!$E$54:$E$89,$A19,'4_매출_거래처'!AG$54:AG$89)</f>
        <v>169625</v>
      </c>
      <c r="M19" s="69">
        <f>SUMIF('4_매출_거래처'!$E$54:$E$89,$A19,'4_매출_거래처'!AH$54:AH$89)</f>
        <v>215220</v>
      </c>
      <c r="N19" s="69">
        <f>SUMIF('4_매출_거래처'!$E$54:$E$89,$A19,'4_매출_거래처'!AI$54:AI$89)</f>
        <v>453937</v>
      </c>
      <c r="O19" s="69">
        <f>SUMIF('4_매출_거래처'!$E$54:$E$89,$A19,'4_매출_거래처'!AJ$54:AJ$89)</f>
        <v>322932</v>
      </c>
      <c r="P19" s="69">
        <f>SUMIF('4_매출_거래처'!$E$54:$E$89,$A19,'4_매출_거래처'!AK$54:AK$89)</f>
        <v>366714</v>
      </c>
      <c r="Q19" s="69">
        <f>SUMIF('4_매출_거래처'!$E$54:$E$89,$A19,'4_매출_거래처'!AL$54:AL$89)</f>
        <v>482247</v>
      </c>
      <c r="R19" s="69">
        <f>SUMIF('4_매출_거래처'!$E$54:$E$89,$A19,'4_매출_거래처'!AM$54:AM$89)</f>
        <v>542259</v>
      </c>
      <c r="S19" s="69">
        <f>SUMIF('4_매출_거래처'!$E$54:$E$89,$A19,'4_매출_거래처'!AN$54:AN$89)</f>
        <v>593957</v>
      </c>
      <c r="T19" s="69">
        <f>SUMIF('4_매출_거래처'!$E$54:$E$89,$A19,'4_매출_거래처'!AO$54:AO$89)</f>
        <v>628996</v>
      </c>
      <c r="U19" s="69">
        <f>SUMIF('4_매출_거래처'!$E$54:$E$89,$A19,'4_매출_거래처'!AP$54:AP$89)</f>
        <v>664927</v>
      </c>
      <c r="V19" s="69">
        <f>SUMIF('4_매출_거래처'!$E$54:$E$89,$A19,'4_매출_거래처'!AQ$54:AQ$89)</f>
        <v>691781</v>
      </c>
      <c r="W19" s="69">
        <f>SUMIF('4_매출_거래처'!$E$54:$E$89,$A19,'4_매출_거래처'!AR$54:AR$89)</f>
        <v>738029</v>
      </c>
      <c r="X19" s="69">
        <f>SUMIF('4_매출_거래처'!$E$54:$E$89,$A19,'4_매출_거래처'!AS$54:AS$89)</f>
        <v>786013</v>
      </c>
      <c r="Y19" s="69">
        <f>SUMIF('4_매출_거래처'!$E$54:$E$89,$A19,'4_매출_거래처'!AT$54:AT$89)</f>
        <v>839965</v>
      </c>
      <c r="Z19" s="69">
        <f>SUMIF('4_매출_거래처'!$E$54:$E$89,$A19,'4_매출_거래처'!AU$54:AU$89)</f>
        <v>876180</v>
      </c>
      <c r="AA19" s="25">
        <f>SUM(C19:N19)</f>
        <v>966674</v>
      </c>
      <c r="AB19" s="25">
        <f>SUM(O19:Z19)</f>
        <v>7534000</v>
      </c>
      <c r="AC19" s="68">
        <f>SUMIF('4_매출_거래처'!$E$54:$E$89,$A19,'4_매출_거래처'!AX$54:AX$89)</f>
        <v>28772600</v>
      </c>
      <c r="AD19" s="68">
        <f>SUMIF('4_매출_거래처'!$E$54:$E$89,$A19,'4_매출_거래처'!AY$54:AY$89)</f>
        <v>64106320</v>
      </c>
      <c r="AE19" s="68">
        <f>SUMIF('4_매출_거래처'!$E$54:$E$89,$A19,'4_매출_거래처'!AZ$54:AZ$89)</f>
        <v>148520486.4</v>
      </c>
      <c r="AF19" s="24">
        <f>SUM(AA19:AE19)</f>
        <v>249900080.4</v>
      </c>
    </row>
    <row r="20">
      <c r="A20" s="12" t="inlineStr">
        <is>
          <t>카테고리 합계</t>
        </is>
      </c>
      <c r="C20" s="28">
        <f>SUM(C18:C19)</f>
        <v>47067</v>
      </c>
      <c r="D20" s="28">
        <f>SUM(D18:D19)</f>
        <v>36140</v>
      </c>
      <c r="E20" s="28">
        <f>SUM(E18:E19)</f>
        <v>56454</v>
      </c>
      <c r="F20" s="28">
        <f>SUM(F18:F19)</f>
        <v>10935</v>
      </c>
      <c r="G20" s="28">
        <f>SUM(G18:G19)</f>
        <v>22317</v>
      </c>
      <c r="H20" s="28">
        <f>SUM(H18:H19)</f>
        <v>51453</v>
      </c>
      <c r="I20" s="28">
        <f>SUM(I18:I19)</f>
        <v>13314</v>
      </c>
      <c r="J20" s="28">
        <f>SUM(J18:J19)</f>
        <v>7926</v>
      </c>
      <c r="K20" s="28">
        <f>SUM(K18:K19)</f>
        <v>40729</v>
      </c>
      <c r="L20" s="28">
        <f>SUM(L18:L19)</f>
        <v>178325</v>
      </c>
      <c r="M20" s="28">
        <f>SUM(M18:M19)</f>
        <v>243920</v>
      </c>
      <c r="N20" s="28">
        <f>SUM(N18:N19)</f>
        <v>492637</v>
      </c>
      <c r="O20" s="28">
        <f>SUM(O18:O19)</f>
        <v>488011</v>
      </c>
      <c r="P20" s="28">
        <f>SUM(P18:P19)</f>
        <v>518130</v>
      </c>
      <c r="Q20" s="28">
        <f>SUM(Q18:Q19)</f>
        <v>642594</v>
      </c>
      <c r="R20" s="28">
        <f>SUM(R18:R19)</f>
        <v>721010</v>
      </c>
      <c r="S20" s="28">
        <f>SUM(S18:S19)</f>
        <v>776441</v>
      </c>
      <c r="T20" s="28">
        <f>SUM(T18:T19)</f>
        <v>815573</v>
      </c>
      <c r="U20" s="28">
        <f>SUM(U18:U19)</f>
        <v>883990</v>
      </c>
      <c r="V20" s="28">
        <f>SUM(V18:V19)</f>
        <v>915762</v>
      </c>
      <c r="W20" s="28">
        <f>SUM(W18:W19)</f>
        <v>967402</v>
      </c>
      <c r="X20" s="28">
        <f>SUM(X18:X19)</f>
        <v>1037299</v>
      </c>
      <c r="Y20" s="28">
        <f>SUM(Y18:Y19)</f>
        <v>1097733</v>
      </c>
      <c r="Z20" s="28">
        <f>SUM(Z18:Z19)</f>
        <v>1141055</v>
      </c>
      <c r="AA20" s="29">
        <f>SUM(AA18:AA19)</f>
        <v>1201217</v>
      </c>
      <c r="AB20" s="29">
        <f>SUM(AB18:AB19)</f>
        <v>10005000</v>
      </c>
      <c r="AC20" s="30">
        <f>SUM(AC18:AC19)</f>
        <v>33000000</v>
      </c>
      <c r="AD20" s="30">
        <f>SUM(AD18:AD19)</f>
        <v>70000000</v>
      </c>
      <c r="AE20" s="30">
        <f>SUM(AE18:AE19)</f>
        <v>156000000</v>
      </c>
      <c r="AF20" s="28">
        <f>SUM(AF18:AF19)</f>
        <v>270206217</v>
      </c>
    </row>
    <row r="21">
      <c r="A21" s="2" t="inlineStr">
        <is>
          <t>검증: 카테고리 합계 − 제품 합계(0이어야 함)</t>
        </is>
      </c>
      <c r="C21" s="60">
        <f>C20-C15</f>
        <v>0</v>
      </c>
      <c r="D21" s="60">
        <f>D20-D15</f>
        <v>0</v>
      </c>
      <c r="E21" s="60">
        <f>E20-E15</f>
        <v>0</v>
      </c>
      <c r="F21" s="60">
        <f>F20-F15</f>
        <v>0</v>
      </c>
      <c r="G21" s="60">
        <f>G20-G15</f>
        <v>0</v>
      </c>
      <c r="H21" s="60">
        <f>H20-H15</f>
        <v>0</v>
      </c>
      <c r="I21" s="60">
        <f>I20-I15</f>
        <v>0</v>
      </c>
      <c r="J21" s="60">
        <f>J20-J15</f>
        <v>0</v>
      </c>
      <c r="K21" s="60">
        <f>K20-K15</f>
        <v>0</v>
      </c>
      <c r="L21" s="60">
        <f>L20-L15</f>
        <v>0</v>
      </c>
      <c r="M21" s="60">
        <f>M20-M15</f>
        <v>0</v>
      </c>
      <c r="N21" s="60">
        <f>N20-N15</f>
        <v>0</v>
      </c>
      <c r="O21" s="60">
        <f>O20-O15</f>
        <v>0</v>
      </c>
      <c r="P21" s="60">
        <f>P20-P15</f>
        <v>0</v>
      </c>
      <c r="Q21" s="60">
        <f>Q20-Q15</f>
        <v>0</v>
      </c>
      <c r="R21" s="60">
        <f>R20-R15</f>
        <v>0</v>
      </c>
      <c r="S21" s="60">
        <f>S20-S15</f>
        <v>0</v>
      </c>
      <c r="T21" s="60">
        <f>T20-T15</f>
        <v>0</v>
      </c>
      <c r="U21" s="60">
        <f>U20-U15</f>
        <v>0</v>
      </c>
      <c r="V21" s="60">
        <f>V20-V15</f>
        <v>0</v>
      </c>
      <c r="W21" s="60">
        <f>W20-W15</f>
        <v>0</v>
      </c>
      <c r="X21" s="60">
        <f>X20-X15</f>
        <v>0</v>
      </c>
      <c r="Y21" s="60">
        <f>Y20-Y15</f>
        <v>0</v>
      </c>
      <c r="Z21" s="60">
        <f>Z20-Z15</f>
        <v>0</v>
      </c>
      <c r="AA21" s="60">
        <f>AA20-AA15</f>
        <v>0</v>
      </c>
      <c r="AB21" s="60">
        <f>AB20-AB15</f>
        <v>0</v>
      </c>
      <c r="AC21" s="60">
        <f>AC20-AC15</f>
        <v>0</v>
      </c>
      <c r="AD21" s="60">
        <f>AD20-AD15</f>
        <v>0</v>
      </c>
      <c r="AE21" s="60">
        <f>AE20-AE15</f>
        <v>0</v>
      </c>
      <c r="AF21" s="60">
        <f>AF20-AF15</f>
        <v>0</v>
      </c>
    </row>
    <row r="23">
      <c r="A23" s="3" t="inlineStr">
        <is>
          <t>C. 지역별 매출</t>
        </is>
      </c>
    </row>
    <row r="24">
      <c r="A24" s="15" t="inlineStr">
        <is>
          <t>한국</t>
        </is>
      </c>
      <c r="C24" s="69">
        <f>SUMIF('4_매출_거래처'!$C$54:$C$89,$A24,'4_매출_거래처'!X$54:X$89)</f>
        <v>34188</v>
      </c>
      <c r="D24" s="69">
        <f>SUMIF('4_매출_거래처'!$C$54:$C$89,$A24,'4_매출_거래처'!Y$54:Y$89)</f>
        <v>36140</v>
      </c>
      <c r="E24" s="69">
        <f>SUMIF('4_매출_거래처'!$C$54:$C$89,$A24,'4_매출_거래처'!Z$54:Z$89)</f>
        <v>14458</v>
      </c>
      <c r="F24" s="69">
        <f>SUMIF('4_매출_거래처'!$C$54:$C$89,$A24,'4_매출_거래처'!AA$54:AA$89)</f>
        <v>10935</v>
      </c>
      <c r="G24" s="69">
        <f>SUMIF('4_매출_거래처'!$C$54:$C$89,$A24,'4_매출_거래처'!AB$54:AB$89)</f>
        <v>7313</v>
      </c>
      <c r="H24" s="69">
        <f>SUMIF('4_매출_거래처'!$C$54:$C$89,$A24,'4_매출_거래처'!AC$54:AC$89)</f>
        <v>12220</v>
      </c>
      <c r="I24" s="69">
        <f>SUMIF('4_매출_거래처'!$C$54:$C$89,$A24,'4_매출_거래처'!AD$54:AD$89)</f>
        <v>13314</v>
      </c>
      <c r="J24" s="69">
        <f>SUMIF('4_매출_거래처'!$C$54:$C$89,$A24,'4_매출_거래처'!AE$54:AE$89)</f>
        <v>7926</v>
      </c>
      <c r="K24" s="69">
        <f>SUMIF('4_매출_거래처'!$C$54:$C$89,$A24,'4_매출_거래처'!AF$54:AF$89)</f>
        <v>7523</v>
      </c>
      <c r="L24" s="69">
        <f>SUMIF('4_매출_거래처'!$C$54:$C$89,$A24,'4_매출_거래처'!AG$54:AG$89)</f>
        <v>138700</v>
      </c>
      <c r="M24" s="69">
        <f>SUMIF('4_매출_거래처'!$C$54:$C$89,$A24,'4_매출_거래처'!AH$54:AH$89)</f>
        <v>176670</v>
      </c>
      <c r="N24" s="69">
        <f>SUMIF('4_매출_거래처'!$C$54:$C$89,$A24,'4_매출_거래처'!AI$54:AI$89)</f>
        <v>197680</v>
      </c>
      <c r="O24" s="69">
        <f>SUMIF('4_매출_거래처'!$C$54:$C$89,$A24,'4_매출_거래처'!AJ$54:AJ$89)</f>
        <v>393093</v>
      </c>
      <c r="P24" s="69">
        <f>SUMIF('4_매출_거래처'!$C$54:$C$89,$A24,'4_매출_거래처'!AK$54:AK$89)</f>
        <v>405456</v>
      </c>
      <c r="Q24" s="69">
        <f>SUMIF('4_매출_거래처'!$C$54:$C$89,$A24,'4_매출_거래처'!AL$54:AL$89)</f>
        <v>447119</v>
      </c>
      <c r="R24" s="69">
        <f>SUMIF('4_매출_거래처'!$C$54:$C$89,$A24,'4_매출_거래처'!AM$54:AM$89)</f>
        <v>488897</v>
      </c>
      <c r="S24" s="69">
        <f>SUMIF('4_매출_거래처'!$C$54:$C$89,$A24,'4_매출_거래처'!AN$54:AN$89)</f>
        <v>500801</v>
      </c>
      <c r="T24" s="69">
        <f>SUMIF('4_매출_거래처'!$C$54:$C$89,$A24,'4_매출_거래처'!AO$54:AO$89)</f>
        <v>523311</v>
      </c>
      <c r="U24" s="69">
        <f>SUMIF('4_매출_거래처'!$C$54:$C$89,$A24,'4_매출_거래처'!AP$54:AP$89)</f>
        <v>573507</v>
      </c>
      <c r="V24" s="69">
        <f>SUMIF('4_매출_거래처'!$C$54:$C$89,$A24,'4_매출_거래처'!AQ$54:AQ$89)</f>
        <v>575400</v>
      </c>
      <c r="W24" s="69">
        <f>SUMIF('4_매출_거래처'!$C$54:$C$89,$A24,'4_매출_거래처'!AR$54:AR$89)</f>
        <v>587942</v>
      </c>
      <c r="X24" s="69">
        <f>SUMIF('4_매출_거래처'!$C$54:$C$89,$A24,'4_매출_거래처'!AS$54:AS$89)</f>
        <v>632782</v>
      </c>
      <c r="Y24" s="69">
        <f>SUMIF('4_매출_거래처'!$C$54:$C$89,$A24,'4_매출_거래처'!AT$54:AT$89)</f>
        <v>645745</v>
      </c>
      <c r="Z24" s="69">
        <f>SUMIF('4_매출_거래처'!$C$54:$C$89,$A24,'4_매출_거래처'!AU$54:AU$89)</f>
        <v>658947</v>
      </c>
      <c r="AA24" s="25">
        <f>SUM(C24:N24)</f>
        <v>657067</v>
      </c>
      <c r="AB24" s="25">
        <f>SUM(O24:Z24)</f>
        <v>6433000</v>
      </c>
      <c r="AC24" s="68">
        <f>SUMIF('4_매출_거래처'!$C$54:$C$89,$A24,'4_매출_거래처'!AX$54:AX$89)</f>
        <v>11750264</v>
      </c>
      <c r="AD24" s="68">
        <f>SUMIF('4_매출_거래처'!$C$54:$C$89,$A24,'4_매출_거래처'!AY$54:AY$89)</f>
        <v>17075924</v>
      </c>
      <c r="AE24" s="68">
        <f>SUMIF('4_매출_거래처'!$C$54:$C$89,$A24,'4_매출_거래처'!AZ$54:AZ$89)</f>
        <v>22028629.152</v>
      </c>
      <c r="AF24" s="24">
        <f>SUM(AA24:AE24)</f>
        <v>57944884.152</v>
      </c>
    </row>
    <row r="25">
      <c r="A25" s="15" t="inlineStr">
        <is>
          <t>일본</t>
        </is>
      </c>
      <c r="C25" s="69">
        <f>SUMIF('4_매출_거래처'!$C$54:$C$89,$A25,'4_매출_거래처'!X$54:X$89)</f>
        <v>0</v>
      </c>
      <c r="D25" s="69">
        <f>SUMIF('4_매출_거래처'!$C$54:$C$89,$A25,'4_매출_거래처'!Y$54:Y$89)</f>
        <v>0</v>
      </c>
      <c r="E25" s="69">
        <f>SUMIF('4_매출_거래처'!$C$54:$C$89,$A25,'4_매출_거래처'!Z$54:Z$89)</f>
        <v>0</v>
      </c>
      <c r="F25" s="69">
        <f>SUMIF('4_매출_거래처'!$C$54:$C$89,$A25,'4_매출_거래처'!AA$54:AA$89)</f>
        <v>0</v>
      </c>
      <c r="G25" s="69">
        <f>SUMIF('4_매출_거래처'!$C$54:$C$89,$A25,'4_매출_거래처'!AB$54:AB$89)</f>
        <v>0</v>
      </c>
      <c r="H25" s="69">
        <f>SUMIF('4_매출_거래처'!$C$54:$C$89,$A25,'4_매출_거래처'!AC$54:AC$89)</f>
        <v>0</v>
      </c>
      <c r="I25" s="69">
        <f>SUMIF('4_매출_거래처'!$C$54:$C$89,$A25,'4_매출_거래처'!AD$54:AD$89)</f>
        <v>0</v>
      </c>
      <c r="J25" s="69">
        <f>SUMIF('4_매출_거래처'!$C$54:$C$89,$A25,'4_매출_거래처'!AE$54:AE$89)</f>
        <v>0</v>
      </c>
      <c r="K25" s="69">
        <f>SUMIF('4_매출_거래처'!$C$54:$C$89,$A25,'4_매출_거래처'!AF$54:AF$89)</f>
        <v>0</v>
      </c>
      <c r="L25" s="69">
        <f>SUMIF('4_매출_거래처'!$C$54:$C$89,$A25,'4_매출_거래처'!AG$54:AG$89)</f>
        <v>0</v>
      </c>
      <c r="M25" s="69">
        <f>SUMIF('4_매출_거래처'!$C$54:$C$89,$A25,'4_매출_거래처'!AH$54:AH$89)</f>
        <v>0</v>
      </c>
      <c r="N25" s="69">
        <f>SUMIF('4_매출_거래처'!$C$54:$C$89,$A25,'4_매출_거래처'!AI$54:AI$89)</f>
        <v>0</v>
      </c>
      <c r="O25" s="69">
        <f>SUMIF('4_매출_거래처'!$C$54:$C$89,$A25,'4_매출_거래처'!AJ$54:AJ$89)</f>
        <v>0</v>
      </c>
      <c r="P25" s="69">
        <f>SUMIF('4_매출_거래처'!$C$54:$C$89,$A25,'4_매출_거래처'!AK$54:AK$89)</f>
        <v>6605</v>
      </c>
      <c r="Q25" s="69">
        <f>SUMIF('4_매출_거래처'!$C$54:$C$89,$A25,'4_매출_거래처'!AL$54:AL$89)</f>
        <v>30231</v>
      </c>
      <c r="R25" s="69">
        <f>SUMIF('4_매출_거래처'!$C$54:$C$89,$A25,'4_매출_거래처'!AM$54:AM$89)</f>
        <v>33143</v>
      </c>
      <c r="S25" s="69">
        <f>SUMIF('4_매출_거래처'!$C$54:$C$89,$A25,'4_매출_거래처'!AN$54:AN$89)</f>
        <v>36336</v>
      </c>
      <c r="T25" s="69">
        <f>SUMIF('4_매출_거래처'!$C$54:$C$89,$A25,'4_매출_거래처'!AO$54:AO$89)</f>
        <v>39835</v>
      </c>
      <c r="U25" s="69">
        <f>SUMIF('4_매출_거래처'!$C$54:$C$89,$A25,'4_매출_거래처'!AP$54:AP$89)</f>
        <v>43672</v>
      </c>
      <c r="V25" s="69">
        <f>SUMIF('4_매출_거래처'!$C$54:$C$89,$A25,'4_매출_거래처'!AQ$54:AQ$89)</f>
        <v>47880</v>
      </c>
      <c r="W25" s="69">
        <f>SUMIF('4_매출_거래처'!$C$54:$C$89,$A25,'4_매출_거래처'!AR$54:AR$89)</f>
        <v>52492</v>
      </c>
      <c r="X25" s="69">
        <f>SUMIF('4_매출_거래처'!$C$54:$C$89,$A25,'4_매출_거래처'!AS$54:AS$89)</f>
        <v>57548</v>
      </c>
      <c r="Y25" s="69">
        <f>SUMIF('4_매출_거래처'!$C$54:$C$89,$A25,'4_매출_거래처'!AT$54:AT$89)</f>
        <v>63091</v>
      </c>
      <c r="Z25" s="69">
        <f>SUMIF('4_매출_거래처'!$C$54:$C$89,$A25,'4_매출_거래처'!AU$54:AU$89)</f>
        <v>69167</v>
      </c>
      <c r="AA25" s="25">
        <f>SUM(C25:N25)</f>
        <v>0</v>
      </c>
      <c r="AB25" s="25">
        <f>SUM(O25:Z25)</f>
        <v>480000</v>
      </c>
      <c r="AC25" s="68">
        <f>SUMIF('4_매출_거래처'!$C$54:$C$89,$A25,'4_매출_거래처'!AX$54:AX$89)</f>
        <v>9074868</v>
      </c>
      <c r="AD25" s="68">
        <f>SUMIF('4_매출_거래처'!$C$54:$C$89,$A25,'4_매출_거래처'!AY$54:AY$89)</f>
        <v>29187987.8459796</v>
      </c>
      <c r="AE25" s="68">
        <f>SUMIF('4_매출_거래처'!$C$54:$C$89,$A25,'4_매출_거래처'!AZ$54:AZ$89)</f>
        <v>60535684.6095676</v>
      </c>
      <c r="AF25" s="24">
        <f>SUM(AA25:AE25)</f>
        <v>99278540.4555472</v>
      </c>
    </row>
    <row r="26">
      <c r="A26" s="15" t="inlineStr">
        <is>
          <t>동남아·APAC</t>
        </is>
      </c>
      <c r="C26" s="69">
        <f>SUMIF('4_매출_거래처'!$C$54:$C$89,$A26,'4_매출_거래처'!X$54:X$89)</f>
        <v>12879</v>
      </c>
      <c r="D26" s="69">
        <f>SUMIF('4_매출_거래처'!$C$54:$C$89,$A26,'4_매출_거래처'!Y$54:Y$89)</f>
        <v>0</v>
      </c>
      <c r="E26" s="69">
        <f>SUMIF('4_매출_거래처'!$C$54:$C$89,$A26,'4_매출_거래처'!Z$54:Z$89)</f>
        <v>35637</v>
      </c>
      <c r="F26" s="69">
        <f>SUMIF('4_매출_거래처'!$C$54:$C$89,$A26,'4_매출_거래처'!AA$54:AA$89)</f>
        <v>0</v>
      </c>
      <c r="G26" s="69">
        <f>SUMIF('4_매출_거래처'!$C$54:$C$89,$A26,'4_매출_거래처'!AB$54:AB$89)</f>
        <v>15004</v>
      </c>
      <c r="H26" s="69">
        <f>SUMIF('4_매출_거래처'!$C$54:$C$89,$A26,'4_매출_거래처'!AC$54:AC$89)</f>
        <v>39233</v>
      </c>
      <c r="I26" s="69">
        <f>SUMIF('4_매출_거래처'!$C$54:$C$89,$A26,'4_매출_거래처'!AD$54:AD$89)</f>
        <v>0</v>
      </c>
      <c r="J26" s="69">
        <f>SUMIF('4_매출_거래처'!$C$54:$C$89,$A26,'4_매출_거래처'!AE$54:AE$89)</f>
        <v>0</v>
      </c>
      <c r="K26" s="69">
        <f>SUMIF('4_매출_거래처'!$C$54:$C$89,$A26,'4_매출_거래처'!AF$54:AF$89)</f>
        <v>1903</v>
      </c>
      <c r="L26" s="69">
        <f>SUMIF('4_매출_거래처'!$C$54:$C$89,$A26,'4_매출_거래처'!AG$54:AG$89)</f>
        <v>23625</v>
      </c>
      <c r="M26" s="69">
        <f>SUMIF('4_매출_거래처'!$C$54:$C$89,$A26,'4_매출_거래처'!AH$54:AH$89)</f>
        <v>67250</v>
      </c>
      <c r="N26" s="69">
        <f>SUMIF('4_매출_거래처'!$C$54:$C$89,$A26,'4_매출_거래처'!AI$54:AI$89)</f>
        <v>208957</v>
      </c>
      <c r="O26" s="69">
        <f>SUMIF('4_매출_거래처'!$C$54:$C$89,$A26,'4_매출_거래처'!AJ$54:AJ$89)</f>
        <v>59562</v>
      </c>
      <c r="P26" s="69">
        <f>SUMIF('4_매출_거래처'!$C$54:$C$89,$A26,'4_매출_거래처'!AK$54:AK$89)</f>
        <v>61398</v>
      </c>
      <c r="Q26" s="69">
        <f>SUMIF('4_매출_거래처'!$C$54:$C$89,$A26,'4_매출_거래처'!AL$54:AL$89)</f>
        <v>98544</v>
      </c>
      <c r="R26" s="69">
        <f>SUMIF('4_매출_거래처'!$C$54:$C$89,$A26,'4_매출_거래처'!AM$54:AM$89)</f>
        <v>129756</v>
      </c>
      <c r="S26" s="69">
        <f>SUMIF('4_매출_거래처'!$C$54:$C$89,$A26,'4_매출_거래처'!AN$54:AN$89)</f>
        <v>137802</v>
      </c>
      <c r="T26" s="69">
        <f>SUMIF('4_매출_거래처'!$C$54:$C$89,$A26,'4_매출_거래처'!AO$54:AO$89)</f>
        <v>146623</v>
      </c>
      <c r="U26" s="69">
        <f>SUMIF('4_매출_거래처'!$C$54:$C$89,$A26,'4_매출_거래처'!AP$54:AP$89)</f>
        <v>156291</v>
      </c>
      <c r="V26" s="69">
        <f>SUMIF('4_매출_거래처'!$C$54:$C$89,$A26,'4_매출_거래처'!AQ$54:AQ$89)</f>
        <v>166891</v>
      </c>
      <c r="W26" s="69">
        <f>SUMIF('4_매출_거래처'!$C$54:$C$89,$A26,'4_매출_거래처'!AR$54:AR$89)</f>
        <v>178513</v>
      </c>
      <c r="X26" s="69">
        <f>SUMIF('4_매출_거래처'!$C$54:$C$89,$A26,'4_매출_거래처'!AS$54:AS$89)</f>
        <v>191255</v>
      </c>
      <c r="Y26" s="69">
        <f>SUMIF('4_매출_거래처'!$C$54:$C$89,$A26,'4_매출_거래처'!AT$54:AT$89)</f>
        <v>225223</v>
      </c>
      <c r="Z26" s="69">
        <f>SUMIF('4_매출_거래처'!$C$54:$C$89,$A26,'4_매출_거래처'!AU$54:AU$89)</f>
        <v>240542</v>
      </c>
      <c r="AA26" s="25">
        <f>SUM(C26:N26)</f>
        <v>404488</v>
      </c>
      <c r="AB26" s="25">
        <f>SUM(O26:Z26)</f>
        <v>1792400</v>
      </c>
      <c r="AC26" s="68">
        <f>SUMIF('4_매출_거래처'!$C$54:$C$89,$A26,'4_매출_거래처'!AX$54:AX$89)</f>
        <v>3851185.51693002</v>
      </c>
      <c r="AD26" s="68">
        <f>SUMIF('4_매출_거래처'!$C$54:$C$89,$A26,'4_매출_거래처'!AY$54:AY$89)</f>
        <v>7310435.26160815</v>
      </c>
      <c r="AE26" s="68">
        <f>SUMIF('4_매출_거래처'!$C$54:$C$89,$A26,'4_매출_거래처'!AZ$54:AZ$89)</f>
        <v>15200008.1443238</v>
      </c>
      <c r="AF26" s="24">
        <f>SUM(AA26:AE26)</f>
        <v>28558516.9228619</v>
      </c>
    </row>
    <row r="27">
      <c r="A27" s="15" t="inlineStr">
        <is>
          <t>인도</t>
        </is>
      </c>
      <c r="C27" s="69">
        <f>SUMIF('4_매출_거래처'!$C$54:$C$89,$A27,'4_매출_거래처'!X$54:X$89)</f>
        <v>0</v>
      </c>
      <c r="D27" s="69">
        <f>SUMIF('4_매출_거래처'!$C$54:$C$89,$A27,'4_매출_거래처'!Y$54:Y$89)</f>
        <v>0</v>
      </c>
      <c r="E27" s="69">
        <f>SUMIF('4_매출_거래처'!$C$54:$C$89,$A27,'4_매출_거래처'!Z$54:Z$89)</f>
        <v>0</v>
      </c>
      <c r="F27" s="69">
        <f>SUMIF('4_매출_거래처'!$C$54:$C$89,$A27,'4_매출_거래처'!AA$54:AA$89)</f>
        <v>0</v>
      </c>
      <c r="G27" s="69">
        <f>SUMIF('4_매출_거래처'!$C$54:$C$89,$A27,'4_매출_거래처'!AB$54:AB$89)</f>
        <v>0</v>
      </c>
      <c r="H27" s="69">
        <f>SUMIF('4_매출_거래처'!$C$54:$C$89,$A27,'4_매출_거래처'!AC$54:AC$89)</f>
        <v>0</v>
      </c>
      <c r="I27" s="69">
        <f>SUMIF('4_매출_거래처'!$C$54:$C$89,$A27,'4_매출_거래처'!AD$54:AD$89)</f>
        <v>0</v>
      </c>
      <c r="J27" s="69">
        <f>SUMIF('4_매출_거래처'!$C$54:$C$89,$A27,'4_매출_거래처'!AE$54:AE$89)</f>
        <v>0</v>
      </c>
      <c r="K27" s="69">
        <f>SUMIF('4_매출_거래처'!$C$54:$C$89,$A27,'4_매출_거래처'!AF$54:AF$89)</f>
        <v>0</v>
      </c>
      <c r="L27" s="69">
        <f>SUMIF('4_매출_거래처'!$C$54:$C$89,$A27,'4_매출_거래처'!AG$54:AG$89)</f>
        <v>0</v>
      </c>
      <c r="M27" s="69">
        <f>SUMIF('4_매출_거래처'!$C$54:$C$89,$A27,'4_매출_거래처'!AH$54:AH$89)</f>
        <v>0</v>
      </c>
      <c r="N27" s="69">
        <f>SUMIF('4_매출_거래처'!$C$54:$C$89,$A27,'4_매출_거래처'!AI$54:AI$89)</f>
        <v>20000</v>
      </c>
      <c r="O27" s="69">
        <f>SUMIF('4_매출_거래처'!$C$54:$C$89,$A27,'4_매출_거래처'!AJ$54:AJ$89)</f>
        <v>3825</v>
      </c>
      <c r="P27" s="69">
        <f>SUMIF('4_매출_거래처'!$C$54:$C$89,$A27,'4_매출_거래처'!AK$54:AK$89)</f>
        <v>4193</v>
      </c>
      <c r="Q27" s="69">
        <f>SUMIF('4_매출_거래처'!$C$54:$C$89,$A27,'4_매출_거래처'!AL$54:AL$89)</f>
        <v>8429</v>
      </c>
      <c r="R27" s="69">
        <f>SUMIF('4_매출_거래처'!$C$54:$C$89,$A27,'4_매출_거래처'!AM$54:AM$89)</f>
        <v>9241</v>
      </c>
      <c r="S27" s="69">
        <f>SUMIF('4_매출_거래처'!$C$54:$C$89,$A27,'4_매출_거래처'!AN$54:AN$89)</f>
        <v>10130</v>
      </c>
      <c r="T27" s="69">
        <f>SUMIF('4_매출_거래처'!$C$54:$C$89,$A27,'4_매출_거래처'!AO$54:AO$89)</f>
        <v>11106</v>
      </c>
      <c r="U27" s="69">
        <f>SUMIF('4_매출_거래처'!$C$54:$C$89,$A27,'4_매출_거래처'!AP$54:AP$89)</f>
        <v>12176</v>
      </c>
      <c r="V27" s="69">
        <f>SUMIF('4_매출_거래처'!$C$54:$C$89,$A27,'4_매출_거래처'!AQ$54:AQ$89)</f>
        <v>23248</v>
      </c>
      <c r="W27" s="69">
        <f>SUMIF('4_매출_거래처'!$C$54:$C$89,$A27,'4_매출_거래처'!AR$54:AR$89)</f>
        <v>25489</v>
      </c>
      <c r="X27" s="69">
        <f>SUMIF('4_매출_거래처'!$C$54:$C$89,$A27,'4_매출_거래처'!AS$54:AS$89)</f>
        <v>27943</v>
      </c>
      <c r="Y27" s="69">
        <f>SUMIF('4_매출_거래처'!$C$54:$C$89,$A27,'4_매출_거래처'!AT$54:AT$89)</f>
        <v>30634</v>
      </c>
      <c r="Z27" s="69">
        <f>SUMIF('4_매출_거래처'!$C$54:$C$89,$A27,'4_매출_거래처'!AU$54:AU$89)</f>
        <v>33586</v>
      </c>
      <c r="AA27" s="25">
        <f>SUM(C27:N27)</f>
        <v>20000</v>
      </c>
      <c r="AB27" s="25">
        <f>SUM(O27:Z27)</f>
        <v>200000</v>
      </c>
      <c r="AC27" s="68">
        <f>SUMIF('4_매출_거래처'!$C$54:$C$89,$A27,'4_매출_거래처'!AX$54:AX$89)</f>
        <v>460000</v>
      </c>
      <c r="AD27" s="68">
        <f>SUMIF('4_매출_거래처'!$C$54:$C$89,$A27,'4_매출_거래처'!AY$54:AY$89)</f>
        <v>1260000</v>
      </c>
      <c r="AE27" s="68">
        <f>SUMIF('4_매출_거래처'!$C$54:$C$89,$A27,'4_매출_거래처'!AZ$54:AZ$89)</f>
        <v>2060000</v>
      </c>
      <c r="AF27" s="24">
        <f>SUM(AA27:AE27)</f>
        <v>4000000</v>
      </c>
    </row>
    <row r="28">
      <c r="A28" s="15" t="inlineStr">
        <is>
          <t>유럽</t>
        </is>
      </c>
      <c r="C28" s="69">
        <f>SUMIF('4_매출_거래처'!$C$54:$C$89,$A28,'4_매출_거래처'!X$54:X$89)</f>
        <v>0</v>
      </c>
      <c r="D28" s="69">
        <f>SUMIF('4_매출_거래처'!$C$54:$C$89,$A28,'4_매출_거래처'!Y$54:Y$89)</f>
        <v>0</v>
      </c>
      <c r="E28" s="69">
        <f>SUMIF('4_매출_거래처'!$C$54:$C$89,$A28,'4_매출_거래처'!Z$54:Z$89)</f>
        <v>6359</v>
      </c>
      <c r="F28" s="69">
        <f>SUMIF('4_매출_거래처'!$C$54:$C$89,$A28,'4_매출_거래처'!AA$54:AA$89)</f>
        <v>0</v>
      </c>
      <c r="G28" s="69">
        <f>SUMIF('4_매출_거래처'!$C$54:$C$89,$A28,'4_매출_거래처'!AB$54:AB$89)</f>
        <v>0</v>
      </c>
      <c r="H28" s="69">
        <f>SUMIF('4_매출_거래처'!$C$54:$C$89,$A28,'4_매출_거래처'!AC$54:AC$89)</f>
        <v>0</v>
      </c>
      <c r="I28" s="69">
        <f>SUMIF('4_매출_거래처'!$C$54:$C$89,$A28,'4_매출_거래처'!AD$54:AD$89)</f>
        <v>0</v>
      </c>
      <c r="J28" s="69">
        <f>SUMIF('4_매출_거래처'!$C$54:$C$89,$A28,'4_매출_거래처'!AE$54:AE$89)</f>
        <v>0</v>
      </c>
      <c r="K28" s="69">
        <f>SUMIF('4_매출_거래처'!$C$54:$C$89,$A28,'4_매출_거래처'!AF$54:AF$89)</f>
        <v>31303</v>
      </c>
      <c r="L28" s="69">
        <f>SUMIF('4_매출_거래처'!$C$54:$C$89,$A28,'4_매출_거래처'!AG$54:AG$89)</f>
        <v>16000</v>
      </c>
      <c r="M28" s="69">
        <f>SUMIF('4_매출_거래처'!$C$54:$C$89,$A28,'4_매출_거래처'!AH$54:AH$89)</f>
        <v>0</v>
      </c>
      <c r="N28" s="69">
        <f>SUMIF('4_매출_거래처'!$C$54:$C$89,$A28,'4_매출_거래처'!AI$54:AI$89)</f>
        <v>66000</v>
      </c>
      <c r="O28" s="69">
        <f>SUMIF('4_매출_거래처'!$C$54:$C$89,$A28,'4_매출_거래처'!AJ$54:AJ$89)</f>
        <v>23411</v>
      </c>
      <c r="P28" s="69">
        <f>SUMIF('4_매출_거래처'!$C$54:$C$89,$A28,'4_매출_거래처'!AK$54:AK$89)</f>
        <v>32358</v>
      </c>
      <c r="Q28" s="69">
        <f>SUMIF('4_매출_거래처'!$C$54:$C$89,$A28,'4_매출_거래처'!AL$54:AL$89)</f>
        <v>33911</v>
      </c>
      <c r="R28" s="69">
        <f>SUMIF('4_매출_거래처'!$C$54:$C$89,$A28,'4_매출_거래처'!AM$54:AM$89)</f>
        <v>35613</v>
      </c>
      <c r="S28" s="69">
        <f>SUMIF('4_매출_거래처'!$C$54:$C$89,$A28,'4_매출_거래처'!AN$54:AN$89)</f>
        <v>67012</v>
      </c>
      <c r="T28" s="69">
        <f>SUMIF('4_매출_거래처'!$C$54:$C$89,$A28,'4_매출_거래처'!AO$54:AO$89)</f>
        <v>70338</v>
      </c>
      <c r="U28" s="69">
        <f>SUMIF('4_매출_거래처'!$C$54:$C$89,$A28,'4_매출_거래처'!AP$54:AP$89)</f>
        <v>73984</v>
      </c>
      <c r="V28" s="69">
        <f>SUMIF('4_매출_거래처'!$C$54:$C$89,$A28,'4_매출_거래처'!AQ$54:AQ$89)</f>
        <v>77983</v>
      </c>
      <c r="W28" s="69">
        <f>SUMIF('4_매출_거래처'!$C$54:$C$89,$A28,'4_매출_거래처'!AR$54:AR$89)</f>
        <v>98606</v>
      </c>
      <c r="X28" s="69">
        <f>SUMIF('4_매출_거래처'!$C$54:$C$89,$A28,'4_매출_거래처'!AS$54:AS$89)</f>
        <v>103411</v>
      </c>
      <c r="Y28" s="69">
        <f>SUMIF('4_매출_거래처'!$C$54:$C$89,$A28,'4_매출_거래처'!AT$54:AT$89)</f>
        <v>108680</v>
      </c>
      <c r="Z28" s="69">
        <f>SUMIF('4_매출_거래처'!$C$54:$C$89,$A28,'4_매출_거래처'!AU$54:AU$89)</f>
        <v>114453</v>
      </c>
      <c r="AA28" s="25">
        <f>SUM(C28:N28)</f>
        <v>119662</v>
      </c>
      <c r="AB28" s="25">
        <f>SUM(O28:Z28)</f>
        <v>839760</v>
      </c>
      <c r="AC28" s="68">
        <f>SUMIF('4_매출_거래처'!$C$54:$C$89,$A28,'4_매출_거래처'!AX$54:AX$89)</f>
        <v>1515892.17155756</v>
      </c>
      <c r="AD28" s="68">
        <f>SUMIF('4_매출_거래처'!$C$54:$C$89,$A28,'4_매출_거래처'!AY$54:AY$89)</f>
        <v>6289124.45300113</v>
      </c>
      <c r="AE28" s="68">
        <f>SUMIF('4_매출_거래처'!$C$54:$C$89,$A28,'4_매출_거래처'!AZ$54:AZ$89)</f>
        <v>13085224.4025048</v>
      </c>
      <c r="AF28" s="24">
        <f>SUM(AA28:AE28)</f>
        <v>21849663.0270635</v>
      </c>
    </row>
    <row r="29">
      <c r="A29" s="15" t="inlineStr">
        <is>
          <t>미국</t>
        </is>
      </c>
      <c r="C29" s="69">
        <f>SUMIF('4_매출_거래처'!$C$54:$C$89,$A29,'4_매출_거래처'!X$54:X$89)</f>
        <v>0</v>
      </c>
      <c r="D29" s="69">
        <f>SUMIF('4_매출_거래처'!$C$54:$C$89,$A29,'4_매출_거래처'!Y$54:Y$89)</f>
        <v>0</v>
      </c>
      <c r="E29" s="69">
        <f>SUMIF('4_매출_거래처'!$C$54:$C$89,$A29,'4_매출_거래처'!Z$54:Z$89)</f>
        <v>0</v>
      </c>
      <c r="F29" s="69">
        <f>SUMIF('4_매출_거래처'!$C$54:$C$89,$A29,'4_매출_거래처'!AA$54:AA$89)</f>
        <v>0</v>
      </c>
      <c r="G29" s="69">
        <f>SUMIF('4_매출_거래처'!$C$54:$C$89,$A29,'4_매출_거래처'!AB$54:AB$89)</f>
        <v>0</v>
      </c>
      <c r="H29" s="69">
        <f>SUMIF('4_매출_거래처'!$C$54:$C$89,$A29,'4_매출_거래처'!AC$54:AC$89)</f>
        <v>0</v>
      </c>
      <c r="I29" s="69">
        <f>SUMIF('4_매출_거래처'!$C$54:$C$89,$A29,'4_매출_거래처'!AD$54:AD$89)</f>
        <v>0</v>
      </c>
      <c r="J29" s="69">
        <f>SUMIF('4_매출_거래처'!$C$54:$C$89,$A29,'4_매출_거래처'!AE$54:AE$89)</f>
        <v>0</v>
      </c>
      <c r="K29" s="69">
        <f>SUMIF('4_매출_거래처'!$C$54:$C$89,$A29,'4_매출_거래처'!AF$54:AF$89)</f>
        <v>0</v>
      </c>
      <c r="L29" s="69">
        <f>SUMIF('4_매출_거래처'!$C$54:$C$89,$A29,'4_매출_거래처'!AG$54:AG$89)</f>
        <v>0</v>
      </c>
      <c r="M29" s="69">
        <f>SUMIF('4_매출_거래처'!$C$54:$C$89,$A29,'4_매출_거래처'!AH$54:AH$89)</f>
        <v>0</v>
      </c>
      <c r="N29" s="69">
        <f>SUMIF('4_매출_거래처'!$C$54:$C$89,$A29,'4_매출_거래처'!AI$54:AI$89)</f>
        <v>0</v>
      </c>
      <c r="O29" s="69">
        <f>SUMIF('4_매출_거래처'!$C$54:$C$89,$A29,'4_매출_거래처'!AJ$54:AJ$89)</f>
        <v>0</v>
      </c>
      <c r="P29" s="69">
        <f>SUMIF('4_매출_거래처'!$C$54:$C$89,$A29,'4_매출_거래처'!AK$54:AK$89)</f>
        <v>0</v>
      </c>
      <c r="Q29" s="69">
        <f>SUMIF('4_매출_거래처'!$C$54:$C$89,$A29,'4_매출_거래처'!AL$54:AL$89)</f>
        <v>16240</v>
      </c>
      <c r="R29" s="69">
        <f>SUMIF('4_매출_거래처'!$C$54:$C$89,$A29,'4_매출_거래처'!AM$54:AM$89)</f>
        <v>16240</v>
      </c>
      <c r="S29" s="69">
        <f>SUMIF('4_매출_거래처'!$C$54:$C$89,$A29,'4_매출_거래처'!AN$54:AN$89)</f>
        <v>16240</v>
      </c>
      <c r="T29" s="69">
        <f>SUMIF('4_매출_거래처'!$C$54:$C$89,$A29,'4_매출_거래처'!AO$54:AO$89)</f>
        <v>16240</v>
      </c>
      <c r="U29" s="69">
        <f>SUMIF('4_매출_거래처'!$C$54:$C$89,$A29,'4_매출_거래처'!AP$54:AP$89)</f>
        <v>16240</v>
      </c>
      <c r="V29" s="69">
        <f>SUMIF('4_매출_거래처'!$C$54:$C$89,$A29,'4_매출_거래처'!AQ$54:AQ$89)</f>
        <v>16240</v>
      </c>
      <c r="W29" s="69">
        <f>SUMIF('4_매출_거래처'!$C$54:$C$89,$A29,'4_매출_거래처'!AR$54:AR$89)</f>
        <v>16240</v>
      </c>
      <c r="X29" s="69">
        <f>SUMIF('4_매출_거래처'!$C$54:$C$89,$A29,'4_매출_거래처'!AS$54:AS$89)</f>
        <v>16240</v>
      </c>
      <c r="Y29" s="69">
        <f>SUMIF('4_매출_거래처'!$C$54:$C$89,$A29,'4_매출_거래처'!AT$54:AT$89)</f>
        <v>16240</v>
      </c>
      <c r="Z29" s="69">
        <f>SUMIF('4_매출_거래처'!$C$54:$C$89,$A29,'4_매출_거래처'!AU$54:AU$89)</f>
        <v>16240</v>
      </c>
      <c r="AA29" s="25">
        <f>SUM(C29:N29)</f>
        <v>0</v>
      </c>
      <c r="AB29" s="25">
        <f>SUM(O29:Z29)</f>
        <v>162400</v>
      </c>
      <c r="AC29" s="68">
        <f>SUMIF('4_매출_거래처'!$C$54:$C$89,$A29,'4_매출_거래처'!AX$54:AX$89)</f>
        <v>3707790.31151242</v>
      </c>
      <c r="AD29" s="68">
        <f>SUMIF('4_매출_거래처'!$C$54:$C$89,$A29,'4_매출_거래처'!AY$54:AY$89)</f>
        <v>4676528.4394111</v>
      </c>
      <c r="AE29" s="68">
        <f>SUMIF('4_매출_거래처'!$C$54:$C$89,$A29,'4_매출_거래처'!AZ$54:AZ$89)</f>
        <v>35290453.6916038</v>
      </c>
      <c r="AF29" s="24">
        <f>SUM(AA29:AE29)</f>
        <v>43837172.4425274</v>
      </c>
    </row>
    <row r="30">
      <c r="A30" s="15" t="inlineStr">
        <is>
          <t>글로벌(삼성채널)</t>
        </is>
      </c>
      <c r="C30" s="69">
        <f>SUMIF('4_매출_거래처'!$C$54:$C$89,$A30,'4_매출_거래처'!X$54:X$89)</f>
        <v>0</v>
      </c>
      <c r="D30" s="69">
        <f>SUMIF('4_매출_거래처'!$C$54:$C$89,$A30,'4_매출_거래처'!Y$54:Y$89)</f>
        <v>0</v>
      </c>
      <c r="E30" s="69">
        <f>SUMIF('4_매출_거래처'!$C$54:$C$89,$A30,'4_매출_거래처'!Z$54:Z$89)</f>
        <v>0</v>
      </c>
      <c r="F30" s="69">
        <f>SUMIF('4_매출_거래처'!$C$54:$C$89,$A30,'4_매출_거래처'!AA$54:AA$89)</f>
        <v>0</v>
      </c>
      <c r="G30" s="69">
        <f>SUMIF('4_매출_거래처'!$C$54:$C$89,$A30,'4_매출_거래처'!AB$54:AB$89)</f>
        <v>0</v>
      </c>
      <c r="H30" s="69">
        <f>SUMIF('4_매출_거래처'!$C$54:$C$89,$A30,'4_매출_거래처'!AC$54:AC$89)</f>
        <v>0</v>
      </c>
      <c r="I30" s="69">
        <f>SUMIF('4_매출_거래처'!$C$54:$C$89,$A30,'4_매출_거래처'!AD$54:AD$89)</f>
        <v>0</v>
      </c>
      <c r="J30" s="69">
        <f>SUMIF('4_매출_거래처'!$C$54:$C$89,$A30,'4_매출_거래처'!AE$54:AE$89)</f>
        <v>0</v>
      </c>
      <c r="K30" s="69">
        <f>SUMIF('4_매출_거래처'!$C$54:$C$89,$A30,'4_매출_거래처'!AF$54:AF$89)</f>
        <v>0</v>
      </c>
      <c r="L30" s="69">
        <f>SUMIF('4_매출_거래처'!$C$54:$C$89,$A30,'4_매출_거래처'!AG$54:AG$89)</f>
        <v>0</v>
      </c>
      <c r="M30" s="69">
        <f>SUMIF('4_매출_거래처'!$C$54:$C$89,$A30,'4_매출_거래처'!AH$54:AH$89)</f>
        <v>0</v>
      </c>
      <c r="N30" s="69">
        <f>SUMIF('4_매출_거래처'!$C$54:$C$89,$A30,'4_매출_거래처'!AI$54:AI$89)</f>
        <v>0</v>
      </c>
      <c r="O30" s="69">
        <f>SUMIF('4_매출_거래처'!$C$54:$C$89,$A30,'4_매출_거래처'!AJ$54:AJ$89)</f>
        <v>8120</v>
      </c>
      <c r="P30" s="69">
        <f>SUMIF('4_매출_거래처'!$C$54:$C$89,$A30,'4_매출_거래처'!AK$54:AK$89)</f>
        <v>8120</v>
      </c>
      <c r="Q30" s="69">
        <f>SUMIF('4_매출_거래처'!$C$54:$C$89,$A30,'4_매출_거래처'!AL$54:AL$89)</f>
        <v>8120</v>
      </c>
      <c r="R30" s="69">
        <f>SUMIF('4_매출_거래처'!$C$54:$C$89,$A30,'4_매출_거래처'!AM$54:AM$89)</f>
        <v>8120</v>
      </c>
      <c r="S30" s="69">
        <f>SUMIF('4_매출_거래처'!$C$54:$C$89,$A30,'4_매출_거래처'!AN$54:AN$89)</f>
        <v>8120</v>
      </c>
      <c r="T30" s="69">
        <f>SUMIF('4_매출_거래처'!$C$54:$C$89,$A30,'4_매출_거래처'!AO$54:AO$89)</f>
        <v>8120</v>
      </c>
      <c r="U30" s="69">
        <f>SUMIF('4_매출_거래처'!$C$54:$C$89,$A30,'4_매출_거래처'!AP$54:AP$89)</f>
        <v>8120</v>
      </c>
      <c r="V30" s="69">
        <f>SUMIF('4_매출_거래처'!$C$54:$C$89,$A30,'4_매출_거래처'!AQ$54:AQ$89)</f>
        <v>8120</v>
      </c>
      <c r="W30" s="69">
        <f>SUMIF('4_매출_거래처'!$C$54:$C$89,$A30,'4_매출_거래처'!AR$54:AR$89)</f>
        <v>8120</v>
      </c>
      <c r="X30" s="69">
        <f>SUMIF('4_매출_거래처'!$C$54:$C$89,$A30,'4_매출_거래처'!AS$54:AS$89)</f>
        <v>8120</v>
      </c>
      <c r="Y30" s="69">
        <f>SUMIF('4_매출_거래처'!$C$54:$C$89,$A30,'4_매출_거래처'!AT$54:AT$89)</f>
        <v>8120</v>
      </c>
      <c r="Z30" s="69">
        <f>SUMIF('4_매출_거래처'!$C$54:$C$89,$A30,'4_매출_거래처'!AU$54:AU$89)</f>
        <v>8120</v>
      </c>
      <c r="AA30" s="25">
        <f>SUM(C30:N30)</f>
        <v>0</v>
      </c>
      <c r="AB30" s="25">
        <f>SUM(O30:Z30)</f>
        <v>97440</v>
      </c>
      <c r="AC30" s="68">
        <f>SUMIF('4_매출_거래처'!$C$54:$C$89,$A30,'4_매출_거래처'!AX$54:AX$89)</f>
        <v>2640000</v>
      </c>
      <c r="AD30" s="68">
        <f>SUMIF('4_매출_거래처'!$C$54:$C$89,$A30,'4_매출_거래처'!AY$54:AY$89)</f>
        <v>4200000.00000001</v>
      </c>
      <c r="AE30" s="68">
        <f>SUMIF('4_매출_거래처'!$C$54:$C$89,$A30,'4_매출_거래처'!AZ$54:AZ$89)</f>
        <v>7800000</v>
      </c>
      <c r="AF30" s="24">
        <f>SUM(AA30:AE30)</f>
        <v>14737440</v>
      </c>
    </row>
    <row r="31">
      <c r="A31" s="12" t="inlineStr">
        <is>
          <t>지역 합계</t>
        </is>
      </c>
      <c r="C31" s="28">
        <f>SUM(C24:C30)</f>
        <v>47067</v>
      </c>
      <c r="D31" s="28">
        <f>SUM(D24:D30)</f>
        <v>36140</v>
      </c>
      <c r="E31" s="28">
        <f>SUM(E24:E30)</f>
        <v>56454</v>
      </c>
      <c r="F31" s="28">
        <f>SUM(F24:F30)</f>
        <v>10935</v>
      </c>
      <c r="G31" s="28">
        <f>SUM(G24:G30)</f>
        <v>22317</v>
      </c>
      <c r="H31" s="28">
        <f>SUM(H24:H30)</f>
        <v>51453</v>
      </c>
      <c r="I31" s="28">
        <f>SUM(I24:I30)</f>
        <v>13314</v>
      </c>
      <c r="J31" s="28">
        <f>SUM(J24:J30)</f>
        <v>7926</v>
      </c>
      <c r="K31" s="28">
        <f>SUM(K24:K30)</f>
        <v>40729</v>
      </c>
      <c r="L31" s="28">
        <f>SUM(L24:L30)</f>
        <v>178325</v>
      </c>
      <c r="M31" s="28">
        <f>SUM(M24:M30)</f>
        <v>243920</v>
      </c>
      <c r="N31" s="28">
        <f>SUM(N24:N30)</f>
        <v>492637</v>
      </c>
      <c r="O31" s="28">
        <f>SUM(O24:O30)</f>
        <v>488011</v>
      </c>
      <c r="P31" s="28">
        <f>SUM(P24:P30)</f>
        <v>518130</v>
      </c>
      <c r="Q31" s="28">
        <f>SUM(Q24:Q30)</f>
        <v>642594</v>
      </c>
      <c r="R31" s="28">
        <f>SUM(R24:R30)</f>
        <v>721010</v>
      </c>
      <c r="S31" s="28">
        <f>SUM(S24:S30)</f>
        <v>776441</v>
      </c>
      <c r="T31" s="28">
        <f>SUM(T24:T30)</f>
        <v>815573</v>
      </c>
      <c r="U31" s="28">
        <f>SUM(U24:U30)</f>
        <v>883990</v>
      </c>
      <c r="V31" s="28">
        <f>SUM(V24:V30)</f>
        <v>915762</v>
      </c>
      <c r="W31" s="28">
        <f>SUM(W24:W30)</f>
        <v>967402</v>
      </c>
      <c r="X31" s="28">
        <f>SUM(X24:X30)</f>
        <v>1037299</v>
      </c>
      <c r="Y31" s="28">
        <f>SUM(Y24:Y30)</f>
        <v>1097733</v>
      </c>
      <c r="Z31" s="28">
        <f>SUM(Z24:Z30)</f>
        <v>1141055</v>
      </c>
      <c r="AA31" s="29">
        <f>SUM(AA24:AA30)</f>
        <v>1201217</v>
      </c>
      <c r="AB31" s="29">
        <f>SUM(AB24:AB30)</f>
        <v>10005000</v>
      </c>
      <c r="AC31" s="30">
        <f>SUM(AC24:AC30)</f>
        <v>33000000</v>
      </c>
      <c r="AD31" s="30">
        <f>SUM(AD24:AD30)</f>
        <v>70000000</v>
      </c>
      <c r="AE31" s="30">
        <f>SUM(AE24:AE30)</f>
        <v>156000000</v>
      </c>
      <c r="AF31" s="28">
        <f>SUM(AF24:AF30)</f>
        <v>270206217</v>
      </c>
    </row>
    <row r="32">
      <c r="A32" s="2" t="inlineStr">
        <is>
          <t>검증: 지역 합계 − 제품 합계(0이어야 함)</t>
        </is>
      </c>
      <c r="C32" s="60">
        <f>C31-C15</f>
        <v>0</v>
      </c>
      <c r="D32" s="60">
        <f>D31-D15</f>
        <v>0</v>
      </c>
      <c r="E32" s="60">
        <f>E31-E15</f>
        <v>0</v>
      </c>
      <c r="F32" s="60">
        <f>F31-F15</f>
        <v>0</v>
      </c>
      <c r="G32" s="60">
        <f>G31-G15</f>
        <v>0</v>
      </c>
      <c r="H32" s="60">
        <f>H31-H15</f>
        <v>0</v>
      </c>
      <c r="I32" s="60">
        <f>I31-I15</f>
        <v>0</v>
      </c>
      <c r="J32" s="60">
        <f>J31-J15</f>
        <v>0</v>
      </c>
      <c r="K32" s="60">
        <f>K31-K15</f>
        <v>0</v>
      </c>
      <c r="L32" s="60">
        <f>L31-L15</f>
        <v>0</v>
      </c>
      <c r="M32" s="60">
        <f>M31-M15</f>
        <v>0</v>
      </c>
      <c r="N32" s="60">
        <f>N31-N15</f>
        <v>0</v>
      </c>
      <c r="O32" s="60">
        <f>O31-O15</f>
        <v>0</v>
      </c>
      <c r="P32" s="60">
        <f>P31-P15</f>
        <v>0</v>
      </c>
      <c r="Q32" s="60">
        <f>Q31-Q15</f>
        <v>0</v>
      </c>
      <c r="R32" s="60">
        <f>R31-R15</f>
        <v>0</v>
      </c>
      <c r="S32" s="60">
        <f>S31-S15</f>
        <v>0</v>
      </c>
      <c r="T32" s="60">
        <f>T31-T15</f>
        <v>0</v>
      </c>
      <c r="U32" s="60">
        <f>U31-U15</f>
        <v>0</v>
      </c>
      <c r="V32" s="60">
        <f>V31-V15</f>
        <v>0</v>
      </c>
      <c r="W32" s="60">
        <f>W31-W15</f>
        <v>0</v>
      </c>
      <c r="X32" s="60">
        <f>X31-X15</f>
        <v>0</v>
      </c>
      <c r="Y32" s="60">
        <f>Y31-Y15</f>
        <v>0</v>
      </c>
      <c r="Z32" s="60">
        <f>Z31-Z15</f>
        <v>0</v>
      </c>
      <c r="AA32" s="60">
        <f>AA31-AA15</f>
        <v>0</v>
      </c>
      <c r="AB32" s="60">
        <f>AB31-AB15</f>
        <v>0</v>
      </c>
      <c r="AC32" s="60">
        <f>AC31-AC15</f>
        <v>0</v>
      </c>
      <c r="AD32" s="60">
        <f>AD31-AD15</f>
        <v>0</v>
      </c>
      <c r="AE32" s="60">
        <f>AE31-AE15</f>
        <v>0</v>
      </c>
      <c r="AF32" s="60">
        <f>AF31-AF15</f>
        <v>0</v>
      </c>
    </row>
    <row r="34">
      <c r="A34" s="3" t="inlineStr">
        <is>
          <t>D. 채널(거래형태)별 매출</t>
        </is>
      </c>
    </row>
    <row r="35">
      <c r="A35" s="15" t="inlineStr">
        <is>
          <t>온라인·B2C</t>
        </is>
      </c>
      <c r="C35" s="69">
        <f>SUMIF('4_매출_거래처'!$F$54:$F$89,$A35,'4_매출_거래처'!X$54:X$89)</f>
        <v>24382</v>
      </c>
      <c r="D35" s="69">
        <f>SUMIF('4_매출_거래처'!$F$54:$F$89,$A35,'4_매출_거래처'!Y$54:Y$89)</f>
        <v>32161</v>
      </c>
      <c r="E35" s="69">
        <f>SUMIF('4_매출_거래처'!$F$54:$F$89,$A35,'4_매출_거래처'!Z$54:Z$89)</f>
        <v>12448</v>
      </c>
      <c r="F35" s="69">
        <f>SUMIF('4_매출_거래처'!$F$54:$F$89,$A35,'4_매출_거래처'!AA$54:AA$89)</f>
        <v>10935</v>
      </c>
      <c r="G35" s="69">
        <f>SUMIF('4_매출_거래처'!$F$54:$F$89,$A35,'4_매출_거래처'!AB$54:AB$89)</f>
        <v>7313</v>
      </c>
      <c r="H35" s="69">
        <f>SUMIF('4_매출_거래처'!$F$54:$F$89,$A35,'4_매출_거래처'!AC$54:AC$89)</f>
        <v>12220</v>
      </c>
      <c r="I35" s="69">
        <f>SUMIF('4_매출_거래처'!$F$54:$F$89,$A35,'4_매출_거래처'!AD$54:AD$89)</f>
        <v>12672</v>
      </c>
      <c r="J35" s="69">
        <f>SUMIF('4_매출_거래처'!$F$54:$F$89,$A35,'4_매출_거래처'!AE$54:AE$89)</f>
        <v>7697</v>
      </c>
      <c r="K35" s="69">
        <f>SUMIF('4_매출_거래처'!$F$54:$F$89,$A35,'4_매출_거래처'!AF$54:AF$89)</f>
        <v>7523</v>
      </c>
      <c r="L35" s="69">
        <f>SUMIF('4_매출_거래처'!$F$54:$F$89,$A35,'4_매출_거래처'!AG$54:AG$89)</f>
        <v>18700</v>
      </c>
      <c r="M35" s="69">
        <f>SUMIF('4_매출_거래처'!$F$54:$F$89,$A35,'4_매출_거래처'!AH$54:AH$89)</f>
        <v>18700</v>
      </c>
      <c r="N35" s="69">
        <f>SUMIF('4_매출_거래처'!$F$54:$F$89,$A35,'4_매출_거래처'!AI$54:AI$89)</f>
        <v>18700</v>
      </c>
      <c r="O35" s="69">
        <f>SUMIF('4_매출_거래처'!$F$54:$F$89,$A35,'4_매출_거래처'!AJ$54:AJ$89)</f>
        <v>40000</v>
      </c>
      <c r="P35" s="69">
        <f>SUMIF('4_매출_거래처'!$F$54:$F$89,$A35,'4_매출_거래처'!AK$54:AK$89)</f>
        <v>40000</v>
      </c>
      <c r="Q35" s="69">
        <f>SUMIF('4_매출_거래처'!$F$54:$F$89,$A35,'4_매출_거래처'!AL$54:AL$89)</f>
        <v>40000</v>
      </c>
      <c r="R35" s="69">
        <f>SUMIF('4_매출_거래처'!$F$54:$F$89,$A35,'4_매출_거래처'!AM$54:AM$89)</f>
        <v>70000</v>
      </c>
      <c r="S35" s="69">
        <f>SUMIF('4_매출_거래처'!$F$54:$F$89,$A35,'4_매출_거래처'!AN$54:AN$89)</f>
        <v>70000</v>
      </c>
      <c r="T35" s="69">
        <f>SUMIF('4_매출_거래처'!$F$54:$F$89,$A35,'4_매출_거래처'!AO$54:AO$89)</f>
        <v>70000</v>
      </c>
      <c r="U35" s="69">
        <f>SUMIF('4_매출_거래처'!$F$54:$F$89,$A35,'4_매출_거래처'!AP$54:AP$89)</f>
        <v>108000</v>
      </c>
      <c r="V35" s="69">
        <f>SUMIF('4_매출_거래처'!$F$54:$F$89,$A35,'4_매출_거래처'!AQ$54:AQ$89)</f>
        <v>108000</v>
      </c>
      <c r="W35" s="69">
        <f>SUMIF('4_매출_거래처'!$F$54:$F$89,$A35,'4_매출_거래처'!AR$54:AR$89)</f>
        <v>108000</v>
      </c>
      <c r="X35" s="69">
        <f>SUMIF('4_매출_거래처'!$F$54:$F$89,$A35,'4_매출_거래처'!AS$54:AS$89)</f>
        <v>134000</v>
      </c>
      <c r="Y35" s="69">
        <f>SUMIF('4_매출_거래처'!$F$54:$F$89,$A35,'4_매출_거래처'!AT$54:AT$89)</f>
        <v>134000</v>
      </c>
      <c r="Z35" s="69">
        <f>SUMIF('4_매출_거래처'!$F$54:$F$89,$A35,'4_매출_거래처'!AU$54:AU$89)</f>
        <v>134000</v>
      </c>
      <c r="AA35" s="25">
        <f>SUM(C35:N35)</f>
        <v>183451</v>
      </c>
      <c r="AB35" s="25">
        <f>SUM(O35:Z35)</f>
        <v>1056000</v>
      </c>
      <c r="AC35" s="68">
        <f>SUMIF('4_매출_거래처'!$F$54:$F$89,$A35,'4_매출_거래처'!AX$54:AX$89)</f>
        <v>1417200</v>
      </c>
      <c r="AD35" s="68">
        <f>SUMIF('4_매출_거래처'!$F$54:$F$89,$A35,'4_매출_거래처'!AY$54:AY$89)</f>
        <v>1677180</v>
      </c>
      <c r="AE35" s="68">
        <f>SUMIF('4_매출_거래처'!$F$54:$F$89,$A35,'4_매출_거래처'!AZ$54:AZ$89)</f>
        <v>1870581.6</v>
      </c>
      <c r="AF35" s="24">
        <f>SUM(AA35:AE35)</f>
        <v>6204412.6</v>
      </c>
    </row>
    <row r="36">
      <c r="A36" s="15" t="inlineStr">
        <is>
          <t>국내 B2B</t>
        </is>
      </c>
      <c r="C36" s="69">
        <f>SUMIF('4_매출_거래처'!$F$54:$F$89,$A36,'4_매출_거래처'!X$54:X$89)</f>
        <v>0</v>
      </c>
      <c r="D36" s="69">
        <f>SUMIF('4_매출_거래처'!$F$54:$F$89,$A36,'4_매출_거래처'!Y$54:Y$89)</f>
        <v>0</v>
      </c>
      <c r="E36" s="69">
        <f>SUMIF('4_매출_거래처'!$F$54:$F$89,$A36,'4_매출_거래처'!Z$54:Z$89)</f>
        <v>0</v>
      </c>
      <c r="F36" s="69">
        <f>SUMIF('4_매출_거래처'!$F$54:$F$89,$A36,'4_매출_거래처'!AA$54:AA$89)</f>
        <v>0</v>
      </c>
      <c r="G36" s="69">
        <f>SUMIF('4_매출_거래처'!$F$54:$F$89,$A36,'4_매출_거래처'!AB$54:AB$89)</f>
        <v>0</v>
      </c>
      <c r="H36" s="69">
        <f>SUMIF('4_매출_거래처'!$F$54:$F$89,$A36,'4_매출_거래처'!AC$54:AC$89)</f>
        <v>0</v>
      </c>
      <c r="I36" s="69">
        <f>SUMIF('4_매출_거래처'!$F$54:$F$89,$A36,'4_매출_거래처'!AD$54:AD$89)</f>
        <v>642</v>
      </c>
      <c r="J36" s="69">
        <f>SUMIF('4_매출_거래처'!$F$54:$F$89,$A36,'4_매출_거래처'!AE$54:AE$89)</f>
        <v>229</v>
      </c>
      <c r="K36" s="69">
        <f>SUMIF('4_매출_거래처'!$F$54:$F$89,$A36,'4_매출_거래처'!AF$54:AF$89)</f>
        <v>0</v>
      </c>
      <c r="L36" s="69">
        <f>SUMIF('4_매출_거래처'!$F$54:$F$89,$A36,'4_매출_거래처'!AG$54:AG$89)</f>
        <v>0</v>
      </c>
      <c r="M36" s="69">
        <f>SUMIF('4_매출_거래처'!$F$54:$F$89,$A36,'4_매출_거래처'!AH$54:AH$89)</f>
        <v>3950</v>
      </c>
      <c r="N36" s="69">
        <f>SUMIF('4_매출_거래처'!$F$54:$F$89,$A36,'4_매출_거래처'!AI$54:AI$89)</f>
        <v>10000</v>
      </c>
      <c r="O36" s="69">
        <f>SUMIF('4_매출_거래처'!$F$54:$F$89,$A36,'4_매출_거래처'!AJ$54:AJ$89)</f>
        <v>20517</v>
      </c>
      <c r="P36" s="69">
        <f>SUMIF('4_매출_거래처'!$F$54:$F$89,$A36,'4_매출_거래처'!AK$54:AK$89)</f>
        <v>21531</v>
      </c>
      <c r="Q36" s="69">
        <f>SUMIF('4_매출_거래처'!$F$54:$F$89,$A36,'4_매출_거래처'!AL$54:AL$89)</f>
        <v>22641</v>
      </c>
      <c r="R36" s="69">
        <f>SUMIF('4_매출_거래처'!$F$54:$F$89,$A36,'4_매출_거래처'!AM$54:AM$89)</f>
        <v>23859</v>
      </c>
      <c r="S36" s="69">
        <f>SUMIF('4_매출_거래처'!$F$54:$F$89,$A36,'4_매출_거래처'!AN$54:AN$89)</f>
        <v>25194</v>
      </c>
      <c r="T36" s="69">
        <f>SUMIF('4_매출_거래처'!$F$54:$F$89,$A36,'4_매출_거래처'!AO$54:AO$89)</f>
        <v>26657</v>
      </c>
      <c r="U36" s="69">
        <f>SUMIF('4_매출_거래처'!$F$54:$F$89,$A36,'4_매출_거래처'!AP$54:AP$89)</f>
        <v>28262</v>
      </c>
      <c r="V36" s="69">
        <f>SUMIF('4_매출_거래처'!$F$54:$F$89,$A36,'4_매출_거래처'!AQ$54:AQ$89)</f>
        <v>30021</v>
      </c>
      <c r="W36" s="69">
        <f>SUMIF('4_매출_거래처'!$F$54:$F$89,$A36,'4_매출_거래처'!AR$54:AR$89)</f>
        <v>31949</v>
      </c>
      <c r="X36" s="69">
        <f>SUMIF('4_매출_거래처'!$F$54:$F$89,$A36,'4_매출_거래처'!AS$54:AS$89)</f>
        <v>34064</v>
      </c>
      <c r="Y36" s="69">
        <f>SUMIF('4_매출_거래처'!$F$54:$F$89,$A36,'4_매출_거래처'!AT$54:AT$89)</f>
        <v>36382</v>
      </c>
      <c r="Z36" s="69">
        <f>SUMIF('4_매출_거래처'!$F$54:$F$89,$A36,'4_매출_거래처'!AU$54:AU$89)</f>
        <v>38923</v>
      </c>
      <c r="AA36" s="25">
        <f>SUM(C36:N36)</f>
        <v>14821</v>
      </c>
      <c r="AB36" s="25">
        <f>SUM(O36:Z36)</f>
        <v>340000</v>
      </c>
      <c r="AC36" s="68">
        <f>SUMIF('4_매출_거래처'!$F$54:$F$89,$A36,'4_매출_거래처'!AX$54:AX$89)</f>
        <v>428000</v>
      </c>
      <c r="AD36" s="68">
        <f>SUMIF('4_매출_거래처'!$F$54:$F$89,$A36,'4_매출_거래처'!AY$54:AY$89)</f>
        <v>489600</v>
      </c>
      <c r="AE36" s="68">
        <f>SUMIF('4_매출_거래처'!$F$54:$F$89,$A36,'4_매출_거래처'!AZ$54:AZ$89)</f>
        <v>533952</v>
      </c>
      <c r="AF36" s="24">
        <f>SUM(AA36:AE36)</f>
        <v>1806373</v>
      </c>
    </row>
    <row r="37">
      <c r="A37" s="15" t="inlineStr">
        <is>
          <t>총판</t>
        </is>
      </c>
      <c r="C37" s="69">
        <f>SUMIF('4_매출_거래처'!$F$54:$F$89,$A37,'4_매출_거래처'!X$54:X$89)</f>
        <v>12879</v>
      </c>
      <c r="D37" s="69">
        <f>SUMIF('4_매출_거래처'!$F$54:$F$89,$A37,'4_매출_거래처'!Y$54:Y$89)</f>
        <v>0</v>
      </c>
      <c r="E37" s="69">
        <f>SUMIF('4_매출_거래처'!$F$54:$F$89,$A37,'4_매출_거래처'!Z$54:Z$89)</f>
        <v>41996</v>
      </c>
      <c r="F37" s="69">
        <f>SUMIF('4_매출_거래처'!$F$54:$F$89,$A37,'4_매출_거래처'!AA$54:AA$89)</f>
        <v>0</v>
      </c>
      <c r="G37" s="69">
        <f>SUMIF('4_매출_거래처'!$F$54:$F$89,$A37,'4_매출_거래처'!AB$54:AB$89)</f>
        <v>15004</v>
      </c>
      <c r="H37" s="69">
        <f>SUMIF('4_매출_거래처'!$F$54:$F$89,$A37,'4_매출_거래처'!AC$54:AC$89)</f>
        <v>39233</v>
      </c>
      <c r="I37" s="69">
        <f>SUMIF('4_매출_거래처'!$F$54:$F$89,$A37,'4_매출_거래처'!AD$54:AD$89)</f>
        <v>0</v>
      </c>
      <c r="J37" s="69">
        <f>SUMIF('4_매출_거래처'!$F$54:$F$89,$A37,'4_매출_거래처'!AE$54:AE$89)</f>
        <v>0</v>
      </c>
      <c r="K37" s="69">
        <f>SUMIF('4_매출_거래처'!$F$54:$F$89,$A37,'4_매출_거래처'!AF$54:AF$89)</f>
        <v>33206</v>
      </c>
      <c r="L37" s="69">
        <f>SUMIF('4_매출_거래처'!$F$54:$F$89,$A37,'4_매출_거래처'!AG$54:AG$89)</f>
        <v>16000</v>
      </c>
      <c r="M37" s="69">
        <f>SUMIF('4_매출_거래처'!$F$54:$F$89,$A37,'4_매출_거래처'!AH$54:AH$89)</f>
        <v>65745</v>
      </c>
      <c r="N37" s="69">
        <f>SUMIF('4_매출_거래처'!$F$54:$F$89,$A37,'4_매출_거래처'!AI$54:AI$89)</f>
        <v>147080</v>
      </c>
      <c r="O37" s="69">
        <f>SUMIF('4_매출_거래처'!$F$54:$F$89,$A37,'4_매출_거래처'!AJ$54:AJ$89)</f>
        <v>145234</v>
      </c>
      <c r="P37" s="69">
        <f>SUMIF('4_매출_거래처'!$F$54:$F$89,$A37,'4_매출_거래처'!AK$54:AK$89)</f>
        <v>166853</v>
      </c>
      <c r="Q37" s="69">
        <f>SUMIF('4_매출_거래처'!$F$54:$F$89,$A37,'4_매출_거래처'!AL$54:AL$89)</f>
        <v>215511</v>
      </c>
      <c r="R37" s="69">
        <f>SUMIF('4_매출_거래처'!$F$54:$F$89,$A37,'4_매출_거래처'!AM$54:AM$89)</f>
        <v>257072</v>
      </c>
      <c r="S37" s="69">
        <f>SUMIF('4_매출_거래처'!$F$54:$F$89,$A37,'4_매출_거래처'!AN$54:AN$89)</f>
        <v>292487</v>
      </c>
      <c r="T37" s="69">
        <f>SUMIF('4_매출_거래처'!$F$54:$F$89,$A37,'4_매출_거래처'!AO$54:AO$89)</f>
        <v>327481</v>
      </c>
      <c r="U37" s="69">
        <f>SUMIF('4_매출_거래처'!$F$54:$F$89,$A37,'4_매출_거래처'!AP$54:AP$89)</f>
        <v>353359</v>
      </c>
      <c r="V37" s="69">
        <f>SUMIF('4_매출_거래처'!$F$54:$F$89,$A37,'4_매출_거래처'!AQ$54:AQ$89)</f>
        <v>370256</v>
      </c>
      <c r="W37" s="69">
        <f>SUMIF('4_매출_거래처'!$F$54:$F$89,$A37,'4_매출_거래처'!AR$54:AR$89)</f>
        <v>399248</v>
      </c>
      <c r="X37" s="69">
        <f>SUMIF('4_매출_거래처'!$F$54:$F$89,$A37,'4_매출_거래처'!AS$54:AS$89)</f>
        <v>436119</v>
      </c>
      <c r="Y37" s="69">
        <f>SUMIF('4_매출_거래처'!$F$54:$F$89,$A37,'4_매출_거래처'!AT$54:AT$89)</f>
        <v>468851</v>
      </c>
      <c r="Z37" s="69">
        <f>SUMIF('4_매출_거래처'!$F$54:$F$89,$A37,'4_매출_거래처'!AU$54:AU$89)</f>
        <v>503729</v>
      </c>
      <c r="AA37" s="25">
        <f>SUM(C37:N37)</f>
        <v>371143</v>
      </c>
      <c r="AB37" s="25">
        <f>SUM(O37:Z37)</f>
        <v>3936200</v>
      </c>
      <c r="AC37" s="68">
        <f>SUMIF('4_매출_거래처'!$F$54:$F$89,$A37,'4_매출_거래처'!AX$54:AX$89)</f>
        <v>9971528</v>
      </c>
      <c r="AD37" s="68">
        <f>SUMIF('4_매출_거래처'!$F$54:$F$89,$A37,'4_매출_거래처'!AY$54:AY$89)</f>
        <v>17912437.6</v>
      </c>
      <c r="AE37" s="68">
        <f>SUMIF('4_매출_거래처'!$F$54:$F$89,$A37,'4_매출_거래처'!AZ$54:AZ$89)</f>
        <v>25987755.04</v>
      </c>
      <c r="AF37" s="24">
        <f>SUM(AA37:AE37)</f>
        <v>58179063.64</v>
      </c>
    </row>
    <row r="38">
      <c r="A38" s="15" t="inlineStr">
        <is>
          <t>B2G·제도</t>
        </is>
      </c>
      <c r="C38" s="69">
        <f>SUMIF('4_매출_거래처'!$F$54:$F$89,$A38,'4_매출_거래처'!X$54:X$89)</f>
        <v>9806</v>
      </c>
      <c r="D38" s="69">
        <f>SUMIF('4_매출_거래처'!$F$54:$F$89,$A38,'4_매출_거래처'!Y$54:Y$89)</f>
        <v>3979</v>
      </c>
      <c r="E38" s="69">
        <f>SUMIF('4_매출_거래처'!$F$54:$F$89,$A38,'4_매출_거래처'!Z$54:Z$89)</f>
        <v>2010</v>
      </c>
      <c r="F38" s="69">
        <f>SUMIF('4_매출_거래처'!$F$54:$F$89,$A38,'4_매출_거래처'!AA$54:AA$89)</f>
        <v>0</v>
      </c>
      <c r="G38" s="69">
        <f>SUMIF('4_매출_거래처'!$F$54:$F$89,$A38,'4_매출_거래처'!AB$54:AB$89)</f>
        <v>0</v>
      </c>
      <c r="H38" s="69">
        <f>SUMIF('4_매출_거래처'!$F$54:$F$89,$A38,'4_매출_거래처'!AC$54:AC$89)</f>
        <v>0</v>
      </c>
      <c r="I38" s="69">
        <f>SUMIF('4_매출_거래처'!$F$54:$F$89,$A38,'4_매출_거래처'!AD$54:AD$89)</f>
        <v>0</v>
      </c>
      <c r="J38" s="69">
        <f>SUMIF('4_매출_거래처'!$F$54:$F$89,$A38,'4_매출_거래처'!AE$54:AE$89)</f>
        <v>0</v>
      </c>
      <c r="K38" s="69">
        <f>SUMIF('4_매출_거래처'!$F$54:$F$89,$A38,'4_매출_거래처'!AF$54:AF$89)</f>
        <v>0</v>
      </c>
      <c r="L38" s="69">
        <f>SUMIF('4_매출_거래처'!$F$54:$F$89,$A38,'4_매출_거래처'!AG$54:AG$89)</f>
        <v>0</v>
      </c>
      <c r="M38" s="69">
        <f>SUMIF('4_매출_거래처'!$F$54:$F$89,$A38,'4_매출_거래처'!AH$54:AH$89)</f>
        <v>0</v>
      </c>
      <c r="N38" s="69">
        <f>SUMIF('4_매출_거래처'!$F$54:$F$89,$A38,'4_매출_거래처'!AI$54:AI$89)</f>
        <v>0</v>
      </c>
      <c r="O38" s="69">
        <f>SUMIF('4_매출_거래처'!$F$54:$F$89,$A38,'4_매출_거래처'!AJ$54:AJ$89)</f>
        <v>0</v>
      </c>
      <c r="P38" s="69">
        <f>SUMIF('4_매출_거래처'!$F$54:$F$89,$A38,'4_매출_거래처'!AK$54:AK$89)</f>
        <v>6605</v>
      </c>
      <c r="Q38" s="69">
        <f>SUMIF('4_매출_거래처'!$F$54:$F$89,$A38,'4_매출_거래처'!AL$54:AL$89)</f>
        <v>37241</v>
      </c>
      <c r="R38" s="69">
        <f>SUMIF('4_매출_거래처'!$F$54:$F$89,$A38,'4_매출_거래처'!AM$54:AM$89)</f>
        <v>37939</v>
      </c>
      <c r="S38" s="69">
        <f>SUMIF('4_매출_거래처'!$F$54:$F$89,$A38,'4_매출_거래처'!AN$54:AN$89)</f>
        <v>38704</v>
      </c>
      <c r="T38" s="69">
        <f>SUMIF('4_매출_거래처'!$F$54:$F$89,$A38,'4_매출_거래처'!AO$54:AO$89)</f>
        <v>39542</v>
      </c>
      <c r="U38" s="69">
        <f>SUMIF('4_매출_거래처'!$F$54:$F$89,$A38,'4_매출_거래처'!AP$54:AP$89)</f>
        <v>40461</v>
      </c>
      <c r="V38" s="69">
        <f>SUMIF('4_매출_거래처'!$F$54:$F$89,$A38,'4_매출_거래처'!AQ$54:AQ$89)</f>
        <v>41469</v>
      </c>
      <c r="W38" s="69">
        <f>SUMIF('4_매출_거래처'!$F$54:$F$89,$A38,'4_매출_거래처'!AR$54:AR$89)</f>
        <v>42574</v>
      </c>
      <c r="X38" s="69">
        <f>SUMIF('4_매출_거래처'!$F$54:$F$89,$A38,'4_매출_거래처'!AS$54:AS$89)</f>
        <v>43785</v>
      </c>
      <c r="Y38" s="69">
        <f>SUMIF('4_매출_거래처'!$F$54:$F$89,$A38,'4_매출_거래처'!AT$54:AT$89)</f>
        <v>45113</v>
      </c>
      <c r="Z38" s="69">
        <f>SUMIF('4_매출_거래처'!$F$54:$F$89,$A38,'4_매출_거래처'!AU$54:AU$89)</f>
        <v>46567</v>
      </c>
      <c r="AA38" s="25">
        <f>SUM(C38:N38)</f>
        <v>15795</v>
      </c>
      <c r="AB38" s="25">
        <f>SUM(O38:Z38)</f>
        <v>420000</v>
      </c>
      <c r="AC38" s="68">
        <f>SUMIF('4_매출_거래처'!$F$54:$F$89,$A38,'4_매출_거래처'!AX$54:AX$89)</f>
        <v>1284000</v>
      </c>
      <c r="AD38" s="68">
        <f>SUMIF('4_매출_거래처'!$F$54:$F$89,$A38,'4_매출_거래처'!AY$54:AY$89)</f>
        <v>2413200</v>
      </c>
      <c r="AE38" s="68">
        <f>SUMIF('4_매출_거래처'!$F$54:$F$89,$A38,'4_매출_거래처'!AZ$54:AZ$89)</f>
        <v>3675408</v>
      </c>
      <c r="AF38" s="24">
        <f>SUM(AA38:AE38)</f>
        <v>7808403</v>
      </c>
    </row>
    <row r="39">
      <c r="A39" s="15" t="inlineStr">
        <is>
          <t>파트너</t>
        </is>
      </c>
      <c r="C39" s="69">
        <f>SUMIF('4_매출_거래처'!$F$54:$F$89,$A39,'4_매출_거래처'!X$54:X$89)</f>
        <v>0</v>
      </c>
      <c r="D39" s="69">
        <f>SUMIF('4_매출_거래처'!$F$54:$F$89,$A39,'4_매출_거래처'!Y$54:Y$89)</f>
        <v>0</v>
      </c>
      <c r="E39" s="69">
        <f>SUMIF('4_매출_거래처'!$F$54:$F$89,$A39,'4_매출_거래처'!Z$54:Z$89)</f>
        <v>0</v>
      </c>
      <c r="F39" s="69">
        <f>SUMIF('4_매출_거래처'!$F$54:$F$89,$A39,'4_매출_거래처'!AA$54:AA$89)</f>
        <v>0</v>
      </c>
      <c r="G39" s="69">
        <f>SUMIF('4_매출_거래처'!$F$54:$F$89,$A39,'4_매출_거래처'!AB$54:AB$89)</f>
        <v>0</v>
      </c>
      <c r="H39" s="69">
        <f>SUMIF('4_매출_거래처'!$F$54:$F$89,$A39,'4_매출_거래처'!AC$54:AC$89)</f>
        <v>0</v>
      </c>
      <c r="I39" s="69">
        <f>SUMIF('4_매출_거래처'!$F$54:$F$89,$A39,'4_매출_거래처'!AD$54:AD$89)</f>
        <v>0</v>
      </c>
      <c r="J39" s="69">
        <f>SUMIF('4_매출_거래처'!$F$54:$F$89,$A39,'4_매출_거래처'!AE$54:AE$89)</f>
        <v>0</v>
      </c>
      <c r="K39" s="69">
        <f>SUMIF('4_매출_거래처'!$F$54:$F$89,$A39,'4_매출_거래처'!AF$54:AF$89)</f>
        <v>0</v>
      </c>
      <c r="L39" s="69">
        <f>SUMIF('4_매출_거래처'!$F$54:$F$89,$A39,'4_매출_거래처'!AG$54:AG$89)</f>
        <v>120000</v>
      </c>
      <c r="M39" s="69">
        <f>SUMIF('4_매출_거래처'!$F$54:$F$89,$A39,'4_매출_거래처'!AH$54:AH$89)</f>
        <v>120000</v>
      </c>
      <c r="N39" s="69">
        <f>SUMIF('4_매출_거래처'!$F$54:$F$89,$A39,'4_매출_거래처'!AI$54:AI$89)</f>
        <v>120000</v>
      </c>
      <c r="O39" s="69">
        <f>SUMIF('4_매출_거래처'!$F$54:$F$89,$A39,'4_매출_거래처'!AJ$54:AJ$89)</f>
        <v>228120</v>
      </c>
      <c r="P39" s="69">
        <f>SUMIF('4_매출_거래처'!$F$54:$F$89,$A39,'4_매출_거래처'!AK$54:AK$89)</f>
        <v>228120</v>
      </c>
      <c r="Q39" s="69">
        <f>SUMIF('4_매출_거래처'!$F$54:$F$89,$A39,'4_매출_거래처'!AL$54:AL$89)</f>
        <v>228120</v>
      </c>
      <c r="R39" s="69">
        <f>SUMIF('4_매출_거래처'!$F$54:$F$89,$A39,'4_매출_거래처'!AM$54:AM$89)</f>
        <v>228120</v>
      </c>
      <c r="S39" s="69">
        <f>SUMIF('4_매출_거래처'!$F$54:$F$89,$A39,'4_매출_거래처'!AN$54:AN$89)</f>
        <v>228120</v>
      </c>
      <c r="T39" s="69">
        <f>SUMIF('4_매출_거래처'!$F$54:$F$89,$A39,'4_매출_거래처'!AO$54:AO$89)</f>
        <v>228120</v>
      </c>
      <c r="U39" s="69">
        <f>SUMIF('4_매출_거래처'!$F$54:$F$89,$A39,'4_매출_거래처'!AP$54:AP$89)</f>
        <v>228120</v>
      </c>
      <c r="V39" s="69">
        <f>SUMIF('4_매출_거래처'!$F$54:$F$89,$A39,'4_매출_거래처'!AQ$54:AQ$89)</f>
        <v>228120</v>
      </c>
      <c r="W39" s="69">
        <f>SUMIF('4_매출_거래처'!$F$54:$F$89,$A39,'4_매출_거래처'!AR$54:AR$89)</f>
        <v>228120</v>
      </c>
      <c r="X39" s="69">
        <f>SUMIF('4_매출_거래처'!$F$54:$F$89,$A39,'4_매출_거래처'!AS$54:AS$89)</f>
        <v>228120</v>
      </c>
      <c r="Y39" s="69">
        <f>SUMIF('4_매출_거래처'!$F$54:$F$89,$A39,'4_매출_거래처'!AT$54:AT$89)</f>
        <v>228120</v>
      </c>
      <c r="Z39" s="69">
        <f>SUMIF('4_매출_거래처'!$F$54:$F$89,$A39,'4_매출_거래처'!AU$54:AU$89)</f>
        <v>228120</v>
      </c>
      <c r="AA39" s="25">
        <f>SUM(C39:N39)</f>
        <v>360000</v>
      </c>
      <c r="AB39" s="25">
        <f>SUM(O39:Z39)</f>
        <v>2737440</v>
      </c>
      <c r="AC39" s="68">
        <f>SUMIF('4_매출_거래처'!$F$54:$F$89,$A39,'4_매출_거래처'!AX$54:AX$89)</f>
        <v>6969600</v>
      </c>
      <c r="AD39" s="68">
        <f>SUMIF('4_매출_거래처'!$F$54:$F$89,$A39,'4_매출_거래처'!AY$54:AY$89)</f>
        <v>9828480.00000001</v>
      </c>
      <c r="AE39" s="68">
        <f>SUMIF('4_매출_거래처'!$F$54:$F$89,$A39,'4_매출_거래처'!AZ$54:AZ$89)</f>
        <v>14554176</v>
      </c>
      <c r="AF39" s="24">
        <f>SUM(AA39:AE39)</f>
        <v>34449696</v>
      </c>
    </row>
    <row r="40">
      <c r="A40" s="15" t="inlineStr">
        <is>
          <t>기관(직접)</t>
        </is>
      </c>
      <c r="C40" s="69">
        <f>SUMIF('4_매출_거래처'!$F$54:$F$89,$A40,'4_매출_거래처'!X$54:X$89)</f>
        <v>0</v>
      </c>
      <c r="D40" s="69">
        <f>SUMIF('4_매출_거래처'!$F$54:$F$89,$A40,'4_매출_거래처'!Y$54:Y$89)</f>
        <v>0</v>
      </c>
      <c r="E40" s="69">
        <f>SUMIF('4_매출_거래처'!$F$54:$F$89,$A40,'4_매출_거래처'!Z$54:Z$89)</f>
        <v>0</v>
      </c>
      <c r="F40" s="69">
        <f>SUMIF('4_매출_거래처'!$F$54:$F$89,$A40,'4_매출_거래처'!AA$54:AA$89)</f>
        <v>0</v>
      </c>
      <c r="G40" s="69">
        <f>SUMIF('4_매출_거래처'!$F$54:$F$89,$A40,'4_매출_거래처'!AB$54:AB$89)</f>
        <v>0</v>
      </c>
      <c r="H40" s="69">
        <f>SUMIF('4_매출_거래처'!$F$54:$F$89,$A40,'4_매출_거래처'!AC$54:AC$89)</f>
        <v>0</v>
      </c>
      <c r="I40" s="69">
        <f>SUMIF('4_매출_거래처'!$F$54:$F$89,$A40,'4_매출_거래처'!AD$54:AD$89)</f>
        <v>0</v>
      </c>
      <c r="J40" s="69">
        <f>SUMIF('4_매출_거래처'!$F$54:$F$89,$A40,'4_매출_거래처'!AE$54:AE$89)</f>
        <v>0</v>
      </c>
      <c r="K40" s="69">
        <f>SUMIF('4_매출_거래처'!$F$54:$F$89,$A40,'4_매출_거래처'!AF$54:AF$89)</f>
        <v>0</v>
      </c>
      <c r="L40" s="69">
        <f>SUMIF('4_매출_거래처'!$F$54:$F$89,$A40,'4_매출_거래처'!AG$54:AG$89)</f>
        <v>23625</v>
      </c>
      <c r="M40" s="69">
        <f>SUMIF('4_매출_거래처'!$F$54:$F$89,$A40,'4_매출_거래처'!AH$54:AH$89)</f>
        <v>35525</v>
      </c>
      <c r="N40" s="69">
        <f>SUMIF('4_매출_거래처'!$F$54:$F$89,$A40,'4_매출_거래처'!AI$54:AI$89)</f>
        <v>196857</v>
      </c>
      <c r="O40" s="69">
        <f>SUMIF('4_매출_거래처'!$F$54:$F$89,$A40,'4_매출_거래처'!AJ$54:AJ$89)</f>
        <v>37900</v>
      </c>
      <c r="P40" s="69">
        <f>SUMIF('4_매출_거래처'!$F$54:$F$89,$A40,'4_매출_거래처'!AK$54:AK$89)</f>
        <v>38781</v>
      </c>
      <c r="Q40" s="69">
        <f>SUMIF('4_매출_거래처'!$F$54:$F$89,$A40,'4_매출_거래처'!AL$54:AL$89)</f>
        <v>50361</v>
      </c>
      <c r="R40" s="69">
        <f>SUMIF('4_매출_거래처'!$F$54:$F$89,$A40,'4_매출_거래처'!AM$54:AM$89)</f>
        <v>55300</v>
      </c>
      <c r="S40" s="69">
        <f>SUMIF('4_매출_거래처'!$F$54:$F$89,$A40,'4_매출_거래처'!AN$54:AN$89)</f>
        <v>56976</v>
      </c>
      <c r="T40" s="69">
        <f>SUMIF('4_매출_거래처'!$F$54:$F$89,$A40,'4_매출_거래처'!AO$54:AO$89)</f>
        <v>58813</v>
      </c>
      <c r="U40" s="69">
        <f>SUMIF('4_매출_거래처'!$F$54:$F$89,$A40,'4_매출_거래처'!AP$54:AP$89)</f>
        <v>60828</v>
      </c>
      <c r="V40" s="69">
        <f>SUMIF('4_매출_거래처'!$F$54:$F$89,$A40,'4_매출_거래처'!AQ$54:AQ$89)</f>
        <v>63036</v>
      </c>
      <c r="W40" s="69">
        <f>SUMIF('4_매출_거래처'!$F$54:$F$89,$A40,'4_매출_거래처'!AR$54:AR$89)</f>
        <v>65457</v>
      </c>
      <c r="X40" s="69">
        <f>SUMIF('4_매출_거래처'!$F$54:$F$89,$A40,'4_매출_거래처'!AS$54:AS$89)</f>
        <v>68112</v>
      </c>
      <c r="Y40" s="69">
        <f>SUMIF('4_매출_거래처'!$F$54:$F$89,$A40,'4_매출_거래처'!AT$54:AT$89)</f>
        <v>91022</v>
      </c>
      <c r="Z40" s="69">
        <f>SUMIF('4_매출_거래처'!$F$54:$F$89,$A40,'4_매출_거래처'!AU$54:AU$89)</f>
        <v>94214</v>
      </c>
      <c r="AA40" s="25">
        <f>SUM(C40:N40)</f>
        <v>256007</v>
      </c>
      <c r="AB40" s="25">
        <f>SUM(O40:Z40)</f>
        <v>740800</v>
      </c>
      <c r="AC40" s="68">
        <f>SUMIF('4_매출_거래처'!$F$54:$F$89,$A40,'4_매출_거래처'!AX$54:AX$89)</f>
        <v>1251136</v>
      </c>
      <c r="AD40" s="68">
        <f>SUMIF('4_매출_거래처'!$F$54:$F$89,$A40,'4_매출_거래처'!AY$54:AY$89)</f>
        <v>1767906.4</v>
      </c>
      <c r="AE40" s="68">
        <f>SUMIF('4_매출_거래처'!$F$54:$F$89,$A40,'4_매출_거래처'!AZ$54:AZ$89)</f>
        <v>2269978.912</v>
      </c>
      <c r="AF40" s="24">
        <f>SUM(AA40:AE40)</f>
        <v>6285828.312</v>
      </c>
    </row>
    <row r="41">
      <c r="A41" s="15" t="inlineStr">
        <is>
          <t>신규 파이프라인</t>
        </is>
      </c>
      <c r="C41" s="69">
        <f>SUMIF('4_매출_거래처'!$F$54:$F$89,$A41,'4_매출_거래처'!X$54:X$89)</f>
        <v>0</v>
      </c>
      <c r="D41" s="69">
        <f>SUMIF('4_매출_거래처'!$F$54:$F$89,$A41,'4_매출_거래처'!Y$54:Y$89)</f>
        <v>0</v>
      </c>
      <c r="E41" s="69">
        <f>SUMIF('4_매출_거래처'!$F$54:$F$89,$A41,'4_매출_거래처'!Z$54:Z$89)</f>
        <v>0</v>
      </c>
      <c r="F41" s="69">
        <f>SUMIF('4_매출_거래처'!$F$54:$F$89,$A41,'4_매출_거래처'!AA$54:AA$89)</f>
        <v>0</v>
      </c>
      <c r="G41" s="69">
        <f>SUMIF('4_매출_거래처'!$F$54:$F$89,$A41,'4_매출_거래처'!AB$54:AB$89)</f>
        <v>0</v>
      </c>
      <c r="H41" s="69">
        <f>SUMIF('4_매출_거래처'!$F$54:$F$89,$A41,'4_매출_거래처'!AC$54:AC$89)</f>
        <v>0</v>
      </c>
      <c r="I41" s="69">
        <f>SUMIF('4_매출_거래처'!$F$54:$F$89,$A41,'4_매출_거래처'!AD$54:AD$89)</f>
        <v>0</v>
      </c>
      <c r="J41" s="69">
        <f>SUMIF('4_매출_거래처'!$F$54:$F$89,$A41,'4_매출_거래처'!AE$54:AE$89)</f>
        <v>0</v>
      </c>
      <c r="K41" s="69">
        <f>SUMIF('4_매출_거래처'!$F$54:$F$89,$A41,'4_매출_거래처'!AF$54:AF$89)</f>
        <v>0</v>
      </c>
      <c r="L41" s="69">
        <f>SUMIF('4_매출_거래처'!$F$54:$F$89,$A41,'4_매출_거래처'!AG$54:AG$89)</f>
        <v>0</v>
      </c>
      <c r="M41" s="69">
        <f>SUMIF('4_매출_거래처'!$F$54:$F$89,$A41,'4_매출_거래처'!AH$54:AH$89)</f>
        <v>0</v>
      </c>
      <c r="N41" s="69">
        <f>SUMIF('4_매출_거래처'!$F$54:$F$89,$A41,'4_매출_거래처'!AI$54:AI$89)</f>
        <v>0</v>
      </c>
      <c r="O41" s="69">
        <f>SUMIF('4_매출_거래처'!$F$54:$F$89,$A41,'4_매출_거래처'!AJ$54:AJ$89)</f>
        <v>16240</v>
      </c>
      <c r="P41" s="69">
        <f>SUMIF('4_매출_거래처'!$F$54:$F$89,$A41,'4_매출_거래처'!AK$54:AK$89)</f>
        <v>16240</v>
      </c>
      <c r="Q41" s="69">
        <f>SUMIF('4_매출_거래처'!$F$54:$F$89,$A41,'4_매출_거래처'!AL$54:AL$89)</f>
        <v>48720</v>
      </c>
      <c r="R41" s="69">
        <f>SUMIF('4_매출_거래처'!$F$54:$F$89,$A41,'4_매출_거래처'!AM$54:AM$89)</f>
        <v>48720</v>
      </c>
      <c r="S41" s="69">
        <f>SUMIF('4_매출_거래처'!$F$54:$F$89,$A41,'4_매출_거래처'!AN$54:AN$89)</f>
        <v>64960</v>
      </c>
      <c r="T41" s="69">
        <f>SUMIF('4_매출_거래처'!$F$54:$F$89,$A41,'4_매출_거래처'!AO$54:AO$89)</f>
        <v>64960</v>
      </c>
      <c r="U41" s="69">
        <f>SUMIF('4_매출_거래처'!$F$54:$F$89,$A41,'4_매출_거래처'!AP$54:AP$89)</f>
        <v>64960</v>
      </c>
      <c r="V41" s="69">
        <f>SUMIF('4_매출_거래처'!$F$54:$F$89,$A41,'4_매출_거래처'!AQ$54:AQ$89)</f>
        <v>64960</v>
      </c>
      <c r="W41" s="69">
        <f>SUMIF('4_매출_거래처'!$F$54:$F$89,$A41,'4_매출_거래처'!AR$54:AR$89)</f>
        <v>81200</v>
      </c>
      <c r="X41" s="69">
        <f>SUMIF('4_매출_거래처'!$F$54:$F$89,$A41,'4_매출_거래처'!AS$54:AS$89)</f>
        <v>81200</v>
      </c>
      <c r="Y41" s="69">
        <f>SUMIF('4_매출_거래처'!$F$54:$F$89,$A41,'4_매출_거래처'!AT$54:AT$89)</f>
        <v>81200</v>
      </c>
      <c r="Z41" s="69">
        <f>SUMIF('4_매출_거래처'!$F$54:$F$89,$A41,'4_매출_거래처'!AU$54:AU$89)</f>
        <v>81200</v>
      </c>
      <c r="AA41" s="25">
        <f>SUM(C41:N41)</f>
        <v>0</v>
      </c>
      <c r="AB41" s="25">
        <f>SUM(O41:Z41)</f>
        <v>714560</v>
      </c>
      <c r="AC41" s="68">
        <f>SUMIF('4_매출_거래처'!$F$54:$F$89,$A41,'4_매출_거래처'!AX$54:AX$89)</f>
        <v>11618536</v>
      </c>
      <c r="AD41" s="68">
        <f>SUMIF('4_매출_거래처'!$F$54:$F$89,$A41,'4_매출_거래처'!AY$54:AY$89)</f>
        <v>35851196</v>
      </c>
      <c r="AE41" s="68">
        <f>SUMIF('4_매출_거래처'!$F$54:$F$89,$A41,'4_매출_거래처'!AZ$54:AZ$89)</f>
        <v>107048148.448</v>
      </c>
      <c r="AF41" s="24">
        <f>SUM(AA41:AE41)</f>
        <v>155232440.448</v>
      </c>
    </row>
    <row r="42">
      <c r="A42" s="15" t="inlineStr">
        <is>
          <t>기타</t>
        </is>
      </c>
      <c r="C42" s="69">
        <f>SUMIF('4_매출_거래처'!$F$54:$F$89,$A42,'4_매출_거래처'!X$54:X$89)</f>
        <v>0</v>
      </c>
      <c r="D42" s="69">
        <f>SUMIF('4_매출_거래처'!$F$54:$F$89,$A42,'4_매출_거래처'!Y$54:Y$89)</f>
        <v>0</v>
      </c>
      <c r="E42" s="69">
        <f>SUMIF('4_매출_거래처'!$F$54:$F$89,$A42,'4_매출_거래처'!Z$54:Z$89)</f>
        <v>0</v>
      </c>
      <c r="F42" s="69">
        <f>SUMIF('4_매출_거래처'!$F$54:$F$89,$A42,'4_매출_거래처'!AA$54:AA$89)</f>
        <v>0</v>
      </c>
      <c r="G42" s="69">
        <f>SUMIF('4_매출_거래처'!$F$54:$F$89,$A42,'4_매출_거래처'!AB$54:AB$89)</f>
        <v>0</v>
      </c>
      <c r="H42" s="69">
        <f>SUMIF('4_매출_거래처'!$F$54:$F$89,$A42,'4_매출_거래처'!AC$54:AC$89)</f>
        <v>0</v>
      </c>
      <c r="I42" s="69">
        <f>SUMIF('4_매출_거래처'!$F$54:$F$89,$A42,'4_매출_거래처'!AD$54:AD$89)</f>
        <v>0</v>
      </c>
      <c r="J42" s="69">
        <f>SUMIF('4_매출_거래처'!$F$54:$F$89,$A42,'4_매출_거래처'!AE$54:AE$89)</f>
        <v>0</v>
      </c>
      <c r="K42" s="69">
        <f>SUMIF('4_매출_거래처'!$F$54:$F$89,$A42,'4_매출_거래처'!AF$54:AF$89)</f>
        <v>0</v>
      </c>
      <c r="L42" s="69">
        <f>SUMIF('4_매출_거래처'!$F$54:$F$89,$A42,'4_매출_거래처'!AG$54:AG$89)</f>
        <v>0</v>
      </c>
      <c r="M42" s="69">
        <f>SUMIF('4_매출_거래처'!$F$54:$F$89,$A42,'4_매출_거래처'!AH$54:AH$89)</f>
        <v>0</v>
      </c>
      <c r="N42" s="69">
        <f>SUMIF('4_매출_거래처'!$F$54:$F$89,$A42,'4_매출_거래처'!AI$54:AI$89)</f>
        <v>0</v>
      </c>
      <c r="O42" s="69">
        <f>SUMIF('4_매출_거래처'!$F$54:$F$89,$A42,'4_매출_거래처'!AJ$54:AJ$89)</f>
        <v>0</v>
      </c>
      <c r="P42" s="69">
        <f>SUMIF('4_매출_거래처'!$F$54:$F$89,$A42,'4_매출_거래처'!AK$54:AK$89)</f>
        <v>0</v>
      </c>
      <c r="Q42" s="69">
        <f>SUMIF('4_매출_거래처'!$F$54:$F$89,$A42,'4_매출_거래처'!AL$54:AL$89)</f>
        <v>0</v>
      </c>
      <c r="R42" s="69">
        <f>SUMIF('4_매출_거래처'!$F$54:$F$89,$A42,'4_매출_거래처'!AM$54:AM$89)</f>
        <v>0</v>
      </c>
      <c r="S42" s="69">
        <f>SUMIF('4_매출_거래처'!$F$54:$F$89,$A42,'4_매출_거래처'!AN$54:AN$89)</f>
        <v>0</v>
      </c>
      <c r="T42" s="69">
        <f>SUMIF('4_매출_거래처'!$F$54:$F$89,$A42,'4_매출_거래처'!AO$54:AO$89)</f>
        <v>0</v>
      </c>
      <c r="U42" s="69">
        <f>SUMIF('4_매출_거래처'!$F$54:$F$89,$A42,'4_매출_거래처'!AP$54:AP$89)</f>
        <v>0</v>
      </c>
      <c r="V42" s="69">
        <f>SUMIF('4_매출_거래처'!$F$54:$F$89,$A42,'4_매출_거래처'!AQ$54:AQ$89)</f>
        <v>9900</v>
      </c>
      <c r="W42" s="69">
        <f>SUMIF('4_매출_거래처'!$F$54:$F$89,$A42,'4_매출_거래처'!AR$54:AR$89)</f>
        <v>10854</v>
      </c>
      <c r="X42" s="69">
        <f>SUMIF('4_매출_거래처'!$F$54:$F$89,$A42,'4_매출_거래처'!AS$54:AS$89)</f>
        <v>11899</v>
      </c>
      <c r="Y42" s="69">
        <f>SUMIF('4_매출_거래처'!$F$54:$F$89,$A42,'4_매출_거래처'!AT$54:AT$89)</f>
        <v>13045</v>
      </c>
      <c r="Z42" s="69">
        <f>SUMIF('4_매출_거래처'!$F$54:$F$89,$A42,'4_매출_거래처'!AU$54:AU$89)</f>
        <v>14302</v>
      </c>
      <c r="AA42" s="25">
        <f>SUM(C42:N42)</f>
        <v>0</v>
      </c>
      <c r="AB42" s="25">
        <f>SUM(O42:Z42)</f>
        <v>60000</v>
      </c>
      <c r="AC42" s="68">
        <f>SUMIF('4_매출_거래처'!$F$54:$F$89,$A42,'4_매출_거래처'!AX$54:AX$89)</f>
        <v>60000</v>
      </c>
      <c r="AD42" s="68">
        <f>SUMIF('4_매출_거래처'!$F$54:$F$89,$A42,'4_매출_거래처'!AY$54:AY$89)</f>
        <v>60000</v>
      </c>
      <c r="AE42" s="68">
        <f>SUMIF('4_매출_거래처'!$F$54:$F$89,$A42,'4_매출_거래처'!AZ$54:AZ$89)</f>
        <v>60000</v>
      </c>
      <c r="AF42" s="24">
        <f>SUM(AA42:AE42)</f>
        <v>240000</v>
      </c>
    </row>
    <row r="43">
      <c r="A43" s="12" t="inlineStr">
        <is>
          <t>채널 합계</t>
        </is>
      </c>
      <c r="C43" s="28">
        <f>SUM(C35:C42)</f>
        <v>47067</v>
      </c>
      <c r="D43" s="28">
        <f>SUM(D35:D42)</f>
        <v>36140</v>
      </c>
      <c r="E43" s="28">
        <f>SUM(E35:E42)</f>
        <v>56454</v>
      </c>
      <c r="F43" s="28">
        <f>SUM(F35:F42)</f>
        <v>10935</v>
      </c>
      <c r="G43" s="28">
        <f>SUM(G35:G42)</f>
        <v>22317</v>
      </c>
      <c r="H43" s="28">
        <f>SUM(H35:H42)</f>
        <v>51453</v>
      </c>
      <c r="I43" s="28">
        <f>SUM(I35:I42)</f>
        <v>13314</v>
      </c>
      <c r="J43" s="28">
        <f>SUM(J35:J42)</f>
        <v>7926</v>
      </c>
      <c r="K43" s="28">
        <f>SUM(K35:K42)</f>
        <v>40729</v>
      </c>
      <c r="L43" s="28">
        <f>SUM(L35:L42)</f>
        <v>178325</v>
      </c>
      <c r="M43" s="28">
        <f>SUM(M35:M42)</f>
        <v>243920</v>
      </c>
      <c r="N43" s="28">
        <f>SUM(N35:N42)</f>
        <v>492637</v>
      </c>
      <c r="O43" s="28">
        <f>SUM(O35:O42)</f>
        <v>488011</v>
      </c>
      <c r="P43" s="28">
        <f>SUM(P35:P42)</f>
        <v>518130</v>
      </c>
      <c r="Q43" s="28">
        <f>SUM(Q35:Q42)</f>
        <v>642594</v>
      </c>
      <c r="R43" s="28">
        <f>SUM(R35:R42)</f>
        <v>721010</v>
      </c>
      <c r="S43" s="28">
        <f>SUM(S35:S42)</f>
        <v>776441</v>
      </c>
      <c r="T43" s="28">
        <f>SUM(T35:T42)</f>
        <v>815573</v>
      </c>
      <c r="U43" s="28">
        <f>SUM(U35:U42)</f>
        <v>883990</v>
      </c>
      <c r="V43" s="28">
        <f>SUM(V35:V42)</f>
        <v>915762</v>
      </c>
      <c r="W43" s="28">
        <f>SUM(W35:W42)</f>
        <v>967402</v>
      </c>
      <c r="X43" s="28">
        <f>SUM(X35:X42)</f>
        <v>1037299</v>
      </c>
      <c r="Y43" s="28">
        <f>SUM(Y35:Y42)</f>
        <v>1097733</v>
      </c>
      <c r="Z43" s="28">
        <f>SUM(Z35:Z42)</f>
        <v>1141055</v>
      </c>
      <c r="AA43" s="29">
        <f>SUM(AA35:AA42)</f>
        <v>1201217</v>
      </c>
      <c r="AB43" s="29">
        <f>SUM(AB35:AB42)</f>
        <v>10005000</v>
      </c>
      <c r="AC43" s="30">
        <f>SUM(AC35:AC42)</f>
        <v>33000000</v>
      </c>
      <c r="AD43" s="30">
        <f>SUM(AD35:AD42)</f>
        <v>70000000</v>
      </c>
      <c r="AE43" s="30">
        <f>SUM(AE35:AE42)</f>
        <v>156000000</v>
      </c>
      <c r="AF43" s="28">
        <f>SUM(AF35:AF42)</f>
        <v>270206217</v>
      </c>
    </row>
    <row r="44">
      <c r="A44" s="2" t="inlineStr">
        <is>
          <t>검증: 채널 합계 − 제품 합계(0이어야 함)</t>
        </is>
      </c>
      <c r="C44" s="60">
        <f>C43-C15</f>
        <v>0</v>
      </c>
      <c r="D44" s="60">
        <f>D43-D15</f>
        <v>0</v>
      </c>
      <c r="E44" s="60">
        <f>E43-E15</f>
        <v>0</v>
      </c>
      <c r="F44" s="60">
        <f>F43-F15</f>
        <v>0</v>
      </c>
      <c r="G44" s="60">
        <f>G43-G15</f>
        <v>0</v>
      </c>
      <c r="H44" s="60">
        <f>H43-H15</f>
        <v>0</v>
      </c>
      <c r="I44" s="60">
        <f>I43-I15</f>
        <v>0</v>
      </c>
      <c r="J44" s="60">
        <f>J43-J15</f>
        <v>0</v>
      </c>
      <c r="K44" s="60">
        <f>K43-K15</f>
        <v>0</v>
      </c>
      <c r="L44" s="60">
        <f>L43-L15</f>
        <v>0</v>
      </c>
      <c r="M44" s="60">
        <f>M43-M15</f>
        <v>0</v>
      </c>
      <c r="N44" s="60">
        <f>N43-N15</f>
        <v>0</v>
      </c>
      <c r="O44" s="60">
        <f>O43-O15</f>
        <v>0</v>
      </c>
      <c r="P44" s="60">
        <f>P43-P15</f>
        <v>0</v>
      </c>
      <c r="Q44" s="60">
        <f>Q43-Q15</f>
        <v>0</v>
      </c>
      <c r="R44" s="60">
        <f>R43-R15</f>
        <v>0</v>
      </c>
      <c r="S44" s="60">
        <f>S43-S15</f>
        <v>0</v>
      </c>
      <c r="T44" s="60">
        <f>T43-T15</f>
        <v>0</v>
      </c>
      <c r="U44" s="60">
        <f>U43-U15</f>
        <v>0</v>
      </c>
      <c r="V44" s="60">
        <f>V43-V15</f>
        <v>0</v>
      </c>
      <c r="W44" s="60">
        <f>W43-W15</f>
        <v>0</v>
      </c>
      <c r="X44" s="60">
        <f>X43-X15</f>
        <v>0</v>
      </c>
      <c r="Y44" s="60">
        <f>Y43-Y15</f>
        <v>0</v>
      </c>
      <c r="Z44" s="60">
        <f>Z43-Z15</f>
        <v>0</v>
      </c>
      <c r="AA44" s="60">
        <f>AA43-AA15</f>
        <v>0</v>
      </c>
      <c r="AB44" s="60">
        <f>AB43-AB15</f>
        <v>0</v>
      </c>
      <c r="AC44" s="60">
        <f>AC43-AC15</f>
        <v>0</v>
      </c>
      <c r="AD44" s="60">
        <f>AD43-AD15</f>
        <v>0</v>
      </c>
      <c r="AE44" s="60">
        <f>AE43-AE15</f>
        <v>0</v>
      </c>
      <c r="AF44" s="60">
        <f>AF43-AF15</f>
        <v>0</v>
      </c>
    </row>
    <row r="46">
      <c r="A46" s="3" t="inlineStr">
        <is>
          <t>E. 근거수준별 매출</t>
        </is>
      </c>
    </row>
    <row r="47">
      <c r="A47" s="15" t="inlineStr">
        <is>
          <t>A 계약·기존 거래</t>
        </is>
      </c>
      <c r="C47" s="69">
        <f>SUMIF('4_매출_거래처'!$H$54:$H$89,$A47,'4_매출_거래처'!X$54:X$89)</f>
        <v>37261</v>
      </c>
      <c r="D47" s="69">
        <f>SUMIF('4_매출_거래처'!$H$54:$H$89,$A47,'4_매출_거래처'!Y$54:Y$89)</f>
        <v>32161</v>
      </c>
      <c r="E47" s="69">
        <f>SUMIF('4_매출_거래처'!$H$54:$H$89,$A47,'4_매출_거래처'!Z$54:Z$89)</f>
        <v>54444</v>
      </c>
      <c r="F47" s="69">
        <f>SUMIF('4_매출_거래처'!$H$54:$H$89,$A47,'4_매출_거래처'!AA$54:AA$89)</f>
        <v>10935</v>
      </c>
      <c r="G47" s="69">
        <f>SUMIF('4_매출_거래처'!$H$54:$H$89,$A47,'4_매출_거래처'!AB$54:AB$89)</f>
        <v>22317</v>
      </c>
      <c r="H47" s="69">
        <f>SUMIF('4_매출_거래처'!$H$54:$H$89,$A47,'4_매출_거래처'!AC$54:AC$89)</f>
        <v>51453</v>
      </c>
      <c r="I47" s="69">
        <f>SUMIF('4_매출_거래처'!$H$54:$H$89,$A47,'4_매출_거래처'!AD$54:AD$89)</f>
        <v>13314</v>
      </c>
      <c r="J47" s="69">
        <f>SUMIF('4_매출_거래처'!$H$54:$H$89,$A47,'4_매출_거래처'!AE$54:AE$89)</f>
        <v>7926</v>
      </c>
      <c r="K47" s="69">
        <f>SUMIF('4_매출_거래처'!$H$54:$H$89,$A47,'4_매출_거래처'!AF$54:AF$89)</f>
        <v>40729</v>
      </c>
      <c r="L47" s="69">
        <f>SUMIF('4_매출_거래처'!$H$54:$H$89,$A47,'4_매출_거래처'!AG$54:AG$89)</f>
        <v>178325</v>
      </c>
      <c r="M47" s="69">
        <f>SUMIF('4_매출_거래처'!$H$54:$H$89,$A47,'4_매출_거래처'!AH$54:AH$89)</f>
        <v>221800</v>
      </c>
      <c r="N47" s="69">
        <f>SUMIF('4_매출_거래처'!$H$54:$H$89,$A47,'4_매출_거래처'!AI$54:AI$89)</f>
        <v>192600</v>
      </c>
      <c r="O47" s="69">
        <f>SUMIF('4_매출_거래처'!$H$54:$H$89,$A47,'4_매출_거래처'!AJ$54:AJ$89)</f>
        <v>320369</v>
      </c>
      <c r="P47" s="69">
        <f>SUMIF('4_매출_거래처'!$H$54:$H$89,$A47,'4_매출_거래처'!AK$54:AK$89)</f>
        <v>319928</v>
      </c>
      <c r="Q47" s="69">
        <f>SUMIF('4_매출_거래처'!$H$54:$H$89,$A47,'4_매출_거래처'!AL$54:AL$89)</f>
        <v>364846</v>
      </c>
      <c r="R47" s="69">
        <f>SUMIF('4_매출_거래처'!$H$54:$H$89,$A47,'4_매출_거래처'!AM$54:AM$89)</f>
        <v>425656</v>
      </c>
      <c r="S47" s="69">
        <f>SUMIF('4_매출_거래처'!$H$54:$H$89,$A47,'4_매출_거래처'!AN$54:AN$89)</f>
        <v>436999</v>
      </c>
      <c r="T47" s="69">
        <f>SUMIF('4_매출_거래처'!$H$54:$H$89,$A47,'4_매출_거래처'!AO$54:AO$89)</f>
        <v>449435</v>
      </c>
      <c r="U47" s="69">
        <f>SUMIF('4_매출_거래처'!$H$54:$H$89,$A47,'4_매출_거래처'!AP$54:AP$89)</f>
        <v>501068</v>
      </c>
      <c r="V47" s="69">
        <f>SUMIF('4_매출_거래처'!$H$54:$H$89,$A47,'4_매출_거래처'!AQ$54:AQ$89)</f>
        <v>525915</v>
      </c>
      <c r="W47" s="69">
        <f>SUMIF('4_매출_거래처'!$H$54:$H$89,$A47,'4_매출_거래처'!AR$54:AR$89)</f>
        <v>543255</v>
      </c>
      <c r="X47" s="69">
        <f>SUMIF('4_매출_거래처'!$H$54:$H$89,$A47,'4_매출_거래처'!AS$54:AS$89)</f>
        <v>588265</v>
      </c>
      <c r="Y47" s="69">
        <f>SUMIF('4_매출_거래처'!$H$54:$H$89,$A47,'4_매출_거래처'!AT$54:AT$89)</f>
        <v>609106</v>
      </c>
      <c r="Z47" s="69">
        <f>SUMIF('4_매출_거래처'!$H$54:$H$89,$A47,'4_매출_거래처'!AU$54:AU$89)</f>
        <v>631958</v>
      </c>
      <c r="AA47" s="25">
        <f>SUM(C47:N47)</f>
        <v>863265</v>
      </c>
      <c r="AB47" s="25">
        <f>SUM(O47:Z47)</f>
        <v>5716800</v>
      </c>
      <c r="AC47" s="68">
        <f>SUMIF('4_매출_거래처'!$H$54:$H$89,$A47,'4_매출_거래처'!AX$54:AX$89)</f>
        <v>10033136</v>
      </c>
      <c r="AD47" s="68">
        <f>SUMIF('4_매출_거래처'!$H$54:$H$89,$A47,'4_매출_거래처'!AY$54:AY$89)</f>
        <v>14422446.4</v>
      </c>
      <c r="AE47" s="68">
        <f>SUMIF('4_매출_거래처'!$H$54:$H$89,$A47,'4_매출_거래처'!AZ$54:AZ$89)</f>
        <v>18698950.912</v>
      </c>
      <c r="AF47" s="24">
        <f>SUM(AA47:AE47)</f>
        <v>49734598.312</v>
      </c>
    </row>
    <row r="48">
      <c r="A48" s="15" t="inlineStr">
        <is>
          <t>B 등록·입찰·협의 단계</t>
        </is>
      </c>
      <c r="C48" s="69">
        <f>SUMIF('4_매출_거래처'!$H$54:$H$89,$A48,'4_매출_거래처'!X$54:X$89)</f>
        <v>9806</v>
      </c>
      <c r="D48" s="69">
        <f>SUMIF('4_매출_거래처'!$H$54:$H$89,$A48,'4_매출_거래처'!Y$54:Y$89)</f>
        <v>3979</v>
      </c>
      <c r="E48" s="69">
        <f>SUMIF('4_매출_거래처'!$H$54:$H$89,$A48,'4_매출_거래처'!Z$54:Z$89)</f>
        <v>2010</v>
      </c>
      <c r="F48" s="69">
        <f>SUMIF('4_매출_거래처'!$H$54:$H$89,$A48,'4_매출_거래처'!AA$54:AA$89)</f>
        <v>0</v>
      </c>
      <c r="G48" s="69">
        <f>SUMIF('4_매출_거래처'!$H$54:$H$89,$A48,'4_매출_거래처'!AB$54:AB$89)</f>
        <v>0</v>
      </c>
      <c r="H48" s="69">
        <f>SUMIF('4_매출_거래처'!$H$54:$H$89,$A48,'4_매출_거래처'!AC$54:AC$89)</f>
        <v>0</v>
      </c>
      <c r="I48" s="69">
        <f>SUMIF('4_매출_거래처'!$H$54:$H$89,$A48,'4_매출_거래처'!AD$54:AD$89)</f>
        <v>0</v>
      </c>
      <c r="J48" s="69">
        <f>SUMIF('4_매출_거래처'!$H$54:$H$89,$A48,'4_매출_거래처'!AE$54:AE$89)</f>
        <v>0</v>
      </c>
      <c r="K48" s="69">
        <f>SUMIF('4_매출_거래처'!$H$54:$H$89,$A48,'4_매출_거래처'!AF$54:AF$89)</f>
        <v>0</v>
      </c>
      <c r="L48" s="69">
        <f>SUMIF('4_매출_거래처'!$H$54:$H$89,$A48,'4_매출_거래처'!AG$54:AG$89)</f>
        <v>0</v>
      </c>
      <c r="M48" s="69">
        <f>SUMIF('4_매출_거래처'!$H$54:$H$89,$A48,'4_매출_거래처'!AH$54:AH$89)</f>
        <v>22120</v>
      </c>
      <c r="N48" s="69">
        <f>SUMIF('4_매출_거래처'!$H$54:$H$89,$A48,'4_매출_거래처'!AI$54:AI$89)</f>
        <v>300037</v>
      </c>
      <c r="O48" s="69">
        <f>SUMIF('4_매출_거래처'!$H$54:$H$89,$A48,'4_매출_거래처'!AJ$54:AJ$89)</f>
        <v>143282</v>
      </c>
      <c r="P48" s="69">
        <f>SUMIF('4_매출_거래처'!$H$54:$H$89,$A48,'4_매출_거래처'!AK$54:AK$89)</f>
        <v>173842</v>
      </c>
      <c r="Q48" s="69">
        <f>SUMIF('4_매출_거래처'!$H$54:$H$89,$A48,'4_매출_거래처'!AL$54:AL$89)</f>
        <v>220908</v>
      </c>
      <c r="R48" s="69">
        <f>SUMIF('4_매출_거래처'!$H$54:$H$89,$A48,'4_매출_거래처'!AM$54:AM$89)</f>
        <v>238514</v>
      </c>
      <c r="S48" s="69">
        <f>SUMIF('4_매출_거래처'!$H$54:$H$89,$A48,'4_매출_거래처'!AN$54:AN$89)</f>
        <v>266362</v>
      </c>
      <c r="T48" s="69">
        <f>SUMIF('4_매출_거래처'!$H$54:$H$89,$A48,'4_매출_거래처'!AO$54:AO$89)</f>
        <v>293058</v>
      </c>
      <c r="U48" s="69">
        <f>SUMIF('4_매출_거래처'!$H$54:$H$89,$A48,'4_매출_거래처'!AP$54:AP$89)</f>
        <v>309842</v>
      </c>
      <c r="V48" s="69">
        <f>SUMIF('4_매출_거래처'!$H$54:$H$89,$A48,'4_매출_거래처'!AQ$54:AQ$89)</f>
        <v>316767</v>
      </c>
      <c r="W48" s="69">
        <f>SUMIF('4_매출_거래처'!$H$54:$H$89,$A48,'4_매출_거래처'!AR$54:AR$89)</f>
        <v>334827</v>
      </c>
      <c r="X48" s="69">
        <f>SUMIF('4_매출_거래처'!$H$54:$H$89,$A48,'4_매출_거래처'!AS$54:AS$89)</f>
        <v>359714</v>
      </c>
      <c r="Y48" s="69">
        <f>SUMIF('4_매출_거래처'!$H$54:$H$89,$A48,'4_매출_거래처'!AT$54:AT$89)</f>
        <v>399307</v>
      </c>
      <c r="Z48" s="69">
        <f>SUMIF('4_매출_거래처'!$H$54:$H$89,$A48,'4_매출_거래처'!AU$54:AU$89)</f>
        <v>419777</v>
      </c>
      <c r="AA48" s="25">
        <f>SUM(C48:N48)</f>
        <v>337952</v>
      </c>
      <c r="AB48" s="25">
        <f>SUM(O48:Z48)</f>
        <v>3476200</v>
      </c>
      <c r="AC48" s="68">
        <f>SUMIF('4_매출_거래처'!$H$54:$H$89,$A48,'4_매출_거래처'!AX$54:AX$89)</f>
        <v>8708328</v>
      </c>
      <c r="AD48" s="68">
        <f>SUMIF('4_매출_거래처'!$H$54:$H$89,$A48,'4_매출_거래처'!AY$54:AY$89)</f>
        <v>15526357.6</v>
      </c>
      <c r="AE48" s="68">
        <f>SUMIF('4_매출_거래처'!$H$54:$H$89,$A48,'4_매출_거래처'!AZ$54:AZ$89)</f>
        <v>22452900.64</v>
      </c>
      <c r="AF48" s="24">
        <f>SUM(AA48:AE48)</f>
        <v>50501738.24</v>
      </c>
    </row>
    <row r="49">
      <c r="A49" s="15" t="inlineStr">
        <is>
          <t>C 신규 파이프라인(미확정)</t>
        </is>
      </c>
      <c r="C49" s="69">
        <f>SUMIF('4_매출_거래처'!$H$54:$H$89,$A49,'4_매출_거래처'!X$54:X$89)</f>
        <v>0</v>
      </c>
      <c r="D49" s="69">
        <f>SUMIF('4_매출_거래처'!$H$54:$H$89,$A49,'4_매출_거래처'!Y$54:Y$89)</f>
        <v>0</v>
      </c>
      <c r="E49" s="69">
        <f>SUMIF('4_매출_거래처'!$H$54:$H$89,$A49,'4_매출_거래처'!Z$54:Z$89)</f>
        <v>0</v>
      </c>
      <c r="F49" s="69">
        <f>SUMIF('4_매출_거래처'!$H$54:$H$89,$A49,'4_매출_거래처'!AA$54:AA$89)</f>
        <v>0</v>
      </c>
      <c r="G49" s="69">
        <f>SUMIF('4_매출_거래처'!$H$54:$H$89,$A49,'4_매출_거래처'!AB$54:AB$89)</f>
        <v>0</v>
      </c>
      <c r="H49" s="69">
        <f>SUMIF('4_매출_거래처'!$H$54:$H$89,$A49,'4_매출_거래처'!AC$54:AC$89)</f>
        <v>0</v>
      </c>
      <c r="I49" s="69">
        <f>SUMIF('4_매출_거래처'!$H$54:$H$89,$A49,'4_매출_거래처'!AD$54:AD$89)</f>
        <v>0</v>
      </c>
      <c r="J49" s="69">
        <f>SUMIF('4_매출_거래처'!$H$54:$H$89,$A49,'4_매출_거래처'!AE$54:AE$89)</f>
        <v>0</v>
      </c>
      <c r="K49" s="69">
        <f>SUMIF('4_매출_거래처'!$H$54:$H$89,$A49,'4_매출_거래처'!AF$54:AF$89)</f>
        <v>0</v>
      </c>
      <c r="L49" s="69">
        <f>SUMIF('4_매출_거래처'!$H$54:$H$89,$A49,'4_매출_거래처'!AG$54:AG$89)</f>
        <v>0</v>
      </c>
      <c r="M49" s="69">
        <f>SUMIF('4_매출_거래처'!$H$54:$H$89,$A49,'4_매출_거래처'!AH$54:AH$89)</f>
        <v>0</v>
      </c>
      <c r="N49" s="69">
        <f>SUMIF('4_매출_거래처'!$H$54:$H$89,$A49,'4_매출_거래처'!AI$54:AI$89)</f>
        <v>0</v>
      </c>
      <c r="O49" s="69">
        <f>SUMIF('4_매출_거래처'!$H$54:$H$89,$A49,'4_매출_거래처'!AJ$54:AJ$89)</f>
        <v>24360</v>
      </c>
      <c r="P49" s="69">
        <f>SUMIF('4_매출_거래처'!$H$54:$H$89,$A49,'4_매출_거래처'!AK$54:AK$89)</f>
        <v>24360</v>
      </c>
      <c r="Q49" s="69">
        <f>SUMIF('4_매출_거래처'!$H$54:$H$89,$A49,'4_매출_거래처'!AL$54:AL$89)</f>
        <v>56840</v>
      </c>
      <c r="R49" s="69">
        <f>SUMIF('4_매출_거래처'!$H$54:$H$89,$A49,'4_매출_거래처'!AM$54:AM$89)</f>
        <v>56840</v>
      </c>
      <c r="S49" s="69">
        <f>SUMIF('4_매출_거래처'!$H$54:$H$89,$A49,'4_매출_거래처'!AN$54:AN$89)</f>
        <v>73080</v>
      </c>
      <c r="T49" s="69">
        <f>SUMIF('4_매출_거래처'!$H$54:$H$89,$A49,'4_매출_거래처'!AO$54:AO$89)</f>
        <v>73080</v>
      </c>
      <c r="U49" s="69">
        <f>SUMIF('4_매출_거래처'!$H$54:$H$89,$A49,'4_매출_거래처'!AP$54:AP$89)</f>
        <v>73080</v>
      </c>
      <c r="V49" s="69">
        <f>SUMIF('4_매출_거래처'!$H$54:$H$89,$A49,'4_매출_거래처'!AQ$54:AQ$89)</f>
        <v>73080</v>
      </c>
      <c r="W49" s="69">
        <f>SUMIF('4_매출_거래처'!$H$54:$H$89,$A49,'4_매출_거래처'!AR$54:AR$89)</f>
        <v>89320</v>
      </c>
      <c r="X49" s="69">
        <f>SUMIF('4_매출_거래처'!$H$54:$H$89,$A49,'4_매출_거래처'!AS$54:AS$89)</f>
        <v>89320</v>
      </c>
      <c r="Y49" s="69">
        <f>SUMIF('4_매출_거래처'!$H$54:$H$89,$A49,'4_매출_거래처'!AT$54:AT$89)</f>
        <v>89320</v>
      </c>
      <c r="Z49" s="69">
        <f>SUMIF('4_매출_거래처'!$H$54:$H$89,$A49,'4_매출_거래처'!AU$54:AU$89)</f>
        <v>89320</v>
      </c>
      <c r="AA49" s="25">
        <f>SUM(C49:N49)</f>
        <v>0</v>
      </c>
      <c r="AB49" s="25">
        <f>SUM(O49:Z49)</f>
        <v>812000</v>
      </c>
      <c r="AC49" s="68">
        <f>SUMIF('4_매출_거래처'!$H$54:$H$89,$A49,'4_매출_거래처'!AX$54:AX$89)</f>
        <v>14258536</v>
      </c>
      <c r="AD49" s="68">
        <f>SUMIF('4_매출_거래처'!$H$54:$H$89,$A49,'4_매출_거래처'!AY$54:AY$89)</f>
        <v>40051196</v>
      </c>
      <c r="AE49" s="68">
        <f>SUMIF('4_매출_거래처'!$H$54:$H$89,$A49,'4_매출_거래처'!AZ$54:AZ$89)</f>
        <v>114848148.448</v>
      </c>
      <c r="AF49" s="24">
        <f>SUM(AA49:AE49)</f>
        <v>169969880.448</v>
      </c>
    </row>
    <row r="50">
      <c r="A50" s="12" t="inlineStr">
        <is>
          <t>근거수준 합계</t>
        </is>
      </c>
      <c r="C50" s="28">
        <f>SUM(C47:C49)</f>
        <v>47067</v>
      </c>
      <c r="D50" s="28">
        <f>SUM(D47:D49)</f>
        <v>36140</v>
      </c>
      <c r="E50" s="28">
        <f>SUM(E47:E49)</f>
        <v>56454</v>
      </c>
      <c r="F50" s="28">
        <f>SUM(F47:F49)</f>
        <v>10935</v>
      </c>
      <c r="G50" s="28">
        <f>SUM(G47:G49)</f>
        <v>22317</v>
      </c>
      <c r="H50" s="28">
        <f>SUM(H47:H49)</f>
        <v>51453</v>
      </c>
      <c r="I50" s="28">
        <f>SUM(I47:I49)</f>
        <v>13314</v>
      </c>
      <c r="J50" s="28">
        <f>SUM(J47:J49)</f>
        <v>7926</v>
      </c>
      <c r="K50" s="28">
        <f>SUM(K47:K49)</f>
        <v>40729</v>
      </c>
      <c r="L50" s="28">
        <f>SUM(L47:L49)</f>
        <v>178325</v>
      </c>
      <c r="M50" s="28">
        <f>SUM(M47:M49)</f>
        <v>243920</v>
      </c>
      <c r="N50" s="28">
        <f>SUM(N47:N49)</f>
        <v>492637</v>
      </c>
      <c r="O50" s="28">
        <f>SUM(O47:O49)</f>
        <v>488011</v>
      </c>
      <c r="P50" s="28">
        <f>SUM(P47:P49)</f>
        <v>518130</v>
      </c>
      <c r="Q50" s="28">
        <f>SUM(Q47:Q49)</f>
        <v>642594</v>
      </c>
      <c r="R50" s="28">
        <f>SUM(R47:R49)</f>
        <v>721010</v>
      </c>
      <c r="S50" s="28">
        <f>SUM(S47:S49)</f>
        <v>776441</v>
      </c>
      <c r="T50" s="28">
        <f>SUM(T47:T49)</f>
        <v>815573</v>
      </c>
      <c r="U50" s="28">
        <f>SUM(U47:U49)</f>
        <v>883990</v>
      </c>
      <c r="V50" s="28">
        <f>SUM(V47:V49)</f>
        <v>915762</v>
      </c>
      <c r="W50" s="28">
        <f>SUM(W47:W49)</f>
        <v>967402</v>
      </c>
      <c r="X50" s="28">
        <f>SUM(X47:X49)</f>
        <v>1037299</v>
      </c>
      <c r="Y50" s="28">
        <f>SUM(Y47:Y49)</f>
        <v>1097733</v>
      </c>
      <c r="Z50" s="28">
        <f>SUM(Z47:Z49)</f>
        <v>1141055</v>
      </c>
      <c r="AA50" s="29">
        <f>SUM(AA47:AA49)</f>
        <v>1201217</v>
      </c>
      <c r="AB50" s="29">
        <f>SUM(AB47:AB49)</f>
        <v>10005000</v>
      </c>
      <c r="AC50" s="30">
        <f>SUM(AC47:AC49)</f>
        <v>33000000</v>
      </c>
      <c r="AD50" s="30">
        <f>SUM(AD47:AD49)</f>
        <v>70000000</v>
      </c>
      <c r="AE50" s="30">
        <f>SUM(AE47:AE49)</f>
        <v>156000000</v>
      </c>
      <c r="AF50" s="28">
        <f>SUM(AF47:AF49)</f>
        <v>270206217</v>
      </c>
    </row>
    <row r="51">
      <c r="A51" s="2" t="inlineStr">
        <is>
          <t>검증: 근거수준 합계 − 제품 합계(0이어야 함)</t>
        </is>
      </c>
      <c r="C51" s="60">
        <f>C50-C15</f>
        <v>0</v>
      </c>
      <c r="D51" s="60">
        <f>D50-D15</f>
        <v>0</v>
      </c>
      <c r="E51" s="60">
        <f>E50-E15</f>
        <v>0</v>
      </c>
      <c r="F51" s="60">
        <f>F50-F15</f>
        <v>0</v>
      </c>
      <c r="G51" s="60">
        <f>G50-G15</f>
        <v>0</v>
      </c>
      <c r="H51" s="60">
        <f>H50-H15</f>
        <v>0</v>
      </c>
      <c r="I51" s="60">
        <f>I50-I15</f>
        <v>0</v>
      </c>
      <c r="J51" s="60">
        <f>J50-J15</f>
        <v>0</v>
      </c>
      <c r="K51" s="60">
        <f>K50-K15</f>
        <v>0</v>
      </c>
      <c r="L51" s="60">
        <f>L50-L15</f>
        <v>0</v>
      </c>
      <c r="M51" s="60">
        <f>M50-M15</f>
        <v>0</v>
      </c>
      <c r="N51" s="60">
        <f>N50-N15</f>
        <v>0</v>
      </c>
      <c r="O51" s="60">
        <f>O50-O15</f>
        <v>0</v>
      </c>
      <c r="P51" s="60">
        <f>P50-P15</f>
        <v>0</v>
      </c>
      <c r="Q51" s="60">
        <f>Q50-Q15</f>
        <v>0</v>
      </c>
      <c r="R51" s="60">
        <f>R50-R15</f>
        <v>0</v>
      </c>
      <c r="S51" s="60">
        <f>S50-S15</f>
        <v>0</v>
      </c>
      <c r="T51" s="60">
        <f>T50-T15</f>
        <v>0</v>
      </c>
      <c r="U51" s="60">
        <f>U50-U15</f>
        <v>0</v>
      </c>
      <c r="V51" s="60">
        <f>V50-V15</f>
        <v>0</v>
      </c>
      <c r="W51" s="60">
        <f>W50-W15</f>
        <v>0</v>
      </c>
      <c r="X51" s="60">
        <f>X50-X15</f>
        <v>0</v>
      </c>
      <c r="Y51" s="60">
        <f>Y50-Y15</f>
        <v>0</v>
      </c>
      <c r="Z51" s="60">
        <f>Z50-Z15</f>
        <v>0</v>
      </c>
      <c r="AA51" s="60">
        <f>AA50-AA15</f>
        <v>0</v>
      </c>
      <c r="AB51" s="60">
        <f>AB50-AB15</f>
        <v>0</v>
      </c>
      <c r="AC51" s="60">
        <f>AC50-AC15</f>
        <v>0</v>
      </c>
      <c r="AD51" s="60">
        <f>AD50-AD15</f>
        <v>0</v>
      </c>
      <c r="AE51" s="60">
        <f>AE50-AE15</f>
        <v>0</v>
      </c>
      <c r="AF51" s="60">
        <f>AF50-AF15</f>
        <v>0</v>
      </c>
    </row>
    <row r="52">
      <c r="A52" s="53" t="inlineStr">
        <is>
          <t xml:space="preserve">  비중 — A 계약·기존 거래</t>
        </is>
      </c>
      <c r="C52" s="75">
        <f>IFERROR(C47/C50,0)</f>
        <v>0.791658699300996</v>
      </c>
      <c r="D52" s="75">
        <f>IFERROR(D47/D50,0)</f>
        <v>0.889900387382402</v>
      </c>
      <c r="E52" s="75">
        <f>IFERROR(E47/E50,0)</f>
        <v>0.964395791263684</v>
      </c>
      <c r="F52" s="75">
        <f>IFERROR(F47/F50,0)</f>
        <v>1</v>
      </c>
      <c r="G52" s="75">
        <f>IFERROR(G47/G50,0)</f>
        <v>1</v>
      </c>
      <c r="H52" s="75">
        <f>IFERROR(H47/H50,0)</f>
        <v>1</v>
      </c>
      <c r="I52" s="75">
        <f>IFERROR(I47/I50,0)</f>
        <v>1</v>
      </c>
      <c r="J52" s="75">
        <f>IFERROR(J47/J50,0)</f>
        <v>1</v>
      </c>
      <c r="K52" s="75">
        <f>IFERROR(K47/K50,0)</f>
        <v>1</v>
      </c>
      <c r="L52" s="75">
        <f>IFERROR(L47/L50,0)</f>
        <v>1</v>
      </c>
      <c r="M52" s="75">
        <f>IFERROR(M47/M50,0)</f>
        <v>0.909314529353887</v>
      </c>
      <c r="N52" s="75">
        <f>IFERROR(N47/N50,0)</f>
        <v>0.390957236261182</v>
      </c>
      <c r="O52" s="75">
        <f>IFERROR(O47/O50,0)</f>
        <v>0.656479054775405</v>
      </c>
      <c r="P52" s="75">
        <f>IFERROR(P47/P50,0)</f>
        <v>0.617466658946597</v>
      </c>
      <c r="Q52" s="75">
        <f>IFERROR(Q47/Q50,0)</f>
        <v>0.567770629666632</v>
      </c>
      <c r="R52" s="75">
        <f>IFERROR(R47/R50,0)</f>
        <v>0.590360743956395</v>
      </c>
      <c r="S52" s="75">
        <f>IFERROR(S47/S50,0)</f>
        <v>0.562823189398808</v>
      </c>
      <c r="T52" s="75">
        <f>IFERROR(T47/T50,0)</f>
        <v>0.551066550756339</v>
      </c>
      <c r="U52" s="75">
        <f>IFERROR(U47/U50,0)</f>
        <v>0.566825416577111</v>
      </c>
      <c r="V52" s="75">
        <f>IFERROR(V47/V50,0)</f>
        <v>0.574292228766863</v>
      </c>
      <c r="W52" s="75">
        <f>IFERROR(W47/W50,0)</f>
        <v>0.561560757575444</v>
      </c>
      <c r="X52" s="75">
        <f>IFERROR(X47/X50,0)</f>
        <v>0.567112279101783</v>
      </c>
      <c r="Y52" s="75">
        <f>IFERROR(Y47/Y50,0)</f>
        <v>0.554876276835988</v>
      </c>
      <c r="Z52" s="75">
        <f>IFERROR(Z47/Z50,0)</f>
        <v>0.553836581058757</v>
      </c>
      <c r="AA52" s="75">
        <f>IFERROR(AA47/AA50,0)</f>
        <v>0.71865866034197</v>
      </c>
      <c r="AB52" s="75">
        <f>IFERROR(AB47/AB50,0)</f>
        <v>0.571394302848576</v>
      </c>
      <c r="AC52" s="75">
        <f>IFERROR(AC47/AC50,0)</f>
        <v>0.304034424242424</v>
      </c>
      <c r="AD52" s="75">
        <f>IFERROR(AD47/AD50,0)</f>
        <v>0.206034948571429</v>
      </c>
      <c r="AE52" s="75">
        <f>IFERROR(AE47/AE50,0)</f>
        <v>0.119865069948718</v>
      </c>
      <c r="AF52" s="75">
        <f>IFERROR(AF47/AF50,0)</f>
        <v>0.184061635828313</v>
      </c>
    </row>
    <row r="53">
      <c r="A53" s="53" t="inlineStr">
        <is>
          <t xml:space="preserve">  비중 — B 등록·입찰·협의 단계</t>
        </is>
      </c>
      <c r="C53" s="75">
        <f>IFERROR(C48/C50,0)</f>
        <v>0.208341300699004</v>
      </c>
      <c r="D53" s="75">
        <f>IFERROR(D48/D50,0)</f>
        <v>0.110099612617598</v>
      </c>
      <c r="E53" s="75">
        <f>IFERROR(E48/E50,0)</f>
        <v>0.0356042087363163</v>
      </c>
      <c r="F53" s="75">
        <f>IFERROR(F48/F50,0)</f>
        <v>0</v>
      </c>
      <c r="G53" s="75">
        <f>IFERROR(G48/G50,0)</f>
        <v>0</v>
      </c>
      <c r="H53" s="75">
        <f>IFERROR(H48/H50,0)</f>
        <v>0</v>
      </c>
      <c r="I53" s="75">
        <f>IFERROR(I48/I50,0)</f>
        <v>0</v>
      </c>
      <c r="J53" s="75">
        <f>IFERROR(J48/J50,0)</f>
        <v>0</v>
      </c>
      <c r="K53" s="75">
        <f>IFERROR(K48/K50,0)</f>
        <v>0</v>
      </c>
      <c r="L53" s="75">
        <f>IFERROR(L48/L50,0)</f>
        <v>0</v>
      </c>
      <c r="M53" s="75">
        <f>IFERROR(M48/M50,0)</f>
        <v>0.0906854706461135</v>
      </c>
      <c r="N53" s="75">
        <f>IFERROR(N48/N50,0)</f>
        <v>0.609042763738818</v>
      </c>
      <c r="O53" s="75">
        <f>IFERROR(O48/O50,0)</f>
        <v>0.293604037613906</v>
      </c>
      <c r="P53" s="75">
        <f>IFERROR(P48/P50,0)</f>
        <v>0.33551811321483</v>
      </c>
      <c r="Q53" s="75">
        <f>IFERROR(Q48/Q50,0)</f>
        <v>0.343775385391087</v>
      </c>
      <c r="R53" s="75">
        <f>IFERROR(R48/R50,0)</f>
        <v>0.330805397983384</v>
      </c>
      <c r="S53" s="75">
        <f>IFERROR(S48/S50,0)</f>
        <v>0.343055042173198</v>
      </c>
      <c r="T53" s="75">
        <f>IFERROR(T48/T50,0)</f>
        <v>0.359327736450324</v>
      </c>
      <c r="U53" s="75">
        <f>IFERROR(U48/U50,0)</f>
        <v>0.350503964976979</v>
      </c>
      <c r="V53" s="75">
        <f>IFERROR(V48/V50,0)</f>
        <v>0.345905377161315</v>
      </c>
      <c r="W53" s="75">
        <f>IFERROR(W48/W50,0)</f>
        <v>0.34610947672219</v>
      </c>
      <c r="X53" s="75">
        <f>IFERROR(X48/X50,0)</f>
        <v>0.346779472456833</v>
      </c>
      <c r="Y53" s="75">
        <f>IFERROR(Y48/Y50,0)</f>
        <v>0.363756031749068</v>
      </c>
      <c r="Z53" s="75">
        <f>IFERROR(Z48/Z50,0)</f>
        <v>0.367884983633567</v>
      </c>
      <c r="AA53" s="75">
        <f>IFERROR(AA48/AA50,0)</f>
        <v>0.28134133965803</v>
      </c>
      <c r="AB53" s="75">
        <f>IFERROR(AB48/AB50,0)</f>
        <v>0.347446276861569</v>
      </c>
      <c r="AC53" s="75">
        <f>IFERROR(AC48/AC50,0)</f>
        <v>0.263888727272727</v>
      </c>
      <c r="AD53" s="75">
        <f>IFERROR(AD48/AD50,0)</f>
        <v>0.221805108571429</v>
      </c>
      <c r="AE53" s="75">
        <f>IFERROR(AE48/AE50,0)</f>
        <v>0.14392885025641</v>
      </c>
      <c r="AF53" s="75">
        <f>IFERROR(AF48/AF50,0)</f>
        <v>0.186900726418149</v>
      </c>
    </row>
    <row r="54">
      <c r="A54" s="53" t="inlineStr">
        <is>
          <t xml:space="preserve">  비중 — C 신규 파이프라인(미확정)</t>
        </is>
      </c>
      <c r="C54" s="75">
        <f>IFERROR(C49/C50,0)</f>
        <v>0</v>
      </c>
      <c r="D54" s="75">
        <f>IFERROR(D49/D50,0)</f>
        <v>0</v>
      </c>
      <c r="E54" s="75">
        <f>IFERROR(E49/E50,0)</f>
        <v>0</v>
      </c>
      <c r="F54" s="75">
        <f>IFERROR(F49/F50,0)</f>
        <v>0</v>
      </c>
      <c r="G54" s="75">
        <f>IFERROR(G49/G50,0)</f>
        <v>0</v>
      </c>
      <c r="H54" s="75">
        <f>IFERROR(H49/H50,0)</f>
        <v>0</v>
      </c>
      <c r="I54" s="75">
        <f>IFERROR(I49/I50,0)</f>
        <v>0</v>
      </c>
      <c r="J54" s="75">
        <f>IFERROR(J49/J50,0)</f>
        <v>0</v>
      </c>
      <c r="K54" s="75">
        <f>IFERROR(K49/K50,0)</f>
        <v>0</v>
      </c>
      <c r="L54" s="75">
        <f>IFERROR(L49/L50,0)</f>
        <v>0</v>
      </c>
      <c r="M54" s="75">
        <f>IFERROR(M49/M50,0)</f>
        <v>0</v>
      </c>
      <c r="N54" s="75">
        <f>IFERROR(N49/N50,0)</f>
        <v>0</v>
      </c>
      <c r="O54" s="75">
        <f>IFERROR(O49/O50,0)</f>
        <v>0.0499169076106891</v>
      </c>
      <c r="P54" s="75">
        <f>IFERROR(P49/P50,0)</f>
        <v>0.0470152278385733</v>
      </c>
      <c r="Q54" s="75">
        <f>IFERROR(Q49/Q50,0)</f>
        <v>0.0884539849422808</v>
      </c>
      <c r="R54" s="75">
        <f>IFERROR(R49/R50,0)</f>
        <v>0.0788338580602211</v>
      </c>
      <c r="S54" s="75">
        <f>IFERROR(S49/S50,0)</f>
        <v>0.0941217684279939</v>
      </c>
      <c r="T54" s="75">
        <f>IFERROR(T49/T50,0)</f>
        <v>0.0896057127933367</v>
      </c>
      <c r="U54" s="75">
        <f>IFERROR(U49/U50,0)</f>
        <v>0.08267061844591</v>
      </c>
      <c r="V54" s="75">
        <f>IFERROR(V49/V50,0)</f>
        <v>0.0798023940718222</v>
      </c>
      <c r="W54" s="75">
        <f>IFERROR(W49/W50,0)</f>
        <v>0.0923297657023657</v>
      </c>
      <c r="X54" s="75">
        <f>IFERROR(X49/X50,0)</f>
        <v>0.0861082484413848</v>
      </c>
      <c r="Y54" s="75">
        <f>IFERROR(Y49/Y50,0)</f>
        <v>0.0813676914149433</v>
      </c>
      <c r="Z54" s="75">
        <f>IFERROR(Z49/Z50,0)</f>
        <v>0.0782784353076758</v>
      </c>
      <c r="AA54" s="75">
        <f>IFERROR(AA49/AA50,0)</f>
        <v>0</v>
      </c>
      <c r="AB54" s="75">
        <f>IFERROR(AB49/AB50,0)</f>
        <v>0.0811594202898551</v>
      </c>
      <c r="AC54" s="75">
        <f>IFERROR(AC49/AC50,0)</f>
        <v>0.432076848484849</v>
      </c>
      <c r="AD54" s="75">
        <f>IFERROR(AD49/AD50,0)</f>
        <v>0.572159942857143</v>
      </c>
      <c r="AE54" s="75">
        <f>IFERROR(AE49/AE50,0)</f>
        <v>0.736206079794872</v>
      </c>
      <c r="AF54" s="75">
        <f>IFERROR(AF49/AF50,0)</f>
        <v>0.629037637753539</v>
      </c>
    </row>
    <row r="56">
      <c r="A56" s="3" t="inlineStr">
        <is>
          <t>F. 구독형 KPI(추정)</t>
        </is>
      </c>
    </row>
    <row r="57">
      <c r="A57" s="15" t="inlineStr">
        <is>
          <t>구독형 매출(P1+P2+P3)</t>
        </is>
      </c>
      <c r="C57" s="44">
        <f>SUM(C9:C11)</f>
        <v>47067</v>
      </c>
      <c r="D57" s="44">
        <f>SUM(D9:D11)</f>
        <v>36140</v>
      </c>
      <c r="E57" s="44">
        <f>SUM(E9:E11)</f>
        <v>56454</v>
      </c>
      <c r="F57" s="44">
        <f>SUM(F9:F11)</f>
        <v>10935</v>
      </c>
      <c r="G57" s="44">
        <f>SUM(G9:G11)</f>
        <v>22317</v>
      </c>
      <c r="H57" s="44">
        <f>SUM(H9:H11)</f>
        <v>51453</v>
      </c>
      <c r="I57" s="44">
        <f>SUM(I9:I11)</f>
        <v>13314</v>
      </c>
      <c r="J57" s="44">
        <f>SUM(J9:J11)</f>
        <v>7926</v>
      </c>
      <c r="K57" s="44">
        <f>SUM(K9:K11)</f>
        <v>40729</v>
      </c>
      <c r="L57" s="44">
        <f>SUM(L9:L11)</f>
        <v>154700</v>
      </c>
      <c r="M57" s="44">
        <f>SUM(M9:M11)</f>
        <v>216295</v>
      </c>
      <c r="N57" s="44">
        <f>SUM(N9:N11)</f>
        <v>464293.45</v>
      </c>
      <c r="O57" s="44">
        <f>SUM(O9:O11)</f>
        <v>472530.64</v>
      </c>
      <c r="P57" s="44">
        <f>SUM(P9:P11)</f>
        <v>500481.61</v>
      </c>
      <c r="Q57" s="44">
        <f>SUM(Q9:Q11)</f>
        <v>608223.82</v>
      </c>
      <c r="R57" s="44">
        <f>SUM(R9:R11)</f>
        <v>680048.63</v>
      </c>
      <c r="S57" s="44">
        <f>SUM(S9:S11)</f>
        <v>730841.37</v>
      </c>
      <c r="T57" s="44">
        <f>SUM(T9:T11)</f>
        <v>767140.31</v>
      </c>
      <c r="U57" s="44">
        <f>SUM(U9:U11)</f>
        <v>832524.83</v>
      </c>
      <c r="V57" s="44">
        <f>SUM(V9:V11)</f>
        <v>861349.45</v>
      </c>
      <c r="W57" s="44">
        <f>SUM(W9:W11)</f>
        <v>907792.04</v>
      </c>
      <c r="X57" s="44">
        <f>SUM(X9:X11)</f>
        <v>973674.17</v>
      </c>
      <c r="Y57" s="44">
        <f>SUM(Y9:Y11)</f>
        <v>1027266.91</v>
      </c>
      <c r="Z57" s="44">
        <f>SUM(Z9:Z11)</f>
        <v>1066406.22</v>
      </c>
      <c r="AA57" s="45">
        <f>SUM(AA9:AA11)</f>
        <v>1121623.45</v>
      </c>
      <c r="AB57" s="45">
        <f>SUM(AB9:AB11)</f>
        <v>9428280</v>
      </c>
      <c r="AC57" s="46">
        <f>SUM(AC9:AC11)</f>
        <v>29983451.84</v>
      </c>
      <c r="AD57" s="46">
        <f>SUM(AD9:AD11)</f>
        <v>60198624.28</v>
      </c>
      <c r="AE57" s="46">
        <f>SUM(AE9:AE11)</f>
        <v>126713291.54816</v>
      </c>
      <c r="AF57" s="44">
        <f>SUM(AF9:AF11)</f>
        <v>227445271.11816</v>
      </c>
    </row>
    <row r="58">
      <c r="A58" s="15" t="inlineStr">
        <is>
          <t>추정 유료 이용자(명, 평균) = 구독형 매출 ÷ ARPU</t>
        </is>
      </c>
      <c r="C58" s="69">
        <f>C57*12/'8_가정'!$C$11</f>
        <v>470.67</v>
      </c>
      <c r="D58" s="69">
        <f>D57*12/'8_가정'!$C$11</f>
        <v>361.4</v>
      </c>
      <c r="E58" s="69">
        <f>E57*12/'8_가정'!$C$11</f>
        <v>564.54</v>
      </c>
      <c r="F58" s="69">
        <f>F57*12/'8_가정'!$C$11</f>
        <v>109.35</v>
      </c>
      <c r="G58" s="69">
        <f>G57*12/'8_가정'!$C$11</f>
        <v>223.17</v>
      </c>
      <c r="H58" s="69">
        <f>H57*12/'8_가정'!$C$11</f>
        <v>514.53</v>
      </c>
      <c r="I58" s="69">
        <f>I57*12/'8_가정'!$C$11</f>
        <v>133.14</v>
      </c>
      <c r="J58" s="69">
        <f>J57*12/'8_가정'!$C$11</f>
        <v>79.26</v>
      </c>
      <c r="K58" s="69">
        <f>K57*12/'8_가정'!$C$11</f>
        <v>407.29</v>
      </c>
      <c r="L58" s="69">
        <f>L57*12/'8_가정'!$C$11</f>
        <v>1547</v>
      </c>
      <c r="M58" s="69">
        <f>M57*12/'8_가정'!$C$11</f>
        <v>2162.95</v>
      </c>
      <c r="N58" s="69">
        <f>N57*12/'8_가정'!$C$11</f>
        <v>4642.9345</v>
      </c>
      <c r="O58" s="69">
        <f>O57*12/'8_가정'!$C$11</f>
        <v>4725.3064</v>
      </c>
      <c r="P58" s="69">
        <f>P57*12/'8_가정'!$C$11</f>
        <v>5004.8161</v>
      </c>
      <c r="Q58" s="69">
        <f>Q57*12/'8_가정'!$C$11</f>
        <v>6082.2382</v>
      </c>
      <c r="R58" s="69">
        <f>R57*12/'8_가정'!$C$11</f>
        <v>6800.4863</v>
      </c>
      <c r="S58" s="69">
        <f>S57*12/'8_가정'!$C$11</f>
        <v>7308.4137</v>
      </c>
      <c r="T58" s="69">
        <f>T57*12/'8_가정'!$C$11</f>
        <v>7671.4031</v>
      </c>
      <c r="U58" s="69">
        <f>U57*12/'8_가정'!$C$11</f>
        <v>8325.2483</v>
      </c>
      <c r="V58" s="69">
        <f>V57*12/'8_가정'!$C$11</f>
        <v>8613.4945</v>
      </c>
      <c r="W58" s="69">
        <f>W57*12/'8_가정'!$C$11</f>
        <v>9077.9204</v>
      </c>
      <c r="X58" s="69">
        <f>X57*12/'8_가정'!$C$11</f>
        <v>9736.7417</v>
      </c>
      <c r="Y58" s="69">
        <f>Y57*12/'8_가정'!$C$11</f>
        <v>10272.6691</v>
      </c>
      <c r="Z58" s="69">
        <f>Z57*12/'8_가정'!$C$11</f>
        <v>10664.0622</v>
      </c>
      <c r="AA58" s="76">
        <f>AA57/'8_가정'!$C$11</f>
        <v>934.686208333333</v>
      </c>
      <c r="AB58" s="76">
        <f>AB57/'8_가정'!$C$11</f>
        <v>7856.9</v>
      </c>
      <c r="AC58" s="68">
        <f>AC57/'8_가정'!$C$11</f>
        <v>24986.2098666667</v>
      </c>
      <c r="AD58" s="68">
        <f>AD57/'8_가정'!$C$11</f>
        <v>50165.5202333333</v>
      </c>
      <c r="AE58" s="68">
        <f>AE57/'8_가정'!$C$11</f>
        <v>105594.409623467</v>
      </c>
    </row>
    <row r="60">
      <c r="A60" s="3" t="inlineStr">
        <is>
          <t>G. 카테고리 × 제품별 매출 (2_손익계산서 매출 구조)</t>
        </is>
      </c>
    </row>
    <row r="61">
      <c r="A61" s="15" t="inlineStr">
        <is>
          <t>베이비 — 스마트 기저귀(전용 기저귀·패드, 소모품)</t>
        </is>
      </c>
      <c r="B61" s="15" t="inlineStr">
        <is>
          <t>P1</t>
        </is>
      </c>
      <c r="C61" s="69">
        <f>SUMPRODUCT(('4_매출_거래처'!$E$54:$E$89="베이비")*'4_매출_거래처'!X$54:X$89*$C$80:$C$115)</f>
        <v>6577.3</v>
      </c>
      <c r="D61" s="69">
        <f>SUMPRODUCT(('4_매출_거래처'!$E$54:$E$89="베이비")*'4_매출_거래처'!Y$54:Y$89*$C$80:$C$115)</f>
        <v>8133.65</v>
      </c>
      <c r="E61" s="69">
        <f>SUMPRODUCT(('4_매출_거래처'!$E$54:$E$89="베이비")*'4_매출_거래처'!Z$54:Z$89*$C$80:$C$115)</f>
        <v>28057.65</v>
      </c>
      <c r="F61" s="69">
        <f>SUMPRODUCT(('4_매출_거래처'!$E$54:$E$89="베이비")*'4_매출_거래처'!AA$54:AA$89*$C$80:$C$115)</f>
        <v>8882.5</v>
      </c>
      <c r="G61" s="69">
        <f>SUMPRODUCT(('4_매출_거래처'!$E$54:$E$89="베이비")*'4_매출_거래처'!AB$54:AB$89*$C$80:$C$115)</f>
        <v>18120.3</v>
      </c>
      <c r="H61" s="69">
        <f>SUMPRODUCT(('4_매출_거래처'!$E$54:$E$89="베이비")*'4_매출_거래처'!AC$54:AC$89*$C$80:$C$115)</f>
        <v>42806.85</v>
      </c>
      <c r="I61" s="69">
        <f>SUMPRODUCT(('4_매출_거래처'!$E$54:$E$89="베이비")*'4_매출_거래처'!AD$54:AD$89*$C$80:$C$115)</f>
        <v>9886.35</v>
      </c>
      <c r="J61" s="69">
        <f>SUMPRODUCT(('4_매출_거래처'!$E$54:$E$89="베이비")*'4_매출_거래처'!AE$54:AE$89*$C$80:$C$115)</f>
        <v>6153.15</v>
      </c>
      <c r="K61" s="69">
        <f>SUMPRODUCT(('4_매출_거래처'!$E$54:$E$89="베이비")*'4_매출_거래처'!AF$54:AF$89*$C$80:$C$115)</f>
        <v>6058.8</v>
      </c>
      <c r="L61" s="69">
        <f>SUMPRODUCT(('4_매출_거래처'!$E$54:$E$89="베이비")*'4_매출_거래처'!AG$54:AG$89*$C$80:$C$115)</f>
        <v>7395</v>
      </c>
      <c r="M61" s="69">
        <f>SUMPRODUCT(('4_매출_거래처'!$E$54:$E$89="베이비")*'4_매출_거래처'!AH$54:AH$89*$C$80:$C$115)</f>
        <v>24395</v>
      </c>
      <c r="N61" s="69">
        <f>SUMPRODUCT(('4_매출_거래처'!$E$54:$E$89="베이비")*'4_매출_거래처'!AI$54:AI$89*$C$80:$C$115)</f>
        <v>32895</v>
      </c>
      <c r="O61" s="69">
        <f>SUMPRODUCT(('4_매출_거래처'!$E$54:$E$89="베이비")*'4_매출_거래처'!AJ$54:AJ$89*$D$80:$D$115)</f>
        <v>140317.15</v>
      </c>
      <c r="P61" s="69">
        <f>SUMPRODUCT(('4_매출_거래처'!$E$54:$E$89="베이비")*'4_매출_거래처'!AK$54:AK$89*$D$80:$D$115)</f>
        <v>128703.6</v>
      </c>
      <c r="Q61" s="69">
        <f>SUMPRODUCT(('4_매출_거래처'!$E$54:$E$89="베이비")*'4_매출_거래처'!AL$54:AL$89*$D$80:$D$115)</f>
        <v>136294.95</v>
      </c>
      <c r="R61" s="69">
        <f>SUMPRODUCT(('4_매출_거래처'!$E$54:$E$89="베이비")*'4_매출_거래처'!AM$54:AM$89*$D$80:$D$115)</f>
        <v>151938.35</v>
      </c>
      <c r="S61" s="69">
        <f>SUMPRODUCT(('4_매출_거래처'!$E$54:$E$89="베이비")*'4_매출_거래처'!AN$54:AN$89*$D$80:$D$115)</f>
        <v>155111.4</v>
      </c>
      <c r="T61" s="69">
        <f>SUMPRODUCT(('4_매출_거래처'!$E$54:$E$89="베이비")*'4_매출_거래처'!AO$54:AO$89*$D$80:$D$115)</f>
        <v>158590.45</v>
      </c>
      <c r="U61" s="69">
        <f>SUMPRODUCT(('4_매출_거래처'!$E$54:$E$89="베이비")*'4_매출_거래처'!AP$54:AP$89*$D$80:$D$115)</f>
        <v>186203.55</v>
      </c>
      <c r="V61" s="69">
        <f>SUMPRODUCT(('4_매출_거래처'!$E$54:$E$89="베이비")*'4_매출_거래처'!AQ$54:AQ$89*$D$80:$D$115)</f>
        <v>190383.85</v>
      </c>
      <c r="W61" s="69">
        <f>SUMPRODUCT(('4_매출_거래처'!$E$54:$E$89="베이비")*'4_매출_거래처'!AR$54:AR$89*$D$80:$D$115)</f>
        <v>194967.05</v>
      </c>
      <c r="X61" s="69">
        <f>SUMPRODUCT(('4_매출_거래처'!$E$54:$E$89="베이비")*'4_매출_거래처'!AS$54:AS$89*$D$80:$D$115)</f>
        <v>213593.1</v>
      </c>
      <c r="Y61" s="69">
        <f>SUMPRODUCT(('4_매출_거래처'!$E$54:$E$89="베이비")*'4_매출_거래처'!AT$54:AT$89*$D$80:$D$115)</f>
        <v>219102.8</v>
      </c>
      <c r="Z61" s="69">
        <f>SUMPRODUCT(('4_매출_거래처'!$E$54:$E$89="베이비")*'4_매출_거래처'!AU$54:AU$89*$D$80:$D$115)</f>
        <v>225143.75</v>
      </c>
      <c r="AA61" s="25">
        <f>SUM(C61:N61)</f>
        <v>199361.55</v>
      </c>
      <c r="AB61" s="25">
        <f>SUM(O61:Z61)</f>
        <v>2100350</v>
      </c>
      <c r="AC61" s="68">
        <f>SUMPRODUCT(('4_매출_거래처'!$E$54:$E$89="베이비")*'4_매출_거래처'!AX$54:AX$89*$E$80:$E$115)</f>
        <v>3593290</v>
      </c>
      <c r="AD61" s="68">
        <f>SUMPRODUCT(('4_매출_거래처'!$E$54:$E$89="베이비")*'4_매출_거래처'!AY$54:AY$89*$F$80:$F$115)</f>
        <v>5009628</v>
      </c>
      <c r="AE61" s="68">
        <f>SUMPRODUCT(('4_매출_거래처'!$E$54:$E$89="베이비")*'4_매출_거래처'!AZ$54:AZ$89*$G$80:$G$115)</f>
        <v>6357586.56</v>
      </c>
      <c r="AF61" s="24">
        <f>SUM(AA61:AE61)</f>
        <v>17260216.11</v>
      </c>
    </row>
    <row r="62">
      <c r="A62" s="15" t="inlineStr">
        <is>
          <t>베이비 — 센서·BLE 게이트웨이(하드웨어)</t>
        </is>
      </c>
      <c r="B62" s="15" t="inlineStr">
        <is>
          <t>P2</t>
        </is>
      </c>
      <c r="C62" s="69">
        <f>SUMPRODUCT(('4_매출_거래처'!$E$54:$E$89="베이비")*'4_매출_거래처'!X$54:X$89*$H$80:$H$115)</f>
        <v>386.9</v>
      </c>
      <c r="D62" s="69">
        <f>SUMPRODUCT(('4_매출_거래처'!$E$54:$E$89="베이비")*'4_매출_거래처'!Y$54:Y$89*$H$80:$H$115)</f>
        <v>478.45</v>
      </c>
      <c r="E62" s="69">
        <f>SUMPRODUCT(('4_매출_거래처'!$E$54:$E$89="베이비")*'4_매출_거래처'!Z$54:Z$89*$H$80:$H$115)</f>
        <v>1650.45</v>
      </c>
      <c r="F62" s="69">
        <f>SUMPRODUCT(('4_매출_거래처'!$E$54:$E$89="베이비")*'4_매출_거래처'!AA$54:AA$89*$H$80:$H$115)</f>
        <v>522.5</v>
      </c>
      <c r="G62" s="69">
        <f>SUMPRODUCT(('4_매출_거래처'!$E$54:$E$89="베이비")*'4_매출_거래처'!AB$54:AB$89*$H$80:$H$115)</f>
        <v>1065.9</v>
      </c>
      <c r="H62" s="69">
        <f>SUMPRODUCT(('4_매출_거래처'!$E$54:$E$89="베이비")*'4_매출_거래처'!AC$54:AC$89*$H$80:$H$115)</f>
        <v>2518.05</v>
      </c>
      <c r="I62" s="69">
        <f>SUMPRODUCT(('4_매출_거래처'!$E$54:$E$89="베이비")*'4_매출_거래처'!AD$54:AD$89*$H$80:$H$115)</f>
        <v>581.55</v>
      </c>
      <c r="J62" s="69">
        <f>SUMPRODUCT(('4_매출_거래처'!$E$54:$E$89="베이비")*'4_매출_거래처'!AE$54:AE$89*$H$80:$H$115)</f>
        <v>361.95</v>
      </c>
      <c r="K62" s="69">
        <f>SUMPRODUCT(('4_매출_거래처'!$E$54:$E$89="베이비")*'4_매출_거래처'!AF$54:AF$89*$H$80:$H$115)</f>
        <v>356.4</v>
      </c>
      <c r="L62" s="69">
        <f>SUMPRODUCT(('4_매출_거래처'!$E$54:$E$89="베이비")*'4_매출_거래처'!AG$54:AG$89*$H$80:$H$115)</f>
        <v>435</v>
      </c>
      <c r="M62" s="69">
        <f>SUMPRODUCT(('4_매출_거래처'!$E$54:$E$89="베이비")*'4_매출_거래처'!AH$54:AH$89*$H$80:$H$115)</f>
        <v>1435</v>
      </c>
      <c r="N62" s="69">
        <f>SUMPRODUCT(('4_매출_거래처'!$E$54:$E$89="베이비")*'4_매출_거래처'!AI$54:AI$89*$H$80:$H$115)</f>
        <v>1935</v>
      </c>
      <c r="O62" s="69">
        <f>SUMPRODUCT(('4_매출_거래처'!$E$54:$E$89="베이비")*'4_매출_거래처'!AJ$54:AJ$89*$I$80:$I$115)</f>
        <v>8253.95</v>
      </c>
      <c r="P62" s="69">
        <f>SUMPRODUCT(('4_매출_거래처'!$E$54:$E$89="베이비")*'4_매출_거래처'!AK$54:AK$89*$I$80:$I$115)</f>
        <v>7570.8</v>
      </c>
      <c r="Q62" s="69">
        <f>SUMPRODUCT(('4_매출_거래처'!$E$54:$E$89="베이비")*'4_매출_거래처'!AL$54:AL$89*$I$80:$I$115)</f>
        <v>8017.35</v>
      </c>
      <c r="R62" s="69">
        <f>SUMPRODUCT(('4_매출_거래처'!$E$54:$E$89="베이비")*'4_매출_거래처'!AM$54:AM$89*$I$80:$I$115)</f>
        <v>8937.55</v>
      </c>
      <c r="S62" s="69">
        <f>SUMPRODUCT(('4_매출_거래처'!$E$54:$E$89="베이비")*'4_매출_거래처'!AN$54:AN$89*$I$80:$I$115)</f>
        <v>9124.2</v>
      </c>
      <c r="T62" s="69">
        <f>SUMPRODUCT(('4_매출_거래처'!$E$54:$E$89="베이비")*'4_매출_거래처'!AO$54:AO$89*$I$80:$I$115)</f>
        <v>9328.85</v>
      </c>
      <c r="U62" s="69">
        <f>SUMPRODUCT(('4_매출_거래처'!$E$54:$E$89="베이비")*'4_매출_거래처'!AP$54:AP$89*$I$80:$I$115)</f>
        <v>10953.15</v>
      </c>
      <c r="V62" s="69">
        <f>SUMPRODUCT(('4_매출_거래처'!$E$54:$E$89="베이비")*'4_매출_거래처'!AQ$54:AQ$89*$I$80:$I$115)</f>
        <v>11199.05</v>
      </c>
      <c r="W62" s="69">
        <f>SUMPRODUCT(('4_매출_거래처'!$E$54:$E$89="베이비")*'4_매출_거래처'!AR$54:AR$89*$I$80:$I$115)</f>
        <v>11468.65</v>
      </c>
      <c r="X62" s="69">
        <f>SUMPRODUCT(('4_매출_거래처'!$E$54:$E$89="베이비")*'4_매출_거래처'!AS$54:AS$89*$I$80:$I$115)</f>
        <v>12564.3</v>
      </c>
      <c r="Y62" s="69">
        <f>SUMPRODUCT(('4_매출_거래처'!$E$54:$E$89="베이비")*'4_매출_거래처'!AT$54:AT$89*$I$80:$I$115)</f>
        <v>12888.4</v>
      </c>
      <c r="Z62" s="69">
        <f>SUMPRODUCT(('4_매출_거래처'!$E$54:$E$89="베이비")*'4_매출_거래처'!AU$54:AU$89*$I$80:$I$115)</f>
        <v>13243.75</v>
      </c>
      <c r="AA62" s="25">
        <f>SUM(C62:N62)</f>
        <v>11727.15</v>
      </c>
      <c r="AB62" s="25">
        <f>SUM(O62:Z62)</f>
        <v>123550</v>
      </c>
      <c r="AC62" s="68">
        <f>SUMPRODUCT(('4_매출_거래처'!$E$54:$E$89="베이비")*'4_매출_거래처'!AX$54:AX$89*$J$80:$J$115)</f>
        <v>211370</v>
      </c>
      <c r="AD62" s="68">
        <f>SUMPRODUCT(('4_매출_거래처'!$E$54:$E$89="베이비")*'4_매출_거래처'!AY$54:AY$89*$K$80:$K$115)</f>
        <v>294684</v>
      </c>
      <c r="AE62" s="68">
        <f>SUMPRODUCT(('4_매출_거래처'!$E$54:$E$89="베이비")*'4_매출_거래처'!AZ$54:AZ$89*$L$80:$L$115)</f>
        <v>373975.68</v>
      </c>
      <c r="AF62" s="24">
        <f>SUM(AA62:AE62)</f>
        <v>1015306.83</v>
      </c>
    </row>
    <row r="63">
      <c r="A63" s="15" t="inlineStr">
        <is>
          <t>베이비 — 앱·웹 모니터링 구독(SW·AI)</t>
        </is>
      </c>
      <c r="B63" s="15" t="inlineStr">
        <is>
          <t>P3</t>
        </is>
      </c>
      <c r="C63" s="69">
        <f>SUMPRODUCT(('4_매출_거래처'!$E$54:$E$89="베이비")*'4_매출_거래처'!X$54:X$89*$M$80:$M$115)</f>
        <v>773.8</v>
      </c>
      <c r="D63" s="69">
        <f>SUMPRODUCT(('4_매출_거래처'!$E$54:$E$89="베이비")*'4_매출_거래처'!Y$54:Y$89*$M$80:$M$115)</f>
        <v>956.9</v>
      </c>
      <c r="E63" s="69">
        <f>SUMPRODUCT(('4_매출_거래처'!$E$54:$E$89="베이비")*'4_매출_거래처'!Z$54:Z$89*$M$80:$M$115)</f>
        <v>3300.9</v>
      </c>
      <c r="F63" s="69">
        <f>SUMPRODUCT(('4_매출_거래처'!$E$54:$E$89="베이비")*'4_매출_거래처'!AA$54:AA$89*$M$80:$M$115)</f>
        <v>1045</v>
      </c>
      <c r="G63" s="69">
        <f>SUMPRODUCT(('4_매출_거래처'!$E$54:$E$89="베이비")*'4_매출_거래처'!AB$54:AB$89*$M$80:$M$115)</f>
        <v>2131.8</v>
      </c>
      <c r="H63" s="69">
        <f>SUMPRODUCT(('4_매출_거래처'!$E$54:$E$89="베이비")*'4_매출_거래처'!AC$54:AC$89*$M$80:$M$115)</f>
        <v>5036.1</v>
      </c>
      <c r="I63" s="69">
        <f>SUMPRODUCT(('4_매출_거래처'!$E$54:$E$89="베이비")*'4_매출_거래처'!AD$54:AD$89*$M$80:$M$115)</f>
        <v>1163.1</v>
      </c>
      <c r="J63" s="69">
        <f>SUMPRODUCT(('4_매출_거래처'!$E$54:$E$89="베이비")*'4_매출_거래처'!AE$54:AE$89*$M$80:$M$115)</f>
        <v>723.9</v>
      </c>
      <c r="K63" s="69">
        <f>SUMPRODUCT(('4_매출_거래처'!$E$54:$E$89="베이비")*'4_매출_거래처'!AF$54:AF$89*$M$80:$M$115)</f>
        <v>712.8</v>
      </c>
      <c r="L63" s="69">
        <f>SUMPRODUCT(('4_매출_거래처'!$E$54:$E$89="베이비")*'4_매출_거래처'!AG$54:AG$89*$M$80:$M$115)</f>
        <v>870</v>
      </c>
      <c r="M63" s="69">
        <f>SUMPRODUCT(('4_매출_거래처'!$E$54:$E$89="베이비")*'4_매출_거래처'!AH$54:AH$89*$M$80:$M$115)</f>
        <v>2870</v>
      </c>
      <c r="N63" s="69">
        <f>SUMPRODUCT(('4_매출_거래처'!$E$54:$E$89="베이비")*'4_매출_거래처'!AI$54:AI$89*$M$80:$M$115)</f>
        <v>3870</v>
      </c>
      <c r="O63" s="69">
        <f>SUMPRODUCT(('4_매출_거래처'!$E$54:$E$89="베이비")*'4_매출_거래처'!AJ$54:AJ$89*$N$80:$N$115)</f>
        <v>16507.9</v>
      </c>
      <c r="P63" s="69">
        <f>SUMPRODUCT(('4_매출_거래처'!$E$54:$E$89="베이비")*'4_매출_거래처'!AK$54:AK$89*$N$80:$N$115)</f>
        <v>15141.6</v>
      </c>
      <c r="Q63" s="69">
        <f>SUMPRODUCT(('4_매출_거래처'!$E$54:$E$89="베이비")*'4_매출_거래처'!AL$54:AL$89*$N$80:$N$115)</f>
        <v>16034.7</v>
      </c>
      <c r="R63" s="69">
        <f>SUMPRODUCT(('4_매출_거래처'!$E$54:$E$89="베이비")*'4_매출_거래처'!AM$54:AM$89*$N$80:$N$115)</f>
        <v>17875.1</v>
      </c>
      <c r="S63" s="69">
        <f>SUMPRODUCT(('4_매출_거래처'!$E$54:$E$89="베이비")*'4_매출_거래처'!AN$54:AN$89*$N$80:$N$115)</f>
        <v>18248.4</v>
      </c>
      <c r="T63" s="69">
        <f>SUMPRODUCT(('4_매출_거래처'!$E$54:$E$89="베이비")*'4_매출_거래처'!AO$54:AO$89*$N$80:$N$115)</f>
        <v>18657.7</v>
      </c>
      <c r="U63" s="69">
        <f>SUMPRODUCT(('4_매출_거래처'!$E$54:$E$89="베이비")*'4_매출_거래처'!AP$54:AP$89*$N$80:$N$115)</f>
        <v>21906.3</v>
      </c>
      <c r="V63" s="69">
        <f>SUMPRODUCT(('4_매출_거래처'!$E$54:$E$89="베이비")*'4_매출_거래처'!AQ$54:AQ$89*$N$80:$N$115)</f>
        <v>22398.1</v>
      </c>
      <c r="W63" s="69">
        <f>SUMPRODUCT(('4_매출_거래처'!$E$54:$E$89="베이비")*'4_매출_거래처'!AR$54:AR$89*$N$80:$N$115)</f>
        <v>22937.3</v>
      </c>
      <c r="X63" s="69">
        <f>SUMPRODUCT(('4_매출_거래처'!$E$54:$E$89="베이비")*'4_매출_거래처'!AS$54:AS$89*$N$80:$N$115)</f>
        <v>25128.6</v>
      </c>
      <c r="Y63" s="69">
        <f>SUMPRODUCT(('4_매출_거래처'!$E$54:$E$89="베이비")*'4_매출_거래처'!AT$54:AT$89*$N$80:$N$115)</f>
        <v>25776.8</v>
      </c>
      <c r="Z63" s="69">
        <f>SUMPRODUCT(('4_매출_거래처'!$E$54:$E$89="베이비")*'4_매출_거래처'!AU$54:AU$89*$N$80:$N$115)</f>
        <v>26487.5</v>
      </c>
      <c r="AA63" s="25">
        <f>SUM(C63:N63)</f>
        <v>23454.3</v>
      </c>
      <c r="AB63" s="25">
        <f>SUM(O63:Z63)</f>
        <v>247100</v>
      </c>
      <c r="AC63" s="68">
        <f>SUMPRODUCT(('4_매출_거래처'!$E$54:$E$89="베이비")*'4_매출_거래처'!AX$54:AX$89*$O$80:$O$115)</f>
        <v>422740</v>
      </c>
      <c r="AD63" s="68">
        <f>SUMPRODUCT(('4_매출_거래처'!$E$54:$E$89="베이비")*'4_매출_거래처'!AY$54:AY$89*$P$80:$P$115)</f>
        <v>589368</v>
      </c>
      <c r="AE63" s="68">
        <f>SUMPRODUCT(('4_매출_거래처'!$E$54:$E$89="베이비")*'4_매출_거래처'!AZ$54:AZ$89*$Q$80:$Q$115)</f>
        <v>747951.36</v>
      </c>
      <c r="AF63" s="24">
        <f>SUM(AA63:AE63)</f>
        <v>2030613.66</v>
      </c>
    </row>
    <row r="64">
      <c r="A64" s="15" t="inlineStr">
        <is>
          <t>베이비 — 바이탈 모니터링 센서(60GHz, 2026 Q4 출시)</t>
        </is>
      </c>
      <c r="B64" s="15" t="inlineStr">
        <is>
          <t>P4</t>
        </is>
      </c>
      <c r="C64" s="69">
        <f>SUMPRODUCT(('4_매출_거래처'!$E$54:$E$89="베이비")*'4_매출_거래처'!X$54:X$89*$R$80:$R$115)</f>
        <v>0</v>
      </c>
      <c r="D64" s="69">
        <f>SUMPRODUCT(('4_매출_거래처'!$E$54:$E$89="베이비")*'4_매출_거래처'!Y$54:Y$89*$R$80:$R$115)</f>
        <v>0</v>
      </c>
      <c r="E64" s="69">
        <f>SUMPRODUCT(('4_매출_거래처'!$E$54:$E$89="베이비")*'4_매출_거래처'!Z$54:Z$89*$R$80:$R$115)</f>
        <v>0</v>
      </c>
      <c r="F64" s="69">
        <f>SUMPRODUCT(('4_매출_거래처'!$E$54:$E$89="베이비")*'4_매출_거래처'!AA$54:AA$89*$R$80:$R$115)</f>
        <v>0</v>
      </c>
      <c r="G64" s="69">
        <f>SUMPRODUCT(('4_매출_거래처'!$E$54:$E$89="베이비")*'4_매출_거래처'!AB$54:AB$89*$R$80:$R$115)</f>
        <v>0</v>
      </c>
      <c r="H64" s="69">
        <f>SUMPRODUCT(('4_매출_거래처'!$E$54:$E$89="베이비")*'4_매출_거래처'!AC$54:AC$89*$R$80:$R$115)</f>
        <v>0</v>
      </c>
      <c r="I64" s="69">
        <f>SUMPRODUCT(('4_매출_거래처'!$E$54:$E$89="베이비")*'4_매출_거래처'!AD$54:AD$89*$R$80:$R$115)</f>
        <v>0</v>
      </c>
      <c r="J64" s="69">
        <f>SUMPRODUCT(('4_매출_거래처'!$E$54:$E$89="베이비")*'4_매출_거래처'!AE$54:AE$89*$R$80:$R$115)</f>
        <v>0</v>
      </c>
      <c r="K64" s="69">
        <f>SUMPRODUCT(('4_매출_거래처'!$E$54:$E$89="베이비")*'4_매출_거래처'!AF$54:AF$89*$R$80:$R$115)</f>
        <v>0</v>
      </c>
      <c r="L64" s="69">
        <f>SUMPRODUCT(('4_매출_거래처'!$E$54:$E$89="베이비")*'4_매출_거래처'!AG$54:AG$89*$R$80:$R$115)</f>
        <v>0</v>
      </c>
      <c r="M64" s="69">
        <f>SUMPRODUCT(('4_매출_거래처'!$E$54:$E$89="베이비")*'4_매출_거래처'!AH$54:AH$89*$R$80:$R$115)</f>
        <v>0</v>
      </c>
      <c r="N64" s="69">
        <f>SUMPRODUCT(('4_매출_거래처'!$E$54:$E$89="베이비")*'4_매출_거래처'!AI$54:AI$89*$R$80:$R$115)</f>
        <v>0</v>
      </c>
      <c r="O64" s="69">
        <f>SUMPRODUCT(('4_매출_거래처'!$E$54:$E$89="베이비")*'4_매출_거래처'!AJ$54:AJ$89*$S$80:$S$115)</f>
        <v>0</v>
      </c>
      <c r="P64" s="69">
        <f>SUMPRODUCT(('4_매출_거래처'!$E$54:$E$89="베이비")*'4_매출_거래처'!AK$54:AK$89*$S$80:$S$115)</f>
        <v>0</v>
      </c>
      <c r="Q64" s="69">
        <f>SUMPRODUCT(('4_매출_거래처'!$E$54:$E$89="베이비")*'4_매출_거래처'!AL$54:AL$89*$S$80:$S$115)</f>
        <v>0</v>
      </c>
      <c r="R64" s="69">
        <f>SUMPRODUCT(('4_매출_거래처'!$E$54:$E$89="베이비")*'4_매출_거래처'!AM$54:AM$89*$S$80:$S$115)</f>
        <v>0</v>
      </c>
      <c r="S64" s="69">
        <f>SUMPRODUCT(('4_매출_거래처'!$E$54:$E$89="베이비")*'4_매출_거래처'!AN$54:AN$89*$S$80:$S$115)</f>
        <v>0</v>
      </c>
      <c r="T64" s="69">
        <f>SUMPRODUCT(('4_매출_거래처'!$E$54:$E$89="베이비")*'4_매출_거래처'!AO$54:AO$89*$S$80:$S$115)</f>
        <v>0</v>
      </c>
      <c r="U64" s="69">
        <f>SUMPRODUCT(('4_매출_거래처'!$E$54:$E$89="베이비")*'4_매출_거래처'!AP$54:AP$89*$S$80:$S$115)</f>
        <v>0</v>
      </c>
      <c r="V64" s="69">
        <f>SUMPRODUCT(('4_매출_거래처'!$E$54:$E$89="베이비")*'4_매출_거래처'!AQ$54:AQ$89*$S$80:$S$115)</f>
        <v>0</v>
      </c>
      <c r="W64" s="69">
        <f>SUMPRODUCT(('4_매출_거래처'!$E$54:$E$89="베이비")*'4_매출_거래처'!AR$54:AR$89*$S$80:$S$115)</f>
        <v>0</v>
      </c>
      <c r="X64" s="69">
        <f>SUMPRODUCT(('4_매출_거래처'!$E$54:$E$89="베이비")*'4_매출_거래처'!AS$54:AS$89*$S$80:$S$115)</f>
        <v>0</v>
      </c>
      <c r="Y64" s="69">
        <f>SUMPRODUCT(('4_매출_거래처'!$E$54:$E$89="베이비")*'4_매출_거래처'!AT$54:AT$89*$S$80:$S$115)</f>
        <v>0</v>
      </c>
      <c r="Z64" s="69">
        <f>SUMPRODUCT(('4_매출_거래처'!$E$54:$E$89="베이비")*'4_매출_거래처'!AU$54:AU$89*$S$80:$S$115)</f>
        <v>0</v>
      </c>
      <c r="AA64" s="25">
        <f>SUM(C64:N64)</f>
        <v>0</v>
      </c>
      <c r="AB64" s="25">
        <f>SUM(O64:Z64)</f>
        <v>0</v>
      </c>
      <c r="AC64" s="68">
        <f>SUMPRODUCT(('4_매출_거래처'!$E$54:$E$89="베이비")*'4_매출_거래처'!AX$54:AX$89*$T$80:$T$115)</f>
        <v>0</v>
      </c>
      <c r="AD64" s="68">
        <f>SUMPRODUCT(('4_매출_거래처'!$E$54:$E$89="베이비")*'4_매출_거래처'!AY$54:AY$89*$U$80:$U$115)</f>
        <v>0</v>
      </c>
      <c r="AE64" s="68">
        <f>SUMPRODUCT(('4_매출_거래처'!$E$54:$E$89="베이비")*'4_매출_거래처'!AZ$54:AZ$89*$V$80:$V$115)</f>
        <v>0</v>
      </c>
      <c r="AF64" s="24">
        <f>SUM(AA64:AE64)</f>
        <v>0</v>
      </c>
    </row>
    <row r="65">
      <c r="A65" s="15" t="inlineStr">
        <is>
          <t>베이비 — 스마트 욕창 케어(2027 출시)</t>
        </is>
      </c>
      <c r="B65" s="15" t="inlineStr">
        <is>
          <t>P5</t>
        </is>
      </c>
      <c r="C65" s="69">
        <f>SUMPRODUCT(('4_매출_거래처'!$E$54:$E$89="베이비")*'4_매출_거래처'!X$54:X$89*$W$80:$W$115)</f>
        <v>0</v>
      </c>
      <c r="D65" s="69">
        <f>SUMPRODUCT(('4_매출_거래처'!$E$54:$E$89="베이비")*'4_매출_거래처'!Y$54:Y$89*$W$80:$W$115)</f>
        <v>0</v>
      </c>
      <c r="E65" s="69">
        <f>SUMPRODUCT(('4_매출_거래처'!$E$54:$E$89="베이비")*'4_매출_거래처'!Z$54:Z$89*$W$80:$W$115)</f>
        <v>0</v>
      </c>
      <c r="F65" s="69">
        <f>SUMPRODUCT(('4_매출_거래처'!$E$54:$E$89="베이비")*'4_매출_거래처'!AA$54:AA$89*$W$80:$W$115)</f>
        <v>0</v>
      </c>
      <c r="G65" s="69">
        <f>SUMPRODUCT(('4_매출_거래처'!$E$54:$E$89="베이비")*'4_매출_거래처'!AB$54:AB$89*$W$80:$W$115)</f>
        <v>0</v>
      </c>
      <c r="H65" s="69">
        <f>SUMPRODUCT(('4_매출_거래처'!$E$54:$E$89="베이비")*'4_매출_거래처'!AC$54:AC$89*$W$80:$W$115)</f>
        <v>0</v>
      </c>
      <c r="I65" s="69">
        <f>SUMPRODUCT(('4_매출_거래처'!$E$54:$E$89="베이비")*'4_매출_거래처'!AD$54:AD$89*$W$80:$W$115)</f>
        <v>0</v>
      </c>
      <c r="J65" s="69">
        <f>SUMPRODUCT(('4_매출_거래처'!$E$54:$E$89="베이비")*'4_매출_거래처'!AE$54:AE$89*$W$80:$W$115)</f>
        <v>0</v>
      </c>
      <c r="K65" s="69">
        <f>SUMPRODUCT(('4_매출_거래처'!$E$54:$E$89="베이비")*'4_매출_거래처'!AF$54:AF$89*$W$80:$W$115)</f>
        <v>0</v>
      </c>
      <c r="L65" s="69">
        <f>SUMPRODUCT(('4_매출_거래처'!$E$54:$E$89="베이비")*'4_매출_거래처'!AG$54:AG$89*$W$80:$W$115)</f>
        <v>0</v>
      </c>
      <c r="M65" s="69">
        <f>SUMPRODUCT(('4_매출_거래처'!$E$54:$E$89="베이비")*'4_매출_거래처'!AH$54:AH$89*$W$80:$W$115)</f>
        <v>0</v>
      </c>
      <c r="N65" s="69">
        <f>SUMPRODUCT(('4_매출_거래처'!$E$54:$E$89="베이비")*'4_매출_거래처'!AI$54:AI$89*$W$80:$W$115)</f>
        <v>0</v>
      </c>
      <c r="O65" s="69">
        <f>SUMPRODUCT(('4_매출_거래처'!$E$54:$E$89="베이비")*'4_매출_거래처'!AJ$54:AJ$89*$X$80:$X$115)</f>
        <v>0</v>
      </c>
      <c r="P65" s="69">
        <f>SUMPRODUCT(('4_매출_거래처'!$E$54:$E$89="베이비")*'4_매출_거래처'!AK$54:AK$89*$X$80:$X$115)</f>
        <v>0</v>
      </c>
      <c r="Q65" s="69">
        <f>SUMPRODUCT(('4_매출_거래처'!$E$54:$E$89="베이비")*'4_매출_거래처'!AL$54:AL$89*$X$80:$X$115)</f>
        <v>0</v>
      </c>
      <c r="R65" s="69">
        <f>SUMPRODUCT(('4_매출_거래처'!$E$54:$E$89="베이비")*'4_매출_거래처'!AM$54:AM$89*$X$80:$X$115)</f>
        <v>0</v>
      </c>
      <c r="S65" s="69">
        <f>SUMPRODUCT(('4_매출_거래처'!$E$54:$E$89="베이비")*'4_매출_거래처'!AN$54:AN$89*$X$80:$X$115)</f>
        <v>0</v>
      </c>
      <c r="T65" s="69">
        <f>SUMPRODUCT(('4_매출_거래처'!$E$54:$E$89="베이비")*'4_매출_거래처'!AO$54:AO$89*$X$80:$X$115)</f>
        <v>0</v>
      </c>
      <c r="U65" s="69">
        <f>SUMPRODUCT(('4_매출_거래처'!$E$54:$E$89="베이비")*'4_매출_거래처'!AP$54:AP$89*$X$80:$X$115)</f>
        <v>0</v>
      </c>
      <c r="V65" s="69">
        <f>SUMPRODUCT(('4_매출_거래처'!$E$54:$E$89="베이비")*'4_매출_거래처'!AQ$54:AQ$89*$X$80:$X$115)</f>
        <v>0</v>
      </c>
      <c r="W65" s="69">
        <f>SUMPRODUCT(('4_매출_거래처'!$E$54:$E$89="베이비")*'4_매출_거래처'!AR$54:AR$89*$X$80:$X$115)</f>
        <v>0</v>
      </c>
      <c r="X65" s="69">
        <f>SUMPRODUCT(('4_매출_거래처'!$E$54:$E$89="베이비")*'4_매출_거래처'!AS$54:AS$89*$X$80:$X$115)</f>
        <v>0</v>
      </c>
      <c r="Y65" s="69">
        <f>SUMPRODUCT(('4_매출_거래처'!$E$54:$E$89="베이비")*'4_매출_거래처'!AT$54:AT$89*$X$80:$X$115)</f>
        <v>0</v>
      </c>
      <c r="Z65" s="69">
        <f>SUMPRODUCT(('4_매출_거래처'!$E$54:$E$89="베이비")*'4_매출_거래처'!AU$54:AU$89*$X$80:$X$115)</f>
        <v>0</v>
      </c>
      <c r="AA65" s="25">
        <f>SUM(C65:N65)</f>
        <v>0</v>
      </c>
      <c r="AB65" s="25">
        <f>SUM(O65:Z65)</f>
        <v>0</v>
      </c>
      <c r="AC65" s="68">
        <f>SUMPRODUCT(('4_매출_거래처'!$E$54:$E$89="베이비")*'4_매출_거래처'!AX$54:AX$89*$Y$80:$Y$115)</f>
        <v>0</v>
      </c>
      <c r="AD65" s="68">
        <f>SUMPRODUCT(('4_매출_거래처'!$E$54:$E$89="베이비")*'4_매출_거래처'!AY$54:AY$89*$Z$80:$Z$115)</f>
        <v>0</v>
      </c>
      <c r="AE65" s="68">
        <f>SUMPRODUCT(('4_매출_거래처'!$E$54:$E$89="베이비")*'4_매출_거래처'!AZ$54:AZ$89*$AA$80:$AA$115)</f>
        <v>0</v>
      </c>
      <c r="AF65" s="24">
        <f>SUM(AA65:AE65)</f>
        <v>0</v>
      </c>
    </row>
    <row r="66">
      <c r="A66" s="15" t="inlineStr">
        <is>
          <t>베이비 — R&amp;D·PoC 용역</t>
        </is>
      </c>
      <c r="B66" s="15" t="inlineStr">
        <is>
          <t>P6</t>
        </is>
      </c>
      <c r="C66" s="69">
        <f>SUMPRODUCT(('4_매출_거래처'!$E$54:$E$89="베이비")*'4_매출_거래처'!X$54:X$89*$AB$80:$AB$115)</f>
        <v>0</v>
      </c>
      <c r="D66" s="69">
        <f>SUMPRODUCT(('4_매출_거래처'!$E$54:$E$89="베이비")*'4_매출_거래처'!Y$54:Y$89*$AB$80:$AB$115)</f>
        <v>0</v>
      </c>
      <c r="E66" s="69">
        <f>SUMPRODUCT(('4_매출_거래처'!$E$54:$E$89="베이비")*'4_매출_거래처'!Z$54:Z$89*$AB$80:$AB$115)</f>
        <v>0</v>
      </c>
      <c r="F66" s="69">
        <f>SUMPRODUCT(('4_매출_거래처'!$E$54:$E$89="베이비")*'4_매출_거래처'!AA$54:AA$89*$AB$80:$AB$115)</f>
        <v>0</v>
      </c>
      <c r="G66" s="69">
        <f>SUMPRODUCT(('4_매출_거래처'!$E$54:$E$89="베이비")*'4_매출_거래처'!AB$54:AB$89*$AB$80:$AB$115)</f>
        <v>0</v>
      </c>
      <c r="H66" s="69">
        <f>SUMPRODUCT(('4_매출_거래처'!$E$54:$E$89="베이비")*'4_매출_거래처'!AC$54:AC$89*$AB$80:$AB$115)</f>
        <v>0</v>
      </c>
      <c r="I66" s="69">
        <f>SUMPRODUCT(('4_매출_거래처'!$E$54:$E$89="베이비")*'4_매출_거래처'!AD$54:AD$89*$AB$80:$AB$115)</f>
        <v>0</v>
      </c>
      <c r="J66" s="69">
        <f>SUMPRODUCT(('4_매출_거래처'!$E$54:$E$89="베이비")*'4_매출_거래처'!AE$54:AE$89*$AB$80:$AB$115)</f>
        <v>0</v>
      </c>
      <c r="K66" s="69">
        <f>SUMPRODUCT(('4_매출_거래처'!$E$54:$E$89="베이비")*'4_매출_거래처'!AF$54:AF$89*$AB$80:$AB$115)</f>
        <v>0</v>
      </c>
      <c r="L66" s="69">
        <f>SUMPRODUCT(('4_매출_거래처'!$E$54:$E$89="베이비")*'4_매출_거래처'!AG$54:AG$89*$AB$80:$AB$115)</f>
        <v>0</v>
      </c>
      <c r="M66" s="69">
        <f>SUMPRODUCT(('4_매출_거래처'!$E$54:$E$89="베이비")*'4_매출_거래처'!AH$54:AH$89*$AB$80:$AB$115)</f>
        <v>0</v>
      </c>
      <c r="N66" s="69">
        <f>SUMPRODUCT(('4_매출_거래처'!$E$54:$E$89="베이비")*'4_매출_거래처'!AI$54:AI$89*$AB$80:$AB$115)</f>
        <v>0</v>
      </c>
      <c r="O66" s="69">
        <f>SUMPRODUCT(('4_매출_거래처'!$E$54:$E$89="베이비")*'4_매출_거래처'!AJ$54:AJ$89*$AC$80:$AC$115)</f>
        <v>0</v>
      </c>
      <c r="P66" s="69">
        <f>SUMPRODUCT(('4_매출_거래처'!$E$54:$E$89="베이비")*'4_매출_거래처'!AK$54:AK$89*$AC$80:$AC$115)</f>
        <v>0</v>
      </c>
      <c r="Q66" s="69">
        <f>SUMPRODUCT(('4_매출_거래처'!$E$54:$E$89="베이비")*'4_매출_거래처'!AL$54:AL$89*$AC$80:$AC$115)</f>
        <v>0</v>
      </c>
      <c r="R66" s="69">
        <f>SUMPRODUCT(('4_매출_거래처'!$E$54:$E$89="베이비")*'4_매출_거래처'!AM$54:AM$89*$AC$80:$AC$115)</f>
        <v>0</v>
      </c>
      <c r="S66" s="69">
        <f>SUMPRODUCT(('4_매출_거래처'!$E$54:$E$89="베이비")*'4_매출_거래처'!AN$54:AN$89*$AC$80:$AC$115)</f>
        <v>0</v>
      </c>
      <c r="T66" s="69">
        <f>SUMPRODUCT(('4_매출_거래처'!$E$54:$E$89="베이비")*'4_매출_거래처'!AO$54:AO$89*$AC$80:$AC$115)</f>
        <v>0</v>
      </c>
      <c r="U66" s="69">
        <f>SUMPRODUCT(('4_매출_거래처'!$E$54:$E$89="베이비")*'4_매출_거래처'!AP$54:AP$89*$AC$80:$AC$115)</f>
        <v>0</v>
      </c>
      <c r="V66" s="69">
        <f>SUMPRODUCT(('4_매출_거래처'!$E$54:$E$89="베이비")*'4_매출_거래처'!AQ$54:AQ$89*$AC$80:$AC$115)</f>
        <v>0</v>
      </c>
      <c r="W66" s="69">
        <f>SUMPRODUCT(('4_매출_거래처'!$E$54:$E$89="베이비")*'4_매출_거래처'!AR$54:AR$89*$AC$80:$AC$115)</f>
        <v>0</v>
      </c>
      <c r="X66" s="69">
        <f>SUMPRODUCT(('4_매출_거래처'!$E$54:$E$89="베이비")*'4_매출_거래처'!AS$54:AS$89*$AC$80:$AC$115)</f>
        <v>0</v>
      </c>
      <c r="Y66" s="69">
        <f>SUMPRODUCT(('4_매출_거래처'!$E$54:$E$89="베이비")*'4_매출_거래처'!AT$54:AT$89*$AC$80:$AC$115)</f>
        <v>0</v>
      </c>
      <c r="Z66" s="69">
        <f>SUMPRODUCT(('4_매출_거래처'!$E$54:$E$89="베이비")*'4_매출_거래처'!AU$54:AU$89*$AC$80:$AC$115)</f>
        <v>0</v>
      </c>
      <c r="AA66" s="25">
        <f>SUM(C66:N66)</f>
        <v>0</v>
      </c>
      <c r="AB66" s="25">
        <f>SUM(O66:Z66)</f>
        <v>0</v>
      </c>
      <c r="AC66" s="68">
        <f>SUMPRODUCT(('4_매출_거래처'!$E$54:$E$89="베이비")*'4_매출_거래처'!AX$54:AX$89*$AD$80:$AD$115)</f>
        <v>0</v>
      </c>
      <c r="AD66" s="68">
        <f>SUMPRODUCT(('4_매출_거래처'!$E$54:$E$89="베이비")*'4_매출_거래처'!AY$54:AY$89*$AE$80:$AE$115)</f>
        <v>0</v>
      </c>
      <c r="AE66" s="68">
        <f>SUMPRODUCT(('4_매출_거래처'!$E$54:$E$89="베이비")*'4_매출_거래처'!AZ$54:AZ$89*$AF$80:$AF$115)</f>
        <v>0</v>
      </c>
      <c r="AF66" s="24">
        <f>SUM(AA66:AE66)</f>
        <v>0</v>
      </c>
    </row>
    <row r="67">
      <c r="A67" s="15" t="inlineStr">
        <is>
          <t>엘더리 — 스마트 기저귀(전용 기저귀·패드, 소모품)</t>
        </is>
      </c>
      <c r="B67" s="15" t="inlineStr">
        <is>
          <t>P1</t>
        </is>
      </c>
      <c r="C67" s="69">
        <f>SUMPRODUCT(('4_매출_거래처'!$E$54:$E$89="엘더리")*'4_매출_거래처'!X$54:X$89*$C$80:$C$115)</f>
        <v>24732.28</v>
      </c>
      <c r="D67" s="69">
        <f>SUMPRODUCT(('4_매출_거래처'!$E$54:$E$89="엘더리")*'4_매출_거래처'!Y$54:Y$89*$C$80:$C$115)</f>
        <v>19466.25</v>
      </c>
      <c r="E67" s="69">
        <f>SUMPRODUCT(('4_매출_거래처'!$E$54:$E$89="엘더리")*'4_매출_거래처'!Z$54:Z$89*$C$80:$C$115)</f>
        <v>14359.32</v>
      </c>
      <c r="F67" s="69">
        <f>SUMPRODUCT(('4_매출_거래처'!$E$54:$E$89="엘더리")*'4_매출_거래처'!AA$54:AA$89*$C$80:$C$115)</f>
        <v>388</v>
      </c>
      <c r="G67" s="69">
        <f>SUMPRODUCT(('4_매출_거래처'!$E$54:$E$89="엘더리")*'4_매출_거래처'!AB$54:AB$89*$C$80:$C$115)</f>
        <v>799.2</v>
      </c>
      <c r="H67" s="69">
        <f>SUMPRODUCT(('4_매출_거래처'!$E$54:$E$89="엘더리")*'4_매출_거래처'!AC$54:AC$89*$C$80:$C$115)</f>
        <v>873.6</v>
      </c>
      <c r="I67" s="69">
        <f>SUMPRODUCT(('4_매출_거래처'!$E$54:$E$89="엘더리")*'4_매출_거래처'!AD$54:AD$89*$C$80:$C$115)</f>
        <v>1346.4</v>
      </c>
      <c r="J67" s="69">
        <f>SUMPRODUCT(('4_매출_거래처'!$E$54:$E$89="엘더리")*'4_매출_거래처'!AE$54:AE$89*$C$80:$C$115)</f>
        <v>549.6</v>
      </c>
      <c r="K67" s="69">
        <f>SUMPRODUCT(('4_매출_거래처'!$E$54:$E$89="엘더리")*'4_매출_거래처'!AF$54:AF$89*$C$80:$C$115)</f>
        <v>20903.72</v>
      </c>
      <c r="L67" s="69">
        <f>SUMPRODUCT(('4_매출_거래처'!$E$54:$E$89="엘더리")*'4_매출_거래처'!AG$54:AG$89*$C$80:$C$115)</f>
        <v>113920</v>
      </c>
      <c r="M67" s="69">
        <f>SUMPRODUCT(('4_매출_거래처'!$E$54:$E$89="엘더리")*'4_매출_거래처'!AH$54:AH$89*$C$80:$C$115)</f>
        <v>145823.5</v>
      </c>
      <c r="N67" s="69">
        <f>SUMPRODUCT(('4_매출_거래처'!$E$54:$E$89="엘더리")*'4_매출_거래처'!AI$54:AI$89*$C$80:$C$115)</f>
        <v>196504</v>
      </c>
      <c r="O67" s="69">
        <f>SUMPRODUCT(('4_매출_거래처'!$E$54:$E$89="엘더리")*'4_매출_거래처'!AJ$54:AJ$89*$D$80:$D$115)</f>
        <v>223804.4</v>
      </c>
      <c r="P67" s="69">
        <f>SUMPRODUCT(('4_매출_거래처'!$E$54:$E$89="엘더리")*'4_매출_거래처'!AK$54:AK$89*$D$80:$D$115)</f>
        <v>253134.7</v>
      </c>
      <c r="Q67" s="69">
        <f>SUMPRODUCT(('4_매출_거래처'!$E$54:$E$89="엘더리")*'4_매출_거래처'!AL$54:AL$89*$D$80:$D$115)</f>
        <v>312561.4</v>
      </c>
      <c r="R67" s="69">
        <f>SUMPRODUCT(('4_매출_거래처'!$E$54:$E$89="엘더리")*'4_매출_거래처'!AM$54:AM$89*$D$80:$D$115)</f>
        <v>350893.06</v>
      </c>
      <c r="S67" s="69">
        <f>SUMPRODUCT(('4_매출_거래처'!$E$54:$E$89="엘더리")*'4_매출_거래처'!AN$54:AN$89*$D$80:$D$115)</f>
        <v>384353.58</v>
      </c>
      <c r="T67" s="69">
        <f>SUMPRODUCT(('4_매출_거래처'!$E$54:$E$89="엘더리")*'4_매출_거래처'!AO$54:AO$89*$D$80:$D$115)</f>
        <v>408422.5</v>
      </c>
      <c r="U67" s="69">
        <f>SUMPRODUCT(('4_매출_거래처'!$E$54:$E$89="엘더리")*'4_매출_거래처'!AP$54:AP$89*$D$80:$D$115)</f>
        <v>432872.34</v>
      </c>
      <c r="V67" s="69">
        <f>SUMPRODUCT(('4_매출_거래처'!$E$54:$E$89="엘더리")*'4_매출_거래처'!AQ$54:AQ$89*$D$80:$D$115)</f>
        <v>448314.14</v>
      </c>
      <c r="W67" s="69">
        <f>SUMPRODUCT(('4_매출_거래처'!$E$54:$E$89="엘더리")*'4_매출_거래처'!AR$54:AR$89*$D$80:$D$115)</f>
        <v>477988</v>
      </c>
      <c r="X67" s="69">
        <f>SUMPRODUCT(('4_매출_거래처'!$E$54:$E$89="엘더리")*'4_매출_거래처'!AS$54:AS$89*$D$80:$D$115)</f>
        <v>510535.82</v>
      </c>
      <c r="Y67" s="69">
        <f>SUMPRODUCT(('4_매출_거래처'!$E$54:$E$89="엘더리")*'4_매출_거래처'!AT$54:AT$89*$D$80:$D$115)</f>
        <v>531669.22</v>
      </c>
      <c r="Z67" s="69">
        <f>SUMPRODUCT(('4_매출_거래처'!$E$54:$E$89="엘더리")*'4_매출_거래처'!AU$54:AU$89*$D$80:$D$115)</f>
        <v>554050.84</v>
      </c>
      <c r="AA67" s="25">
        <f>SUM(C67:N67)</f>
        <v>539665.87</v>
      </c>
      <c r="AB67" s="25">
        <f>SUM(O67:Z67)</f>
        <v>4888600</v>
      </c>
      <c r="AC67" s="68">
        <f>SUMPRODUCT(('4_매출_거래처'!$E$54:$E$89="엘더리")*'4_매출_거래처'!AX$54:AX$89*$E$80:$E$115)</f>
        <v>18496393.12</v>
      </c>
      <c r="AD67" s="68">
        <f>SUMPRODUCT(('4_매출_거래처'!$E$54:$E$89="엘더리")*'4_매출_거래처'!AY$54:AY$89*$F$80:$F$115)</f>
        <v>38445122.8</v>
      </c>
      <c r="AE67" s="68">
        <f>SUMPRODUCT(('4_매출_거래처'!$E$54:$E$89="엘더리")*'4_매출_거래처'!AZ$54:AZ$89*$G$80:$G$115)</f>
        <v>83736182.77472</v>
      </c>
      <c r="AF67" s="24">
        <f>SUM(AA67:AE67)</f>
        <v>146105964.56472</v>
      </c>
    </row>
    <row r="68">
      <c r="A68" s="15" t="inlineStr">
        <is>
          <t>엘더리 — 센서·BLE 게이트웨이(하드웨어)</t>
        </is>
      </c>
      <c r="B68" s="15" t="inlineStr">
        <is>
          <t>P2</t>
        </is>
      </c>
      <c r="C68" s="69">
        <f>SUMPRODUCT(('4_매출_거래처'!$E$54:$E$89="엘더리")*'4_매출_거래처'!X$54:X$89*$H$80:$H$115)</f>
        <v>9840.64</v>
      </c>
      <c r="D68" s="69">
        <f>SUMPRODUCT(('4_매출_거래처'!$E$54:$E$89="엘더리")*'4_매출_거래처'!Y$54:Y$89*$H$80:$H$115)</f>
        <v>3796.86</v>
      </c>
      <c r="E68" s="69">
        <f>SUMPRODUCT(('4_매출_거래처'!$E$54:$E$89="엘더리")*'4_매출_거래처'!Z$54:Z$89*$H$80:$H$115)</f>
        <v>6600</v>
      </c>
      <c r="F68" s="69">
        <f>SUMPRODUCT(('4_매출_거래처'!$E$54:$E$89="엘더리")*'4_매출_거래처'!AA$54:AA$89*$H$80:$H$115)</f>
        <v>38.8</v>
      </c>
      <c r="G68" s="69">
        <f>SUMPRODUCT(('4_매출_거래처'!$E$54:$E$89="엘더리")*'4_매출_거래처'!AB$54:AB$89*$H$80:$H$115)</f>
        <v>79.92</v>
      </c>
      <c r="H68" s="69">
        <f>SUMPRODUCT(('4_매출_거래처'!$E$54:$E$89="엘더리")*'4_매출_거래처'!AC$54:AC$89*$H$80:$H$115)</f>
        <v>87.36</v>
      </c>
      <c r="I68" s="69">
        <f>SUMPRODUCT(('4_매출_거래처'!$E$54:$E$89="엘더리")*'4_매출_거래처'!AD$54:AD$89*$H$80:$H$115)</f>
        <v>134.64</v>
      </c>
      <c r="J68" s="69">
        <f>SUMPRODUCT(('4_매출_거래처'!$E$54:$E$89="엘더리")*'4_매출_거래처'!AE$54:AE$89*$H$80:$H$115)</f>
        <v>54.96</v>
      </c>
      <c r="K68" s="69">
        <f>SUMPRODUCT(('4_매출_거래처'!$E$54:$E$89="엘더리")*'4_매출_거래처'!AF$54:AF$89*$H$80:$H$115)</f>
        <v>9329.28</v>
      </c>
      <c r="L68" s="69">
        <f>SUMPRODUCT(('4_매출_거래처'!$E$54:$E$89="엘더리")*'4_매출_거래처'!AG$54:AG$89*$H$80:$H$115)</f>
        <v>14880</v>
      </c>
      <c r="M68" s="69">
        <f>SUMPRODUCT(('4_매출_거래처'!$E$54:$E$89="엘더리")*'4_매출_거래처'!AH$54:AH$89*$H$80:$H$115)</f>
        <v>19732.6</v>
      </c>
      <c r="N68" s="69">
        <f>SUMPRODUCT(('4_매출_거래처'!$E$54:$E$89="엘더리")*'4_매출_거래처'!AI$54:AI$89*$H$80:$H$115)</f>
        <v>170668.3</v>
      </c>
      <c r="O68" s="69">
        <f>SUMPRODUCT(('4_매출_거래처'!$E$54:$E$89="엘더리")*'4_매출_거래처'!AJ$54:AJ$89*$I$80:$I$115)</f>
        <v>46901.04</v>
      </c>
      <c r="P68" s="69">
        <f>SUMPRODUCT(('4_매출_거래처'!$E$54:$E$89="엘더리")*'4_매출_거래처'!AK$54:AK$89*$I$80:$I$115)</f>
        <v>54982.16</v>
      </c>
      <c r="Q68" s="69">
        <f>SUMPRODUCT(('4_매출_거래처'!$E$54:$E$89="엘더리")*'4_매출_거래처'!AL$54:AL$89*$I$80:$I$115)</f>
        <v>82014.42</v>
      </c>
      <c r="R68" s="69">
        <f>SUMPRODUCT(('4_매출_거래처'!$E$54:$E$89="엘더리")*'4_매출_거래처'!AM$54:AM$89*$I$80:$I$115)</f>
        <v>91623.7</v>
      </c>
      <c r="S68" s="69">
        <f>SUMPRODUCT(('4_매출_거래처'!$E$54:$E$89="엘더리")*'4_매출_거래처'!AN$54:AN$89*$I$80:$I$115)</f>
        <v>100009.08</v>
      </c>
      <c r="T68" s="69">
        <f>SUMPRODUCT(('4_매출_거래처'!$E$54:$E$89="엘더리")*'4_매출_거래처'!AO$54:AO$89*$I$80:$I$115)</f>
        <v>104722.46</v>
      </c>
      <c r="U68" s="69">
        <f>SUMPRODUCT(('4_매출_거래처'!$E$54:$E$89="엘더리")*'4_매출_거래처'!AP$54:AP$89*$I$80:$I$115)</f>
        <v>109690.96</v>
      </c>
      <c r="V68" s="69">
        <f>SUMPRODUCT(('4_매출_거래처'!$E$54:$E$89="엘더리")*'4_매출_거래처'!AQ$54:AQ$89*$I$80:$I$115)</f>
        <v>115917.48</v>
      </c>
      <c r="W68" s="69">
        <f>SUMPRODUCT(('4_매출_거래처'!$E$54:$E$89="엘더리")*'4_매출_거래처'!AR$54:AR$89*$I$80:$I$115)</f>
        <v>122631.14</v>
      </c>
      <c r="X68" s="69">
        <f>SUMPRODUCT(('4_매출_거래처'!$E$54:$E$89="엘더리")*'4_매출_거래처'!AS$54:AS$89*$I$80:$I$115)</f>
        <v>129417.36</v>
      </c>
      <c r="Y68" s="69">
        <f>SUMPRODUCT(('4_매출_거래처'!$E$54:$E$89="엘더리")*'4_매출_거래처'!AT$54:AT$89*$I$80:$I$115)</f>
        <v>149365</v>
      </c>
      <c r="Z68" s="69">
        <f>SUMPRODUCT(('4_매출_거래처'!$E$54:$E$89="엘더리")*'4_매출_거래처'!AU$54:AU$89*$I$80:$I$115)</f>
        <v>155805.2</v>
      </c>
      <c r="AA68" s="25">
        <f>SUM(C68:N68)</f>
        <v>235243.36</v>
      </c>
      <c r="AB68" s="25">
        <f>SUM(O68:Z68)</f>
        <v>1263080</v>
      </c>
      <c r="AC68" s="68">
        <f>SUMPRODUCT(('4_매출_거래처'!$E$54:$E$89="엘더리")*'4_매출_거래처'!AX$54:AX$89*$J$80:$J$115)</f>
        <v>3899330.72</v>
      </c>
      <c r="AD68" s="68">
        <f>SUMPRODUCT(('4_매출_거래처'!$E$54:$E$89="엘더리")*'4_매출_거래처'!AY$54:AY$89*$K$80:$K$115)</f>
        <v>8341516.68</v>
      </c>
      <c r="AE68" s="68">
        <f>SUMPRODUCT(('4_매출_거래처'!$E$54:$E$89="엘더리")*'4_매출_거래처'!AZ$54:AZ$89*$L$80:$L$115)</f>
        <v>17929231.49344</v>
      </c>
      <c r="AF68" s="24">
        <f>SUM(AA68:AE68)</f>
        <v>31668402.25344</v>
      </c>
    </row>
    <row r="69">
      <c r="A69" s="15" t="inlineStr">
        <is>
          <t>엘더리 — 앱·웹 모니터링 구독(SW·AI)</t>
        </is>
      </c>
      <c r="B69" s="15" t="inlineStr">
        <is>
          <t>P3</t>
        </is>
      </c>
      <c r="C69" s="69">
        <f>SUMPRODUCT(('4_매출_거래처'!$E$54:$E$89="엘더리")*'4_매출_거래처'!X$54:X$89*$M$80:$M$115)</f>
        <v>4756.08</v>
      </c>
      <c r="D69" s="69">
        <f>SUMPRODUCT(('4_매출_거래처'!$E$54:$E$89="엘더리")*'4_매출_거래처'!Y$54:Y$89*$M$80:$M$115)</f>
        <v>3307.89</v>
      </c>
      <c r="E69" s="69">
        <f>SUMPRODUCT(('4_매출_거래처'!$E$54:$E$89="엘더리")*'4_매출_거래처'!Z$54:Z$89*$M$80:$M$115)</f>
        <v>2485.68</v>
      </c>
      <c r="F69" s="69">
        <f>SUMPRODUCT(('4_매출_거래처'!$E$54:$E$89="엘더리")*'4_매출_거래처'!AA$54:AA$89*$M$80:$M$115)</f>
        <v>58.2</v>
      </c>
      <c r="G69" s="69">
        <f>SUMPRODUCT(('4_매출_거래처'!$E$54:$E$89="엘더리")*'4_매출_거래처'!AB$54:AB$89*$M$80:$M$115)</f>
        <v>119.88</v>
      </c>
      <c r="H69" s="69">
        <f>SUMPRODUCT(('4_매출_거래처'!$E$54:$E$89="엘더리")*'4_매출_거래처'!AC$54:AC$89*$M$80:$M$115)</f>
        <v>131.04</v>
      </c>
      <c r="I69" s="69">
        <f>SUMPRODUCT(('4_매출_거래처'!$E$54:$E$89="엘더리")*'4_매출_거래처'!AD$54:AD$89*$M$80:$M$115)</f>
        <v>201.96</v>
      </c>
      <c r="J69" s="69">
        <f>SUMPRODUCT(('4_매출_거래처'!$E$54:$E$89="엘더리")*'4_매출_거래처'!AE$54:AE$89*$M$80:$M$115)</f>
        <v>82.44</v>
      </c>
      <c r="K69" s="69">
        <f>SUMPRODUCT(('4_매출_거래처'!$E$54:$E$89="엘더리")*'4_매출_거래처'!AF$54:AF$89*$M$80:$M$115)</f>
        <v>3368</v>
      </c>
      <c r="L69" s="69">
        <f>SUMPRODUCT(('4_매출_거래처'!$E$54:$E$89="엘더리")*'4_매출_거래처'!AG$54:AG$89*$M$80:$M$115)</f>
        <v>17200</v>
      </c>
      <c r="M69" s="69">
        <f>SUMPRODUCT(('4_매출_거래처'!$E$54:$E$89="엘더리")*'4_매출_거래처'!AH$54:AH$89*$M$80:$M$115)</f>
        <v>22038.9</v>
      </c>
      <c r="N69" s="69">
        <f>SUMPRODUCT(('4_매출_거래처'!$E$54:$E$89="엘더리")*'4_매출_거래처'!AI$54:AI$89*$M$80:$M$115)</f>
        <v>58421.15</v>
      </c>
      <c r="O69" s="69">
        <f>SUMPRODUCT(('4_매출_거래처'!$E$54:$E$89="엘더리")*'4_매출_거래처'!AJ$54:AJ$89*$N$80:$N$115)</f>
        <v>36746.2</v>
      </c>
      <c r="P69" s="69">
        <f>SUMPRODUCT(('4_매출_거래처'!$E$54:$E$89="엘더리")*'4_매출_거래처'!AK$54:AK$89*$N$80:$N$115)</f>
        <v>40948.75</v>
      </c>
      <c r="Q69" s="69">
        <f>SUMPRODUCT(('4_매출_거래처'!$E$54:$E$89="엘더리")*'4_매출_거래처'!AL$54:AL$89*$N$80:$N$115)</f>
        <v>53301</v>
      </c>
      <c r="R69" s="69">
        <f>SUMPRODUCT(('4_매출_거래처'!$E$54:$E$89="엘더리")*'4_매출_거래처'!AM$54:AM$89*$N$80:$N$115)</f>
        <v>58780.87</v>
      </c>
      <c r="S69" s="69">
        <f>SUMPRODUCT(('4_매출_거래처'!$E$54:$E$89="엘더리")*'4_매출_거래처'!AN$54:AN$89*$N$80:$N$115)</f>
        <v>63994.71</v>
      </c>
      <c r="T69" s="69">
        <f>SUMPRODUCT(('4_매출_거래처'!$E$54:$E$89="엘더리")*'4_매출_거래처'!AO$54:AO$89*$N$80:$N$115)</f>
        <v>67418.35</v>
      </c>
      <c r="U69" s="69">
        <f>SUMPRODUCT(('4_매출_거래처'!$E$54:$E$89="엘더리")*'4_매출_거래처'!AP$54:AP$89*$N$80:$N$115)</f>
        <v>70898.53</v>
      </c>
      <c r="V69" s="69">
        <f>SUMPRODUCT(('4_매출_거래처'!$E$54:$E$89="엘더리")*'4_매출_거래처'!AQ$54:AQ$89*$N$80:$N$115)</f>
        <v>73136.83</v>
      </c>
      <c r="W69" s="69">
        <f>SUMPRODUCT(('4_매출_거래처'!$E$54:$E$89="엘더리")*'4_매출_거래처'!AR$54:AR$89*$N$80:$N$115)</f>
        <v>77799.9</v>
      </c>
      <c r="X69" s="69">
        <f>SUMPRODUCT(('4_매출_거래처'!$E$54:$E$89="엘더리")*'4_매출_거래처'!AS$54:AS$89*$N$80:$N$115)</f>
        <v>82434.99</v>
      </c>
      <c r="Y69" s="69">
        <f>SUMPRODUCT(('4_매출_거래처'!$E$54:$E$89="엘더리")*'4_매출_거래처'!AT$54:AT$89*$N$80:$N$115)</f>
        <v>88464.69</v>
      </c>
      <c r="Z69" s="69">
        <f>SUMPRODUCT(('4_매출_거래처'!$E$54:$E$89="엘더리")*'4_매출_거래처'!AU$54:AU$89*$N$80:$N$115)</f>
        <v>91675.18</v>
      </c>
      <c r="AA69" s="25">
        <f>SUM(C69:N69)</f>
        <v>112171.22</v>
      </c>
      <c r="AB69" s="25">
        <f>SUM(O69:Z69)</f>
        <v>805600</v>
      </c>
      <c r="AC69" s="68">
        <f>SUMPRODUCT(('4_매출_거래처'!$E$54:$E$89="엘더리")*'4_매출_거래처'!AX$54:AX$89*$O$80:$O$115)</f>
        <v>3360328</v>
      </c>
      <c r="AD69" s="68">
        <f>SUMPRODUCT(('4_매출_거래처'!$E$54:$E$89="엘더리")*'4_매출_거래처'!AY$54:AY$89*$P$80:$P$115)</f>
        <v>7518304.8</v>
      </c>
      <c r="AE69" s="68">
        <f>SUMPRODUCT(('4_매출_거래처'!$E$54:$E$89="엘더리")*'4_매출_거래처'!AZ$54:AZ$89*$Q$80:$Q$115)</f>
        <v>17568363.68</v>
      </c>
      <c r="AF69" s="24">
        <f>SUM(AA69:AE69)</f>
        <v>29364767.7</v>
      </c>
    </row>
    <row r="70">
      <c r="A70" s="15" t="inlineStr">
        <is>
          <t>엘더리 — 바이탈 모니터링 센서(60GHz, 2026 Q4 출시)</t>
        </is>
      </c>
      <c r="B70" s="15" t="inlineStr">
        <is>
          <t>P4</t>
        </is>
      </c>
      <c r="C70" s="69">
        <f>SUMPRODUCT(('4_매출_거래처'!$E$54:$E$89="엘더리")*'4_매출_거래처'!X$54:X$89*$R$80:$R$115)</f>
        <v>0</v>
      </c>
      <c r="D70" s="69">
        <f>SUMPRODUCT(('4_매출_거래처'!$E$54:$E$89="엘더리")*'4_매출_거래처'!Y$54:Y$89*$R$80:$R$115)</f>
        <v>0</v>
      </c>
      <c r="E70" s="69">
        <f>SUMPRODUCT(('4_매출_거래처'!$E$54:$E$89="엘더리")*'4_매출_거래처'!Z$54:Z$89*$R$80:$R$115)</f>
        <v>0</v>
      </c>
      <c r="F70" s="69">
        <f>SUMPRODUCT(('4_매출_거래처'!$E$54:$E$89="엘더리")*'4_매출_거래처'!AA$54:AA$89*$R$80:$R$115)</f>
        <v>0</v>
      </c>
      <c r="G70" s="69">
        <f>SUMPRODUCT(('4_매출_거래처'!$E$54:$E$89="엘더리")*'4_매출_거래처'!AB$54:AB$89*$R$80:$R$115)</f>
        <v>0</v>
      </c>
      <c r="H70" s="69">
        <f>SUMPRODUCT(('4_매출_거래처'!$E$54:$E$89="엘더리")*'4_매출_거래처'!AC$54:AC$89*$R$80:$R$115)</f>
        <v>0</v>
      </c>
      <c r="I70" s="69">
        <f>SUMPRODUCT(('4_매출_거래처'!$E$54:$E$89="엘더리")*'4_매출_거래처'!AD$54:AD$89*$R$80:$R$115)</f>
        <v>0</v>
      </c>
      <c r="J70" s="69">
        <f>SUMPRODUCT(('4_매출_거래처'!$E$54:$E$89="엘더리")*'4_매출_거래처'!AE$54:AE$89*$R$80:$R$115)</f>
        <v>0</v>
      </c>
      <c r="K70" s="69">
        <f>SUMPRODUCT(('4_매출_거래처'!$E$54:$E$89="엘더리")*'4_매출_거래처'!AF$54:AF$89*$R$80:$R$115)</f>
        <v>0</v>
      </c>
      <c r="L70" s="69">
        <f>SUMPRODUCT(('4_매출_거래처'!$E$54:$E$89="엘더리")*'4_매출_거래처'!AG$54:AG$89*$R$80:$R$115)</f>
        <v>0</v>
      </c>
      <c r="M70" s="69">
        <f>SUMPRODUCT(('4_매출_거래처'!$E$54:$E$89="엘더리")*'4_매출_거래처'!AH$54:AH$89*$R$80:$R$115)</f>
        <v>0</v>
      </c>
      <c r="N70" s="69">
        <f>SUMPRODUCT(('4_매출_거래처'!$E$54:$E$89="엘더리")*'4_매출_거래처'!AI$54:AI$89*$R$80:$R$115)</f>
        <v>0</v>
      </c>
      <c r="O70" s="69">
        <f>SUMPRODUCT(('4_매출_거래처'!$E$54:$E$89="엘더리")*'4_매출_거래처'!AJ$54:AJ$89*$S$80:$S$115)</f>
        <v>10005.96</v>
      </c>
      <c r="P70" s="69">
        <f>SUMPRODUCT(('4_매출_거래처'!$E$54:$E$89="엘더리")*'4_매출_거래처'!AK$54:AK$89*$S$80:$S$115)</f>
        <v>11292.99</v>
      </c>
      <c r="Q70" s="69">
        <f>SUMPRODUCT(('4_매출_거래처'!$E$54:$E$89="엘더리")*'4_매출_거래처'!AL$54:AL$89*$S$80:$S$115)</f>
        <v>15135.58</v>
      </c>
      <c r="R70" s="69">
        <f>SUMPRODUCT(('4_매출_거래처'!$E$54:$E$89="엘더리")*'4_매출_거래처'!AM$54:AM$89*$S$80:$S$115)</f>
        <v>16787.77</v>
      </c>
      <c r="S70" s="69">
        <f>SUMPRODUCT(('4_매출_거래처'!$E$54:$E$89="엘더리")*'4_매출_거래처'!AN$54:AN$89*$S$80:$S$115)</f>
        <v>19100.43</v>
      </c>
      <c r="T70" s="69">
        <f>SUMPRODUCT(('4_매출_거래처'!$E$54:$E$89="엘더리")*'4_매출_거래처'!AO$54:AO$89*$S$80:$S$115)</f>
        <v>20096.49</v>
      </c>
      <c r="U70" s="69">
        <f>SUMPRODUCT(('4_매출_거래처'!$E$54:$E$89="엘더리")*'4_매출_거래처'!AP$54:AP$89*$S$80:$S$115)</f>
        <v>21113.97</v>
      </c>
      <c r="V70" s="69">
        <f>SUMPRODUCT(('4_매출_거래처'!$E$54:$E$89="엘더리")*'4_매출_거래처'!AQ$54:AQ$89*$S$80:$S$115)</f>
        <v>21853.35</v>
      </c>
      <c r="W70" s="69">
        <f>SUMPRODUCT(('4_매출_거래처'!$E$54:$E$89="엘더리")*'4_매출_거래처'!AR$54:AR$89*$S$80:$S$115)</f>
        <v>23980.16</v>
      </c>
      <c r="X70" s="69">
        <f>SUMPRODUCT(('4_매출_거래처'!$E$54:$E$89="엘더리")*'4_매출_거래처'!AS$54:AS$89*$S$80:$S$115)</f>
        <v>25340.03</v>
      </c>
      <c r="Y70" s="69">
        <f>SUMPRODUCT(('4_매출_거래처'!$E$54:$E$89="엘더리")*'4_매출_거래처'!AT$54:AT$89*$S$80:$S$115)</f>
        <v>26271.29</v>
      </c>
      <c r="Z70" s="69">
        <f>SUMPRODUCT(('4_매출_거래처'!$E$54:$E$89="엘더리")*'4_매출_거래처'!AU$54:AU$89*$S$80:$S$115)</f>
        <v>27261.98</v>
      </c>
      <c r="AA70" s="25">
        <f>SUM(C70:N70)</f>
        <v>0</v>
      </c>
      <c r="AB70" s="25">
        <f>SUM(O70:Z70)</f>
        <v>238240</v>
      </c>
      <c r="AC70" s="68">
        <f>SUMPRODUCT(('4_매출_거래처'!$E$54:$E$89="엘더리")*'4_매출_거래처'!AX$54:AX$89*$T$80:$T$115)</f>
        <v>1792446.08</v>
      </c>
      <c r="AD70" s="68">
        <f>SUMPRODUCT(('4_매출_거래처'!$E$54:$E$89="엘더리")*'4_매출_거래처'!AY$54:AY$89*$U$80:$U$115)</f>
        <v>5949350.24</v>
      </c>
      <c r="AE70" s="68">
        <f>SUMPRODUCT(('4_매출_거래처'!$E$54:$E$89="엘더리")*'4_매출_거래처'!AZ$54:AZ$89*$V$80:$V$115)</f>
        <v>17723889.71392</v>
      </c>
      <c r="AF70" s="24">
        <f>SUM(AA70:AE70)</f>
        <v>25703926.03392</v>
      </c>
    </row>
    <row r="71">
      <c r="A71" s="15" t="inlineStr">
        <is>
          <t>엘더리 — 스마트 욕창 케어(2027 출시)</t>
        </is>
      </c>
      <c r="B71" s="15" t="inlineStr">
        <is>
          <t>P5</t>
        </is>
      </c>
      <c r="C71" s="69">
        <f>SUMPRODUCT(('4_매출_거래처'!$E$54:$E$89="엘더리")*'4_매출_거래처'!X$54:X$89*$W$80:$W$115)</f>
        <v>0</v>
      </c>
      <c r="D71" s="69">
        <f>SUMPRODUCT(('4_매출_거래처'!$E$54:$E$89="엘더리")*'4_매출_거래처'!Y$54:Y$89*$W$80:$W$115)</f>
        <v>0</v>
      </c>
      <c r="E71" s="69">
        <f>SUMPRODUCT(('4_매출_거래처'!$E$54:$E$89="엘더리")*'4_매출_거래처'!Z$54:Z$89*$W$80:$W$115)</f>
        <v>0</v>
      </c>
      <c r="F71" s="69">
        <f>SUMPRODUCT(('4_매출_거래처'!$E$54:$E$89="엘더리")*'4_매출_거래처'!AA$54:AA$89*$W$80:$W$115)</f>
        <v>0</v>
      </c>
      <c r="G71" s="69">
        <f>SUMPRODUCT(('4_매출_거래처'!$E$54:$E$89="엘더리")*'4_매출_거래처'!AB$54:AB$89*$W$80:$W$115)</f>
        <v>0</v>
      </c>
      <c r="H71" s="69">
        <f>SUMPRODUCT(('4_매출_거래처'!$E$54:$E$89="엘더리")*'4_매출_거래처'!AC$54:AC$89*$W$80:$W$115)</f>
        <v>0</v>
      </c>
      <c r="I71" s="69">
        <f>SUMPRODUCT(('4_매출_거래처'!$E$54:$E$89="엘더리")*'4_매출_거래처'!AD$54:AD$89*$W$80:$W$115)</f>
        <v>0</v>
      </c>
      <c r="J71" s="69">
        <f>SUMPRODUCT(('4_매출_거래처'!$E$54:$E$89="엘더리")*'4_매출_거래처'!AE$54:AE$89*$W$80:$W$115)</f>
        <v>0</v>
      </c>
      <c r="K71" s="69">
        <f>SUMPRODUCT(('4_매출_거래처'!$E$54:$E$89="엘더리")*'4_매출_거래처'!AF$54:AF$89*$W$80:$W$115)</f>
        <v>0</v>
      </c>
      <c r="L71" s="69">
        <f>SUMPRODUCT(('4_매출_거래처'!$E$54:$E$89="엘더리")*'4_매출_거래처'!AG$54:AG$89*$W$80:$W$115)</f>
        <v>0</v>
      </c>
      <c r="M71" s="69">
        <f>SUMPRODUCT(('4_매출_거래처'!$E$54:$E$89="엘더리")*'4_매출_거래처'!AH$54:AH$89*$W$80:$W$115)</f>
        <v>0</v>
      </c>
      <c r="N71" s="69">
        <f>SUMPRODUCT(('4_매출_거래처'!$E$54:$E$89="엘더리")*'4_매출_거래처'!AI$54:AI$89*$W$80:$W$115)</f>
        <v>0</v>
      </c>
      <c r="O71" s="69">
        <f>SUMPRODUCT(('4_매출_거래처'!$E$54:$E$89="엘더리")*'4_매출_거래처'!AJ$54:AJ$89*$X$80:$X$115)</f>
        <v>487.2</v>
      </c>
      <c r="P71" s="69">
        <f>SUMPRODUCT(('4_매출_거래처'!$E$54:$E$89="엘더리")*'4_매출_거래처'!AK$54:AK$89*$X$80:$X$115)</f>
        <v>487.2</v>
      </c>
      <c r="Q71" s="69">
        <f>SUMPRODUCT(('4_매출_거래처'!$E$54:$E$89="엘더리")*'4_매출_거래처'!AL$54:AL$89*$X$80:$X$115)</f>
        <v>1136.8</v>
      </c>
      <c r="R71" s="69">
        <f>SUMPRODUCT(('4_매출_거래처'!$E$54:$E$89="엘더리")*'4_매출_거래처'!AM$54:AM$89*$X$80:$X$115)</f>
        <v>1136.8</v>
      </c>
      <c r="S71" s="69">
        <f>SUMPRODUCT(('4_매출_거래처'!$E$54:$E$89="엘더리")*'4_매출_거래처'!AN$54:AN$89*$X$80:$X$115)</f>
        <v>1461.6</v>
      </c>
      <c r="T71" s="69">
        <f>SUMPRODUCT(('4_매출_거래처'!$E$54:$E$89="엘더리")*'4_매출_거래처'!AO$54:AO$89*$X$80:$X$115)</f>
        <v>1461.6</v>
      </c>
      <c r="U71" s="69">
        <f>SUMPRODUCT(('4_매출_거래처'!$E$54:$E$89="엘더리")*'4_매출_거래처'!AP$54:AP$89*$X$80:$X$115)</f>
        <v>1461.6</v>
      </c>
      <c r="V71" s="69">
        <f>SUMPRODUCT(('4_매출_거래처'!$E$54:$E$89="엘더리")*'4_매출_거래처'!AQ$54:AQ$89*$X$80:$X$115)</f>
        <v>1461.6</v>
      </c>
      <c r="W71" s="69">
        <f>SUMPRODUCT(('4_매출_거래처'!$E$54:$E$89="엘더리")*'4_매출_거래처'!AR$54:AR$89*$X$80:$X$115)</f>
        <v>1786.4</v>
      </c>
      <c r="X71" s="69">
        <f>SUMPRODUCT(('4_매출_거래처'!$E$54:$E$89="엘더리")*'4_매출_거래처'!AS$54:AS$89*$X$80:$X$115)</f>
        <v>1786.4</v>
      </c>
      <c r="Y71" s="69">
        <f>SUMPRODUCT(('4_매출_거래처'!$E$54:$E$89="엘더리")*'4_매출_거래처'!AT$54:AT$89*$X$80:$X$115)</f>
        <v>1786.4</v>
      </c>
      <c r="Z71" s="69">
        <f>SUMPRODUCT(('4_매출_거래처'!$E$54:$E$89="엘더리")*'4_매출_거래처'!AU$54:AU$89*$X$80:$X$115)</f>
        <v>1786.4</v>
      </c>
      <c r="AA71" s="25">
        <f>SUM(C71:N71)</f>
        <v>0</v>
      </c>
      <c r="AB71" s="25">
        <f>SUM(O71:Z71)</f>
        <v>16240</v>
      </c>
      <c r="AC71" s="68">
        <f>SUMPRODUCT(('4_매출_거래처'!$E$54:$E$89="엘더리")*'4_매출_거래처'!AX$54:AX$89*$Y$80:$Y$115)</f>
        <v>424931.36</v>
      </c>
      <c r="AD71" s="68">
        <f>SUMPRODUCT(('4_매출_거래처'!$E$54:$E$89="엘더리")*'4_매출_거래처'!AY$54:AY$89*$Z$80:$Z$115)</f>
        <v>2283801.56</v>
      </c>
      <c r="AE71" s="68">
        <f>SUMPRODUCT(('4_매출_거래처'!$E$54:$E$89="엘더리")*'4_매출_거래처'!AZ$54:AZ$89*$AA$80:$AA$115)</f>
        <v>8282271.76896</v>
      </c>
      <c r="AF71" s="24">
        <f>SUM(AA71:AE71)</f>
        <v>11007244.68896</v>
      </c>
    </row>
    <row r="72">
      <c r="A72" s="15" t="inlineStr">
        <is>
          <t>엘더리 — R&amp;D·PoC 용역</t>
        </is>
      </c>
      <c r="B72" s="15" t="inlineStr">
        <is>
          <t>P6</t>
        </is>
      </c>
      <c r="C72" s="69">
        <f>SUMPRODUCT(('4_매출_거래처'!$E$54:$E$89="엘더리")*'4_매출_거래처'!X$54:X$89*$AB$80:$AB$115)</f>
        <v>0</v>
      </c>
      <c r="D72" s="69">
        <f>SUMPRODUCT(('4_매출_거래처'!$E$54:$E$89="엘더리")*'4_매출_거래처'!Y$54:Y$89*$AB$80:$AB$115)</f>
        <v>0</v>
      </c>
      <c r="E72" s="69">
        <f>SUMPRODUCT(('4_매출_거래처'!$E$54:$E$89="엘더리")*'4_매출_거래처'!Z$54:Z$89*$AB$80:$AB$115)</f>
        <v>0</v>
      </c>
      <c r="F72" s="69">
        <f>SUMPRODUCT(('4_매출_거래처'!$E$54:$E$89="엘더리")*'4_매출_거래처'!AA$54:AA$89*$AB$80:$AB$115)</f>
        <v>0</v>
      </c>
      <c r="G72" s="69">
        <f>SUMPRODUCT(('4_매출_거래처'!$E$54:$E$89="엘더리")*'4_매출_거래처'!AB$54:AB$89*$AB$80:$AB$115)</f>
        <v>0</v>
      </c>
      <c r="H72" s="69">
        <f>SUMPRODUCT(('4_매출_거래처'!$E$54:$E$89="엘더리")*'4_매출_거래처'!AC$54:AC$89*$AB$80:$AB$115)</f>
        <v>0</v>
      </c>
      <c r="I72" s="69">
        <f>SUMPRODUCT(('4_매출_거래처'!$E$54:$E$89="엘더리")*'4_매출_거래처'!AD$54:AD$89*$AB$80:$AB$115)</f>
        <v>0</v>
      </c>
      <c r="J72" s="69">
        <f>SUMPRODUCT(('4_매출_거래처'!$E$54:$E$89="엘더리")*'4_매출_거래처'!AE$54:AE$89*$AB$80:$AB$115)</f>
        <v>0</v>
      </c>
      <c r="K72" s="69">
        <f>SUMPRODUCT(('4_매출_거래처'!$E$54:$E$89="엘더리")*'4_매출_거래처'!AF$54:AF$89*$AB$80:$AB$115)</f>
        <v>0</v>
      </c>
      <c r="L72" s="69">
        <f>SUMPRODUCT(('4_매출_거래처'!$E$54:$E$89="엘더리")*'4_매출_거래처'!AG$54:AG$89*$AB$80:$AB$115)</f>
        <v>23625</v>
      </c>
      <c r="M72" s="69">
        <f>SUMPRODUCT(('4_매출_거래처'!$E$54:$E$89="엘더리")*'4_매출_거래처'!AH$54:AH$89*$AB$80:$AB$115)</f>
        <v>27625</v>
      </c>
      <c r="N72" s="69">
        <f>SUMPRODUCT(('4_매출_거래처'!$E$54:$E$89="엘더리")*'4_매출_거래처'!AI$54:AI$89*$AB$80:$AB$115)</f>
        <v>28343.55</v>
      </c>
      <c r="O72" s="69">
        <f>SUMPRODUCT(('4_매출_거래처'!$E$54:$E$89="엘더리")*'4_매출_거래처'!AJ$54:AJ$89*$AC$80:$AC$115)</f>
        <v>4987.2</v>
      </c>
      <c r="P72" s="69">
        <f>SUMPRODUCT(('4_매출_거래처'!$E$54:$E$89="엘더리")*'4_매출_거래처'!AK$54:AK$89*$AC$80:$AC$115)</f>
        <v>5868.2</v>
      </c>
      <c r="Q72" s="69">
        <f>SUMPRODUCT(('4_매출_거래처'!$E$54:$E$89="엘더리")*'4_매출_거래처'!AL$54:AL$89*$AC$80:$AC$115)</f>
        <v>18097.8</v>
      </c>
      <c r="R72" s="69">
        <f>SUMPRODUCT(('4_매출_거래처'!$E$54:$E$89="엘더리")*'4_매출_거래처'!AM$54:AM$89*$AC$80:$AC$115)</f>
        <v>23036.8</v>
      </c>
      <c r="S72" s="69">
        <f>SUMPRODUCT(('4_매출_거래처'!$E$54:$E$89="엘더리")*'4_매출_거래처'!AN$54:AN$89*$AC$80:$AC$115)</f>
        <v>25037.6</v>
      </c>
      <c r="T72" s="69">
        <f>SUMPRODUCT(('4_매출_거래처'!$E$54:$E$89="엘더리")*'4_매출_거래처'!AO$54:AO$89*$AC$80:$AC$115)</f>
        <v>26874.6</v>
      </c>
      <c r="U72" s="69">
        <f>SUMPRODUCT(('4_매출_거래처'!$E$54:$E$89="엘더리")*'4_매출_거래처'!AP$54:AP$89*$AC$80:$AC$115)</f>
        <v>28889.6</v>
      </c>
      <c r="V72" s="69">
        <f>SUMPRODUCT(('4_매출_거래처'!$E$54:$E$89="엘더리")*'4_매출_거래처'!AQ$54:AQ$89*$AC$80:$AC$115)</f>
        <v>31097.6</v>
      </c>
      <c r="W72" s="69">
        <f>SUMPRODUCT(('4_매출_거래처'!$E$54:$E$89="엘더리")*'4_매출_거래처'!AR$54:AR$89*$AC$80:$AC$115)</f>
        <v>33843.4</v>
      </c>
      <c r="X72" s="69">
        <f>SUMPRODUCT(('4_매출_거래처'!$E$54:$E$89="엘더리")*'4_매출_거래처'!AS$54:AS$89*$AC$80:$AC$115)</f>
        <v>36498.4</v>
      </c>
      <c r="Y72" s="69">
        <f>SUMPRODUCT(('4_매출_거래처'!$E$54:$E$89="엘더리")*'4_매출_거래처'!AT$54:AT$89*$AC$80:$AC$115)</f>
        <v>42408.4</v>
      </c>
      <c r="Z72" s="69">
        <f>SUMPRODUCT(('4_매출_거래처'!$E$54:$E$89="엘더리")*'4_매출_거래처'!AU$54:AU$89*$AC$80:$AC$115)</f>
        <v>45600.4</v>
      </c>
      <c r="AA72" s="25">
        <f>SUM(C72:N72)</f>
        <v>79593.55</v>
      </c>
      <c r="AB72" s="25">
        <f>SUM(O72:Z72)</f>
        <v>322240</v>
      </c>
      <c r="AC72" s="68">
        <f>SUMPRODUCT(('4_매출_거래처'!$E$54:$E$89="엘더리")*'4_매출_거래처'!AX$54:AX$89*$AD$80:$AD$115)</f>
        <v>799170.72</v>
      </c>
      <c r="AD72" s="68">
        <f>SUMPRODUCT(('4_매출_거래처'!$E$54:$E$89="엘더리")*'4_매출_거래처'!AY$54:AY$89*$AE$80:$AE$115)</f>
        <v>1568223.92</v>
      </c>
      <c r="AE72" s="68">
        <f>SUMPRODUCT(('4_매출_거래처'!$E$54:$E$89="엘더리")*'4_매출_거래처'!AZ$54:AZ$89*$AF$80:$AF$115)</f>
        <v>3280546.96896</v>
      </c>
      <c r="AF72" s="24">
        <f>SUM(AA72:AE72)</f>
        <v>6049775.15896</v>
      </c>
    </row>
    <row r="73">
      <c r="A73" s="12" t="inlineStr">
        <is>
          <t>카테고리 × 제품 합계</t>
        </is>
      </c>
      <c r="C73" s="28">
        <f>SUM(C61:C72)</f>
        <v>47067</v>
      </c>
      <c r="D73" s="28">
        <f>SUM(D61:D72)</f>
        <v>36140</v>
      </c>
      <c r="E73" s="28">
        <f>SUM(E61:E72)</f>
        <v>56454</v>
      </c>
      <c r="F73" s="28">
        <f>SUM(F61:F72)</f>
        <v>10935</v>
      </c>
      <c r="G73" s="28">
        <f>SUM(G61:G72)</f>
        <v>22317</v>
      </c>
      <c r="H73" s="28">
        <f>SUM(H61:H72)</f>
        <v>51453</v>
      </c>
      <c r="I73" s="28">
        <f>SUM(I61:I72)</f>
        <v>13314</v>
      </c>
      <c r="J73" s="28">
        <f>SUM(J61:J72)</f>
        <v>7926</v>
      </c>
      <c r="K73" s="28">
        <f>SUM(K61:K72)</f>
        <v>40729</v>
      </c>
      <c r="L73" s="28">
        <f>SUM(L61:L72)</f>
        <v>178325</v>
      </c>
      <c r="M73" s="28">
        <f>SUM(M61:M72)</f>
        <v>243920</v>
      </c>
      <c r="N73" s="28">
        <f>SUM(N61:N72)</f>
        <v>492637</v>
      </c>
      <c r="O73" s="28">
        <f>SUM(O61:O72)</f>
        <v>488011</v>
      </c>
      <c r="P73" s="28">
        <f>SUM(P61:P72)</f>
        <v>518130</v>
      </c>
      <c r="Q73" s="28">
        <f>SUM(Q61:Q72)</f>
        <v>642594</v>
      </c>
      <c r="R73" s="28">
        <f>SUM(R61:R72)</f>
        <v>721010</v>
      </c>
      <c r="S73" s="28">
        <f>SUM(S61:S72)</f>
        <v>776441</v>
      </c>
      <c r="T73" s="28">
        <f>SUM(T61:T72)</f>
        <v>815573</v>
      </c>
      <c r="U73" s="28">
        <f>SUM(U61:U72)</f>
        <v>883990</v>
      </c>
      <c r="V73" s="28">
        <f>SUM(V61:V72)</f>
        <v>915762</v>
      </c>
      <c r="W73" s="28">
        <f>SUM(W61:W72)</f>
        <v>967402</v>
      </c>
      <c r="X73" s="28">
        <f>SUM(X61:X72)</f>
        <v>1037299</v>
      </c>
      <c r="Y73" s="28">
        <f>SUM(Y61:Y72)</f>
        <v>1097733</v>
      </c>
      <c r="Z73" s="28">
        <f>SUM(Z61:Z72)</f>
        <v>1141055</v>
      </c>
      <c r="AA73" s="29">
        <f>SUM(AA61:AA72)</f>
        <v>1201217</v>
      </c>
      <c r="AB73" s="29">
        <f>SUM(AB61:AB72)</f>
        <v>10005000</v>
      </c>
      <c r="AC73" s="30">
        <f>SUM(AC61:AC72)</f>
        <v>33000000</v>
      </c>
      <c r="AD73" s="30">
        <f>SUM(AD61:AD72)</f>
        <v>70000000</v>
      </c>
      <c r="AE73" s="30">
        <f>SUM(AE61:AE72)</f>
        <v>156000000</v>
      </c>
      <c r="AF73" s="28">
        <f>SUM(AF61:AF72)</f>
        <v>270206217</v>
      </c>
    </row>
    <row r="74">
      <c r="A74" s="2" t="inlineStr">
        <is>
          <t>검증: 카테고리 × 제품 합계 − 제품 합계(0이어야 함)</t>
        </is>
      </c>
      <c r="C74" s="60">
        <f>C73-C15</f>
        <v>0</v>
      </c>
      <c r="D74" s="60">
        <f>D73-D15</f>
        <v>0</v>
      </c>
      <c r="E74" s="60">
        <f>E73-E15</f>
        <v>0</v>
      </c>
      <c r="F74" s="60">
        <f>F73-F15</f>
        <v>0</v>
      </c>
      <c r="G74" s="60">
        <f>G73-G15</f>
        <v>0</v>
      </c>
      <c r="H74" s="60">
        <f>H73-H15</f>
        <v>0</v>
      </c>
      <c r="I74" s="60">
        <f>I73-I15</f>
        <v>0</v>
      </c>
      <c r="J74" s="60">
        <f>J73-J15</f>
        <v>0</v>
      </c>
      <c r="K74" s="60">
        <f>K73-K15</f>
        <v>0</v>
      </c>
      <c r="L74" s="60">
        <f>L73-L15</f>
        <v>0</v>
      </c>
      <c r="M74" s="60">
        <f>M73-M15</f>
        <v>0</v>
      </c>
      <c r="N74" s="60">
        <f>N73-N15</f>
        <v>0</v>
      </c>
      <c r="O74" s="60">
        <f>O73-O15</f>
        <v>0</v>
      </c>
      <c r="P74" s="60">
        <f>P73-P15</f>
        <v>0</v>
      </c>
      <c r="Q74" s="60">
        <f>Q73-Q15</f>
        <v>0</v>
      </c>
      <c r="R74" s="60">
        <f>R73-R15</f>
        <v>0</v>
      </c>
      <c r="S74" s="60">
        <f>S73-S15</f>
        <v>0</v>
      </c>
      <c r="T74" s="60">
        <f>T73-T15</f>
        <v>0</v>
      </c>
      <c r="U74" s="60">
        <f>U73-U15</f>
        <v>0</v>
      </c>
      <c r="V74" s="60">
        <f>V73-V15</f>
        <v>0</v>
      </c>
      <c r="W74" s="60">
        <f>W73-W15</f>
        <v>0</v>
      </c>
      <c r="X74" s="60">
        <f>X73-X15</f>
        <v>0</v>
      </c>
      <c r="Y74" s="60">
        <f>Y73-Y15</f>
        <v>0</v>
      </c>
      <c r="Z74" s="60">
        <f>Z73-Z15</f>
        <v>0</v>
      </c>
      <c r="AA74" s="60">
        <f>AA73-AA15</f>
        <v>0</v>
      </c>
      <c r="AB74" s="60">
        <f>AB73-AB15</f>
        <v>0</v>
      </c>
      <c r="AC74" s="60">
        <f>AC73-AC15</f>
        <v>0</v>
      </c>
      <c r="AD74" s="60">
        <f>AD73-AD15</f>
        <v>0</v>
      </c>
      <c r="AE74" s="60">
        <f>AE73-AE15</f>
        <v>0</v>
      </c>
      <c r="AF74" s="60">
        <f>AF73-AF15</f>
        <v>0</v>
      </c>
    </row>
    <row r="77">
      <c r="A77" s="3" t="inlineStr">
        <is>
          <t>H. 믹스 매트릭스(계산용) — 거래처 행 × (제품 × 연도) 비중 = 8_가정 프로파일 조회</t>
        </is>
      </c>
    </row>
    <row r="78">
      <c r="C78" s="22" t="inlineStr">
        <is>
          <t>P1</t>
        </is>
      </c>
      <c r="D78" s="22" t="inlineStr">
        <is>
          <t>P1</t>
        </is>
      </c>
      <c r="E78" s="22" t="inlineStr">
        <is>
          <t>P1</t>
        </is>
      </c>
      <c r="F78" s="22" t="inlineStr">
        <is>
          <t>P1</t>
        </is>
      </c>
      <c r="G78" s="22" t="inlineStr">
        <is>
          <t>P1</t>
        </is>
      </c>
      <c r="H78" s="22" t="inlineStr">
        <is>
          <t>P2</t>
        </is>
      </c>
      <c r="I78" s="22" t="inlineStr">
        <is>
          <t>P2</t>
        </is>
      </c>
      <c r="J78" s="22" t="inlineStr">
        <is>
          <t>P2</t>
        </is>
      </c>
      <c r="K78" s="22" t="inlineStr">
        <is>
          <t>P2</t>
        </is>
      </c>
      <c r="L78" s="22" t="inlineStr">
        <is>
          <t>P2</t>
        </is>
      </c>
      <c r="M78" s="22" t="inlineStr">
        <is>
          <t>P3</t>
        </is>
      </c>
      <c r="N78" s="22" t="inlineStr">
        <is>
          <t>P3</t>
        </is>
      </c>
      <c r="O78" s="22" t="inlineStr">
        <is>
          <t>P3</t>
        </is>
      </c>
      <c r="P78" s="22" t="inlineStr">
        <is>
          <t>P3</t>
        </is>
      </c>
      <c r="Q78" s="22" t="inlineStr">
        <is>
          <t>P3</t>
        </is>
      </c>
      <c r="R78" s="22" t="inlineStr">
        <is>
          <t>P4</t>
        </is>
      </c>
      <c r="S78" s="22" t="inlineStr">
        <is>
          <t>P4</t>
        </is>
      </c>
      <c r="T78" s="22" t="inlineStr">
        <is>
          <t>P4</t>
        </is>
      </c>
      <c r="U78" s="22" t="inlineStr">
        <is>
          <t>P4</t>
        </is>
      </c>
      <c r="V78" s="22" t="inlineStr">
        <is>
          <t>P4</t>
        </is>
      </c>
      <c r="W78" s="22" t="inlineStr">
        <is>
          <t>P5</t>
        </is>
      </c>
      <c r="X78" s="22" t="inlineStr">
        <is>
          <t>P5</t>
        </is>
      </c>
      <c r="Y78" s="22" t="inlineStr">
        <is>
          <t>P5</t>
        </is>
      </c>
      <c r="Z78" s="22" t="inlineStr">
        <is>
          <t>P5</t>
        </is>
      </c>
      <c r="AA78" s="22" t="inlineStr">
        <is>
          <t>P5</t>
        </is>
      </c>
      <c r="AB78" s="22" t="inlineStr">
        <is>
          <t>P6</t>
        </is>
      </c>
      <c r="AC78" s="22" t="inlineStr">
        <is>
          <t>P6</t>
        </is>
      </c>
      <c r="AD78" s="22" t="inlineStr">
        <is>
          <t>P6</t>
        </is>
      </c>
      <c r="AE78" s="22" t="inlineStr">
        <is>
          <t>P6</t>
        </is>
      </c>
      <c r="AF78" s="22" t="inlineStr">
        <is>
          <t>P6</t>
        </is>
      </c>
    </row>
    <row r="79">
      <c r="C79" s="22" t="n">
        <v>2026</v>
      </c>
      <c r="D79" s="22" t="n">
        <v>2027</v>
      </c>
      <c r="E79" s="22" t="n">
        <v>2028</v>
      </c>
      <c r="F79" s="22" t="n">
        <v>2029</v>
      </c>
      <c r="G79" s="22" t="n">
        <v>2030</v>
      </c>
      <c r="H79" s="22" t="n">
        <v>2026</v>
      </c>
      <c r="I79" s="22" t="n">
        <v>2027</v>
      </c>
      <c r="J79" s="22" t="n">
        <v>2028</v>
      </c>
      <c r="K79" s="22" t="n">
        <v>2029</v>
      </c>
      <c r="L79" s="22" t="n">
        <v>2030</v>
      </c>
      <c r="M79" s="22" t="n">
        <v>2026</v>
      </c>
      <c r="N79" s="22" t="n">
        <v>2027</v>
      </c>
      <c r="O79" s="22" t="n">
        <v>2028</v>
      </c>
      <c r="P79" s="22" t="n">
        <v>2029</v>
      </c>
      <c r="Q79" s="22" t="n">
        <v>2030</v>
      </c>
      <c r="R79" s="22" t="n">
        <v>2026</v>
      </c>
      <c r="S79" s="22" t="n">
        <v>2027</v>
      </c>
      <c r="T79" s="22" t="n">
        <v>2028</v>
      </c>
      <c r="U79" s="22" t="n">
        <v>2029</v>
      </c>
      <c r="V79" s="22" t="n">
        <v>2030</v>
      </c>
      <c r="W79" s="22" t="n">
        <v>2026</v>
      </c>
      <c r="X79" s="22" t="n">
        <v>2027</v>
      </c>
      <c r="Y79" s="22" t="n">
        <v>2028</v>
      </c>
      <c r="Z79" s="22" t="n">
        <v>2029</v>
      </c>
      <c r="AA79" s="22" t="n">
        <v>2030</v>
      </c>
      <c r="AB79" s="22" t="n">
        <v>2026</v>
      </c>
      <c r="AC79" s="22" t="n">
        <v>2027</v>
      </c>
      <c r="AD79" s="22" t="n">
        <v>2028</v>
      </c>
      <c r="AE79" s="22" t="n">
        <v>2029</v>
      </c>
      <c r="AF79" s="22" t="n">
        <v>2030</v>
      </c>
    </row>
    <row r="80">
      <c r="A80" s="77" t="str">
        <f>'4_매출_거래처'!D10</f>
        <v>네이버(Bebefit/Monit) — 베이비</v>
      </c>
      <c r="B80" s="77" t="str">
        <f>'4_매출_거래처'!I10</f>
        <v>BABY</v>
      </c>
      <c r="C80" s="78">
        <f>INDEX('8_가정'!$C$47:$C$88,MATCH($B80&amp;"|P1",'8_가정'!$A$47:$A$88,0))</f>
        <v>0.85</v>
      </c>
      <c r="D80" s="78">
        <f>INDEX('8_가정'!$D$47:$D$88,MATCH($B80&amp;"|P1",'8_가정'!$A$47:$A$88,0))</f>
        <v>0.85</v>
      </c>
      <c r="E80" s="78">
        <f>INDEX('8_가정'!$E$47:$E$88,MATCH($B80&amp;"|P1",'8_가정'!$A$47:$A$88,0))</f>
        <v>0.85</v>
      </c>
      <c r="F80" s="78">
        <f>INDEX('8_가정'!$F$47:$F$88,MATCH($B80&amp;"|P1",'8_가정'!$A$47:$A$88,0))</f>
        <v>0.85</v>
      </c>
      <c r="G80" s="78">
        <f>INDEX('8_가정'!$G$47:$G$88,MATCH($B80&amp;"|P1",'8_가정'!$A$47:$A$88,0))</f>
        <v>0.85</v>
      </c>
      <c r="H80" s="78">
        <f>INDEX('8_가정'!$C$47:$C$88,MATCH($B80&amp;"|P2",'8_가정'!$A$47:$A$88,0))</f>
        <v>0.05</v>
      </c>
      <c r="I80" s="78">
        <f>INDEX('8_가정'!$D$47:$D$88,MATCH($B80&amp;"|P2",'8_가정'!$A$47:$A$88,0))</f>
        <v>0.05</v>
      </c>
      <c r="J80" s="78">
        <f>INDEX('8_가정'!$E$47:$E$88,MATCH($B80&amp;"|P2",'8_가정'!$A$47:$A$88,0))</f>
        <v>0.05</v>
      </c>
      <c r="K80" s="78">
        <f>INDEX('8_가정'!$F$47:$F$88,MATCH($B80&amp;"|P2",'8_가정'!$A$47:$A$88,0))</f>
        <v>0.05</v>
      </c>
      <c r="L80" s="78">
        <f>INDEX('8_가정'!$G$47:$G$88,MATCH($B80&amp;"|P2",'8_가정'!$A$47:$A$88,0))</f>
        <v>0.05</v>
      </c>
      <c r="M80" s="78">
        <f>INDEX('8_가정'!$C$47:$C$88,MATCH($B80&amp;"|P3",'8_가정'!$A$47:$A$88,0))</f>
        <v>0.1</v>
      </c>
      <c r="N80" s="78">
        <f>INDEX('8_가정'!$D$47:$D$88,MATCH($B80&amp;"|P3",'8_가정'!$A$47:$A$88,0))</f>
        <v>0.1</v>
      </c>
      <c r="O80" s="78">
        <f>INDEX('8_가정'!$E$47:$E$88,MATCH($B80&amp;"|P3",'8_가정'!$A$47:$A$88,0))</f>
        <v>0.1</v>
      </c>
      <c r="P80" s="78">
        <f>INDEX('8_가정'!$F$47:$F$88,MATCH($B80&amp;"|P3",'8_가정'!$A$47:$A$88,0))</f>
        <v>0.1</v>
      </c>
      <c r="Q80" s="78">
        <f>INDEX('8_가정'!$G$47:$G$88,MATCH($B80&amp;"|P3",'8_가정'!$A$47:$A$88,0))</f>
        <v>0.1</v>
      </c>
      <c r="R80" s="78">
        <f>INDEX('8_가정'!$C$47:$C$88,MATCH($B80&amp;"|P4",'8_가정'!$A$47:$A$88,0))</f>
        <v>0</v>
      </c>
      <c r="S80" s="78">
        <f>INDEX('8_가정'!$D$47:$D$88,MATCH($B80&amp;"|P4",'8_가정'!$A$47:$A$88,0))</f>
        <v>0</v>
      </c>
      <c r="T80" s="78">
        <f>INDEX('8_가정'!$E$47:$E$88,MATCH($B80&amp;"|P4",'8_가정'!$A$47:$A$88,0))</f>
        <v>0</v>
      </c>
      <c r="U80" s="78">
        <f>INDEX('8_가정'!$F$47:$F$88,MATCH($B80&amp;"|P4",'8_가정'!$A$47:$A$88,0))</f>
        <v>0</v>
      </c>
      <c r="V80" s="78">
        <f>INDEX('8_가정'!$G$47:$G$88,MATCH($B80&amp;"|P4",'8_가정'!$A$47:$A$88,0))</f>
        <v>0</v>
      </c>
      <c r="W80" s="78">
        <f>INDEX('8_가정'!$C$47:$C$88,MATCH($B80&amp;"|P5",'8_가정'!$A$47:$A$88,0))</f>
        <v>0</v>
      </c>
      <c r="X80" s="78">
        <f>INDEX('8_가정'!$D$47:$D$88,MATCH($B80&amp;"|P5",'8_가정'!$A$47:$A$88,0))</f>
        <v>0</v>
      </c>
      <c r="Y80" s="78">
        <f>INDEX('8_가정'!$E$47:$E$88,MATCH($B80&amp;"|P5",'8_가정'!$A$47:$A$88,0))</f>
        <v>0</v>
      </c>
      <c r="Z80" s="78">
        <f>INDEX('8_가정'!$F$47:$F$88,MATCH($B80&amp;"|P5",'8_가정'!$A$47:$A$88,0))</f>
        <v>0</v>
      </c>
      <c r="AA80" s="78">
        <f>INDEX('8_가정'!$G$47:$G$88,MATCH($B80&amp;"|P5",'8_가정'!$A$47:$A$88,0))</f>
        <v>0</v>
      </c>
      <c r="AB80" s="78">
        <f>INDEX('8_가정'!$C$47:$C$88,MATCH($B80&amp;"|P6",'8_가정'!$A$47:$A$88,0))</f>
        <v>0</v>
      </c>
      <c r="AC80" s="78">
        <f>INDEX('8_가정'!$D$47:$D$88,MATCH($B80&amp;"|P6",'8_가정'!$A$47:$A$88,0))</f>
        <v>0</v>
      </c>
      <c r="AD80" s="78">
        <f>INDEX('8_가정'!$E$47:$E$88,MATCH($B80&amp;"|P6",'8_가정'!$A$47:$A$88,0))</f>
        <v>0</v>
      </c>
      <c r="AE80" s="78">
        <f>INDEX('8_가정'!$F$47:$F$88,MATCH($B80&amp;"|P6",'8_가정'!$A$47:$A$88,0))</f>
        <v>0</v>
      </c>
      <c r="AF80" s="78">
        <f>INDEX('8_가정'!$G$47:$G$88,MATCH($B80&amp;"|P6",'8_가정'!$A$47:$A$88,0))</f>
        <v>0</v>
      </c>
    </row>
    <row r="81">
      <c r="A81" s="77" t="str">
        <f>'4_매출_거래처'!D11</f>
        <v>네이버(위탁상품) — 베이비</v>
      </c>
      <c r="B81" s="77" t="str">
        <f>'4_매출_거래처'!I11</f>
        <v>BABY</v>
      </c>
      <c r="C81" s="78">
        <f>INDEX('8_가정'!$C$47:$C$88,MATCH($B81&amp;"|P1",'8_가정'!$A$47:$A$88,0))</f>
        <v>0.85</v>
      </c>
      <c r="D81" s="78">
        <f>INDEX('8_가정'!$D$47:$D$88,MATCH($B81&amp;"|P1",'8_가정'!$A$47:$A$88,0))</f>
        <v>0.85</v>
      </c>
      <c r="E81" s="78">
        <f>INDEX('8_가정'!$E$47:$E$88,MATCH($B81&amp;"|P1",'8_가정'!$A$47:$A$88,0))</f>
        <v>0.85</v>
      </c>
      <c r="F81" s="78">
        <f>INDEX('8_가정'!$F$47:$F$88,MATCH($B81&amp;"|P1",'8_가정'!$A$47:$A$88,0))</f>
        <v>0.85</v>
      </c>
      <c r="G81" s="78">
        <f>INDEX('8_가정'!$G$47:$G$88,MATCH($B81&amp;"|P1",'8_가정'!$A$47:$A$88,0))</f>
        <v>0.85</v>
      </c>
      <c r="H81" s="78">
        <f>INDEX('8_가정'!$C$47:$C$88,MATCH($B81&amp;"|P2",'8_가정'!$A$47:$A$88,0))</f>
        <v>0.05</v>
      </c>
      <c r="I81" s="78">
        <f>INDEX('8_가정'!$D$47:$D$88,MATCH($B81&amp;"|P2",'8_가정'!$A$47:$A$88,0))</f>
        <v>0.05</v>
      </c>
      <c r="J81" s="78">
        <f>INDEX('8_가정'!$E$47:$E$88,MATCH($B81&amp;"|P2",'8_가정'!$A$47:$A$88,0))</f>
        <v>0.05</v>
      </c>
      <c r="K81" s="78">
        <f>INDEX('8_가정'!$F$47:$F$88,MATCH($B81&amp;"|P2",'8_가정'!$A$47:$A$88,0))</f>
        <v>0.05</v>
      </c>
      <c r="L81" s="78">
        <f>INDEX('8_가정'!$G$47:$G$88,MATCH($B81&amp;"|P2",'8_가정'!$A$47:$A$88,0))</f>
        <v>0.05</v>
      </c>
      <c r="M81" s="78">
        <f>INDEX('8_가정'!$C$47:$C$88,MATCH($B81&amp;"|P3",'8_가정'!$A$47:$A$88,0))</f>
        <v>0.1</v>
      </c>
      <c r="N81" s="78">
        <f>INDEX('8_가정'!$D$47:$D$88,MATCH($B81&amp;"|P3",'8_가정'!$A$47:$A$88,0))</f>
        <v>0.1</v>
      </c>
      <c r="O81" s="78">
        <f>INDEX('8_가정'!$E$47:$E$88,MATCH($B81&amp;"|P3",'8_가정'!$A$47:$A$88,0))</f>
        <v>0.1</v>
      </c>
      <c r="P81" s="78">
        <f>INDEX('8_가정'!$F$47:$F$88,MATCH($B81&amp;"|P3",'8_가정'!$A$47:$A$88,0))</f>
        <v>0.1</v>
      </c>
      <c r="Q81" s="78">
        <f>INDEX('8_가정'!$G$47:$G$88,MATCH($B81&amp;"|P3",'8_가정'!$A$47:$A$88,0))</f>
        <v>0.1</v>
      </c>
      <c r="R81" s="78">
        <f>INDEX('8_가정'!$C$47:$C$88,MATCH($B81&amp;"|P4",'8_가정'!$A$47:$A$88,0))</f>
        <v>0</v>
      </c>
      <c r="S81" s="78">
        <f>INDEX('8_가정'!$D$47:$D$88,MATCH($B81&amp;"|P4",'8_가정'!$A$47:$A$88,0))</f>
        <v>0</v>
      </c>
      <c r="T81" s="78">
        <f>INDEX('8_가정'!$E$47:$E$88,MATCH($B81&amp;"|P4",'8_가정'!$A$47:$A$88,0))</f>
        <v>0</v>
      </c>
      <c r="U81" s="78">
        <f>INDEX('8_가정'!$F$47:$F$88,MATCH($B81&amp;"|P4",'8_가정'!$A$47:$A$88,0))</f>
        <v>0</v>
      </c>
      <c r="V81" s="78">
        <f>INDEX('8_가정'!$G$47:$G$88,MATCH($B81&amp;"|P4",'8_가정'!$A$47:$A$88,0))</f>
        <v>0</v>
      </c>
      <c r="W81" s="78">
        <f>INDEX('8_가정'!$C$47:$C$88,MATCH($B81&amp;"|P5",'8_가정'!$A$47:$A$88,0))</f>
        <v>0</v>
      </c>
      <c r="X81" s="78">
        <f>INDEX('8_가정'!$D$47:$D$88,MATCH($B81&amp;"|P5",'8_가정'!$A$47:$A$88,0))</f>
        <v>0</v>
      </c>
      <c r="Y81" s="78">
        <f>INDEX('8_가정'!$E$47:$E$88,MATCH($B81&amp;"|P5",'8_가정'!$A$47:$A$88,0))</f>
        <v>0</v>
      </c>
      <c r="Z81" s="78">
        <f>INDEX('8_가정'!$F$47:$F$88,MATCH($B81&amp;"|P5",'8_가정'!$A$47:$A$88,0))</f>
        <v>0</v>
      </c>
      <c r="AA81" s="78">
        <f>INDEX('8_가정'!$G$47:$G$88,MATCH($B81&amp;"|P5",'8_가정'!$A$47:$A$88,0))</f>
        <v>0</v>
      </c>
      <c r="AB81" s="78">
        <f>INDEX('8_가정'!$C$47:$C$88,MATCH($B81&amp;"|P6",'8_가정'!$A$47:$A$88,0))</f>
        <v>0</v>
      </c>
      <c r="AC81" s="78">
        <f>INDEX('8_가정'!$D$47:$D$88,MATCH($B81&amp;"|P6",'8_가정'!$A$47:$A$88,0))</f>
        <v>0</v>
      </c>
      <c r="AD81" s="78">
        <f>INDEX('8_가정'!$E$47:$E$88,MATCH($B81&amp;"|P6",'8_가정'!$A$47:$A$88,0))</f>
        <v>0</v>
      </c>
      <c r="AE81" s="78">
        <f>INDEX('8_가정'!$F$47:$F$88,MATCH($B81&amp;"|P6",'8_가정'!$A$47:$A$88,0))</f>
        <v>0</v>
      </c>
      <c r="AF81" s="78">
        <f>INDEX('8_가정'!$G$47:$G$88,MATCH($B81&amp;"|P6",'8_가정'!$A$47:$A$88,0))</f>
        <v>0</v>
      </c>
    </row>
    <row r="82">
      <c r="A82" s="77" t="str">
        <f>'4_매출_거래처'!D12</f>
        <v>쿠팡 — 베이비</v>
      </c>
      <c r="B82" s="77" t="str">
        <f>'4_매출_거래처'!I12</f>
        <v>BABY</v>
      </c>
      <c r="C82" s="78">
        <f>INDEX('8_가정'!$C$47:$C$88,MATCH($B82&amp;"|P1",'8_가정'!$A$47:$A$88,0))</f>
        <v>0.85</v>
      </c>
      <c r="D82" s="78">
        <f>INDEX('8_가정'!$D$47:$D$88,MATCH($B82&amp;"|P1",'8_가정'!$A$47:$A$88,0))</f>
        <v>0.85</v>
      </c>
      <c r="E82" s="78">
        <f>INDEX('8_가정'!$E$47:$E$88,MATCH($B82&amp;"|P1",'8_가정'!$A$47:$A$88,0))</f>
        <v>0.85</v>
      </c>
      <c r="F82" s="78">
        <f>INDEX('8_가정'!$F$47:$F$88,MATCH($B82&amp;"|P1",'8_가정'!$A$47:$A$88,0))</f>
        <v>0.85</v>
      </c>
      <c r="G82" s="78">
        <f>INDEX('8_가정'!$G$47:$G$88,MATCH($B82&amp;"|P1",'8_가정'!$A$47:$A$88,0))</f>
        <v>0.85</v>
      </c>
      <c r="H82" s="78">
        <f>INDEX('8_가정'!$C$47:$C$88,MATCH($B82&amp;"|P2",'8_가정'!$A$47:$A$88,0))</f>
        <v>0.05</v>
      </c>
      <c r="I82" s="78">
        <f>INDEX('8_가정'!$D$47:$D$88,MATCH($B82&amp;"|P2",'8_가정'!$A$47:$A$88,0))</f>
        <v>0.05</v>
      </c>
      <c r="J82" s="78">
        <f>INDEX('8_가정'!$E$47:$E$88,MATCH($B82&amp;"|P2",'8_가정'!$A$47:$A$88,0))</f>
        <v>0.05</v>
      </c>
      <c r="K82" s="78">
        <f>INDEX('8_가정'!$F$47:$F$88,MATCH($B82&amp;"|P2",'8_가정'!$A$47:$A$88,0))</f>
        <v>0.05</v>
      </c>
      <c r="L82" s="78">
        <f>INDEX('8_가정'!$G$47:$G$88,MATCH($B82&amp;"|P2",'8_가정'!$A$47:$A$88,0))</f>
        <v>0.05</v>
      </c>
      <c r="M82" s="78">
        <f>INDEX('8_가정'!$C$47:$C$88,MATCH($B82&amp;"|P3",'8_가정'!$A$47:$A$88,0))</f>
        <v>0.1</v>
      </c>
      <c r="N82" s="78">
        <f>INDEX('8_가정'!$D$47:$D$88,MATCH($B82&amp;"|P3",'8_가정'!$A$47:$A$88,0))</f>
        <v>0.1</v>
      </c>
      <c r="O82" s="78">
        <f>INDEX('8_가정'!$E$47:$E$88,MATCH($B82&amp;"|P3",'8_가정'!$A$47:$A$88,0))</f>
        <v>0.1</v>
      </c>
      <c r="P82" s="78">
        <f>INDEX('8_가정'!$F$47:$F$88,MATCH($B82&amp;"|P3",'8_가정'!$A$47:$A$88,0))</f>
        <v>0.1</v>
      </c>
      <c r="Q82" s="78">
        <f>INDEX('8_가정'!$G$47:$G$88,MATCH($B82&amp;"|P3",'8_가정'!$A$47:$A$88,0))</f>
        <v>0.1</v>
      </c>
      <c r="R82" s="78">
        <f>INDEX('8_가정'!$C$47:$C$88,MATCH($B82&amp;"|P4",'8_가정'!$A$47:$A$88,0))</f>
        <v>0</v>
      </c>
      <c r="S82" s="78">
        <f>INDEX('8_가정'!$D$47:$D$88,MATCH($B82&amp;"|P4",'8_가정'!$A$47:$A$88,0))</f>
        <v>0</v>
      </c>
      <c r="T82" s="78">
        <f>INDEX('8_가정'!$E$47:$E$88,MATCH($B82&amp;"|P4",'8_가정'!$A$47:$A$88,0))</f>
        <v>0</v>
      </c>
      <c r="U82" s="78">
        <f>INDEX('8_가정'!$F$47:$F$88,MATCH($B82&amp;"|P4",'8_가정'!$A$47:$A$88,0))</f>
        <v>0</v>
      </c>
      <c r="V82" s="78">
        <f>INDEX('8_가정'!$G$47:$G$88,MATCH($B82&amp;"|P4",'8_가정'!$A$47:$A$88,0))</f>
        <v>0</v>
      </c>
      <c r="W82" s="78">
        <f>INDEX('8_가정'!$C$47:$C$88,MATCH($B82&amp;"|P5",'8_가정'!$A$47:$A$88,0))</f>
        <v>0</v>
      </c>
      <c r="X82" s="78">
        <f>INDEX('8_가정'!$D$47:$D$88,MATCH($B82&amp;"|P5",'8_가정'!$A$47:$A$88,0))</f>
        <v>0</v>
      </c>
      <c r="Y82" s="78">
        <f>INDEX('8_가정'!$E$47:$E$88,MATCH($B82&amp;"|P5",'8_가정'!$A$47:$A$88,0))</f>
        <v>0</v>
      </c>
      <c r="Z82" s="78">
        <f>INDEX('8_가정'!$F$47:$F$88,MATCH($B82&amp;"|P5",'8_가정'!$A$47:$A$88,0))</f>
        <v>0</v>
      </c>
      <c r="AA82" s="78">
        <f>INDEX('8_가정'!$G$47:$G$88,MATCH($B82&amp;"|P5",'8_가정'!$A$47:$A$88,0))</f>
        <v>0</v>
      </c>
      <c r="AB82" s="78">
        <f>INDEX('8_가정'!$C$47:$C$88,MATCH($B82&amp;"|P6",'8_가정'!$A$47:$A$88,0))</f>
        <v>0</v>
      </c>
      <c r="AC82" s="78">
        <f>INDEX('8_가정'!$D$47:$D$88,MATCH($B82&amp;"|P6",'8_가정'!$A$47:$A$88,0))</f>
        <v>0</v>
      </c>
      <c r="AD82" s="78">
        <f>INDEX('8_가정'!$E$47:$E$88,MATCH($B82&amp;"|P6",'8_가정'!$A$47:$A$88,0))</f>
        <v>0</v>
      </c>
      <c r="AE82" s="78">
        <f>INDEX('8_가정'!$F$47:$F$88,MATCH($B82&amp;"|P6",'8_가정'!$A$47:$A$88,0))</f>
        <v>0</v>
      </c>
      <c r="AF82" s="78">
        <f>INDEX('8_가정'!$G$47:$G$88,MATCH($B82&amp;"|P6",'8_가정'!$A$47:$A$88,0))</f>
        <v>0</v>
      </c>
    </row>
    <row r="83">
      <c r="A83" s="77" t="str">
        <f>'4_매출_거래처'!D13</f>
        <v>기타 B2C — 베이비</v>
      </c>
      <c r="B83" s="77" t="str">
        <f>'4_매출_거래처'!I13</f>
        <v>BABY</v>
      </c>
      <c r="C83" s="78">
        <f>INDEX('8_가정'!$C$47:$C$88,MATCH($B83&amp;"|P1",'8_가정'!$A$47:$A$88,0))</f>
        <v>0.85</v>
      </c>
      <c r="D83" s="78">
        <f>INDEX('8_가정'!$D$47:$D$88,MATCH($B83&amp;"|P1",'8_가정'!$A$47:$A$88,0))</f>
        <v>0.85</v>
      </c>
      <c r="E83" s="78">
        <f>INDEX('8_가정'!$E$47:$E$88,MATCH($B83&amp;"|P1",'8_가정'!$A$47:$A$88,0))</f>
        <v>0.85</v>
      </c>
      <c r="F83" s="78">
        <f>INDEX('8_가정'!$F$47:$F$88,MATCH($B83&amp;"|P1",'8_가정'!$A$47:$A$88,0))</f>
        <v>0.85</v>
      </c>
      <c r="G83" s="78">
        <f>INDEX('8_가정'!$G$47:$G$88,MATCH($B83&amp;"|P1",'8_가정'!$A$47:$A$88,0))</f>
        <v>0.85</v>
      </c>
      <c r="H83" s="78">
        <f>INDEX('8_가정'!$C$47:$C$88,MATCH($B83&amp;"|P2",'8_가정'!$A$47:$A$88,0))</f>
        <v>0.05</v>
      </c>
      <c r="I83" s="78">
        <f>INDEX('8_가정'!$D$47:$D$88,MATCH($B83&amp;"|P2",'8_가정'!$A$47:$A$88,0))</f>
        <v>0.05</v>
      </c>
      <c r="J83" s="78">
        <f>INDEX('8_가정'!$E$47:$E$88,MATCH($B83&amp;"|P2",'8_가정'!$A$47:$A$88,0))</f>
        <v>0.05</v>
      </c>
      <c r="K83" s="78">
        <f>INDEX('8_가정'!$F$47:$F$88,MATCH($B83&amp;"|P2",'8_가정'!$A$47:$A$88,0))</f>
        <v>0.05</v>
      </c>
      <c r="L83" s="78">
        <f>INDEX('8_가정'!$G$47:$G$88,MATCH($B83&amp;"|P2",'8_가정'!$A$47:$A$88,0))</f>
        <v>0.05</v>
      </c>
      <c r="M83" s="78">
        <f>INDEX('8_가정'!$C$47:$C$88,MATCH($B83&amp;"|P3",'8_가정'!$A$47:$A$88,0))</f>
        <v>0.1</v>
      </c>
      <c r="N83" s="78">
        <f>INDEX('8_가정'!$D$47:$D$88,MATCH($B83&amp;"|P3",'8_가정'!$A$47:$A$88,0))</f>
        <v>0.1</v>
      </c>
      <c r="O83" s="78">
        <f>INDEX('8_가정'!$E$47:$E$88,MATCH($B83&amp;"|P3",'8_가정'!$A$47:$A$88,0))</f>
        <v>0.1</v>
      </c>
      <c r="P83" s="78">
        <f>INDEX('8_가정'!$F$47:$F$88,MATCH($B83&amp;"|P3",'8_가정'!$A$47:$A$88,0))</f>
        <v>0.1</v>
      </c>
      <c r="Q83" s="78">
        <f>INDEX('8_가정'!$G$47:$G$88,MATCH($B83&amp;"|P3",'8_가정'!$A$47:$A$88,0))</f>
        <v>0.1</v>
      </c>
      <c r="R83" s="78">
        <f>INDEX('8_가정'!$C$47:$C$88,MATCH($B83&amp;"|P4",'8_가정'!$A$47:$A$88,0))</f>
        <v>0</v>
      </c>
      <c r="S83" s="78">
        <f>INDEX('8_가정'!$D$47:$D$88,MATCH($B83&amp;"|P4",'8_가정'!$A$47:$A$88,0))</f>
        <v>0</v>
      </c>
      <c r="T83" s="78">
        <f>INDEX('8_가정'!$E$47:$E$88,MATCH($B83&amp;"|P4",'8_가정'!$A$47:$A$88,0))</f>
        <v>0</v>
      </c>
      <c r="U83" s="78">
        <f>INDEX('8_가정'!$F$47:$F$88,MATCH($B83&amp;"|P4",'8_가정'!$A$47:$A$88,0))</f>
        <v>0</v>
      </c>
      <c r="V83" s="78">
        <f>INDEX('8_가정'!$G$47:$G$88,MATCH($B83&amp;"|P4",'8_가정'!$A$47:$A$88,0))</f>
        <v>0</v>
      </c>
      <c r="W83" s="78">
        <f>INDEX('8_가정'!$C$47:$C$88,MATCH($B83&amp;"|P5",'8_가정'!$A$47:$A$88,0))</f>
        <v>0</v>
      </c>
      <c r="X83" s="78">
        <f>INDEX('8_가정'!$D$47:$D$88,MATCH($B83&amp;"|P5",'8_가정'!$A$47:$A$88,0))</f>
        <v>0</v>
      </c>
      <c r="Y83" s="78">
        <f>INDEX('8_가정'!$E$47:$E$88,MATCH($B83&amp;"|P5",'8_가정'!$A$47:$A$88,0))</f>
        <v>0</v>
      </c>
      <c r="Z83" s="78">
        <f>INDEX('8_가정'!$F$47:$F$88,MATCH($B83&amp;"|P5",'8_가정'!$A$47:$A$88,0))</f>
        <v>0</v>
      </c>
      <c r="AA83" s="78">
        <f>INDEX('8_가정'!$G$47:$G$88,MATCH($B83&amp;"|P5",'8_가정'!$A$47:$A$88,0))</f>
        <v>0</v>
      </c>
      <c r="AB83" s="78">
        <f>INDEX('8_가정'!$C$47:$C$88,MATCH($B83&amp;"|P6",'8_가정'!$A$47:$A$88,0))</f>
        <v>0</v>
      </c>
      <c r="AC83" s="78">
        <f>INDEX('8_가정'!$D$47:$D$88,MATCH($B83&amp;"|P6",'8_가정'!$A$47:$A$88,0))</f>
        <v>0</v>
      </c>
      <c r="AD83" s="78">
        <f>INDEX('8_가정'!$E$47:$E$88,MATCH($B83&amp;"|P6",'8_가정'!$A$47:$A$88,0))</f>
        <v>0</v>
      </c>
      <c r="AE83" s="78">
        <f>INDEX('8_가정'!$F$47:$F$88,MATCH($B83&amp;"|P6",'8_가정'!$A$47:$A$88,0))</f>
        <v>0</v>
      </c>
      <c r="AF83" s="78">
        <f>INDEX('8_가정'!$G$47:$G$88,MATCH($B83&amp;"|P6",'8_가정'!$A$47:$A$88,0))</f>
        <v>0</v>
      </c>
    </row>
    <row r="84">
      <c r="A84" s="77" t="str">
        <f>'4_매출_거래처'!D14</f>
        <v>B2B(국내) — 베이비</v>
      </c>
      <c r="B84" s="77" t="str">
        <f>'4_매출_거래처'!I14</f>
        <v>BABY</v>
      </c>
      <c r="C84" s="78">
        <f>INDEX('8_가정'!$C$47:$C$88,MATCH($B84&amp;"|P1",'8_가정'!$A$47:$A$88,0))</f>
        <v>0.85</v>
      </c>
      <c r="D84" s="78">
        <f>INDEX('8_가정'!$D$47:$D$88,MATCH($B84&amp;"|P1",'8_가정'!$A$47:$A$88,0))</f>
        <v>0.85</v>
      </c>
      <c r="E84" s="78">
        <f>INDEX('8_가정'!$E$47:$E$88,MATCH($B84&amp;"|P1",'8_가정'!$A$47:$A$88,0))</f>
        <v>0.85</v>
      </c>
      <c r="F84" s="78">
        <f>INDEX('8_가정'!$F$47:$F$88,MATCH($B84&amp;"|P1",'8_가정'!$A$47:$A$88,0))</f>
        <v>0.85</v>
      </c>
      <c r="G84" s="78">
        <f>INDEX('8_가정'!$G$47:$G$88,MATCH($B84&amp;"|P1",'8_가정'!$A$47:$A$88,0))</f>
        <v>0.85</v>
      </c>
      <c r="H84" s="78">
        <f>INDEX('8_가정'!$C$47:$C$88,MATCH($B84&amp;"|P2",'8_가정'!$A$47:$A$88,0))</f>
        <v>0.05</v>
      </c>
      <c r="I84" s="78">
        <f>INDEX('8_가정'!$D$47:$D$88,MATCH($B84&amp;"|P2",'8_가정'!$A$47:$A$88,0))</f>
        <v>0.05</v>
      </c>
      <c r="J84" s="78">
        <f>INDEX('8_가정'!$E$47:$E$88,MATCH($B84&amp;"|P2",'8_가정'!$A$47:$A$88,0))</f>
        <v>0.05</v>
      </c>
      <c r="K84" s="78">
        <f>INDEX('8_가정'!$F$47:$F$88,MATCH($B84&amp;"|P2",'8_가정'!$A$47:$A$88,0))</f>
        <v>0.05</v>
      </c>
      <c r="L84" s="78">
        <f>INDEX('8_가정'!$G$47:$G$88,MATCH($B84&amp;"|P2",'8_가정'!$A$47:$A$88,0))</f>
        <v>0.05</v>
      </c>
      <c r="M84" s="78">
        <f>INDEX('8_가정'!$C$47:$C$88,MATCH($B84&amp;"|P3",'8_가정'!$A$47:$A$88,0))</f>
        <v>0.1</v>
      </c>
      <c r="N84" s="78">
        <f>INDEX('8_가정'!$D$47:$D$88,MATCH($B84&amp;"|P3",'8_가정'!$A$47:$A$88,0))</f>
        <v>0.1</v>
      </c>
      <c r="O84" s="78">
        <f>INDEX('8_가정'!$E$47:$E$88,MATCH($B84&amp;"|P3",'8_가정'!$A$47:$A$88,0))</f>
        <v>0.1</v>
      </c>
      <c r="P84" s="78">
        <f>INDEX('8_가정'!$F$47:$F$88,MATCH($B84&amp;"|P3",'8_가정'!$A$47:$A$88,0))</f>
        <v>0.1</v>
      </c>
      <c r="Q84" s="78">
        <f>INDEX('8_가정'!$G$47:$G$88,MATCH($B84&amp;"|P3",'8_가정'!$A$47:$A$88,0))</f>
        <v>0.1</v>
      </c>
      <c r="R84" s="78">
        <f>INDEX('8_가정'!$C$47:$C$88,MATCH($B84&amp;"|P4",'8_가정'!$A$47:$A$88,0))</f>
        <v>0</v>
      </c>
      <c r="S84" s="78">
        <f>INDEX('8_가정'!$D$47:$D$88,MATCH($B84&amp;"|P4",'8_가정'!$A$47:$A$88,0))</f>
        <v>0</v>
      </c>
      <c r="T84" s="78">
        <f>INDEX('8_가정'!$E$47:$E$88,MATCH($B84&amp;"|P4",'8_가정'!$A$47:$A$88,0))</f>
        <v>0</v>
      </c>
      <c r="U84" s="78">
        <f>INDEX('8_가정'!$F$47:$F$88,MATCH($B84&amp;"|P4",'8_가정'!$A$47:$A$88,0))</f>
        <v>0</v>
      </c>
      <c r="V84" s="78">
        <f>INDEX('8_가정'!$G$47:$G$88,MATCH($B84&amp;"|P4",'8_가정'!$A$47:$A$88,0))</f>
        <v>0</v>
      </c>
      <c r="W84" s="78">
        <f>INDEX('8_가정'!$C$47:$C$88,MATCH($B84&amp;"|P5",'8_가정'!$A$47:$A$88,0))</f>
        <v>0</v>
      </c>
      <c r="X84" s="78">
        <f>INDEX('8_가정'!$D$47:$D$88,MATCH($B84&amp;"|P5",'8_가정'!$A$47:$A$88,0))</f>
        <v>0</v>
      </c>
      <c r="Y84" s="78">
        <f>INDEX('8_가정'!$E$47:$E$88,MATCH($B84&amp;"|P5",'8_가정'!$A$47:$A$88,0))</f>
        <v>0</v>
      </c>
      <c r="Z84" s="78">
        <f>INDEX('8_가정'!$F$47:$F$88,MATCH($B84&amp;"|P5",'8_가정'!$A$47:$A$88,0))</f>
        <v>0</v>
      </c>
      <c r="AA84" s="78">
        <f>INDEX('8_가정'!$G$47:$G$88,MATCH($B84&amp;"|P5",'8_가정'!$A$47:$A$88,0))</f>
        <v>0</v>
      </c>
      <c r="AB84" s="78">
        <f>INDEX('8_가정'!$C$47:$C$88,MATCH($B84&amp;"|P6",'8_가정'!$A$47:$A$88,0))</f>
        <v>0</v>
      </c>
      <c r="AC84" s="78">
        <f>INDEX('8_가정'!$D$47:$D$88,MATCH($B84&amp;"|P6",'8_가정'!$A$47:$A$88,0))</f>
        <v>0</v>
      </c>
      <c r="AD84" s="78">
        <f>INDEX('8_가정'!$E$47:$E$88,MATCH($B84&amp;"|P6",'8_가정'!$A$47:$A$88,0))</f>
        <v>0</v>
      </c>
      <c r="AE84" s="78">
        <f>INDEX('8_가정'!$F$47:$F$88,MATCH($B84&amp;"|P6",'8_가정'!$A$47:$A$88,0))</f>
        <v>0</v>
      </c>
      <c r="AF84" s="78">
        <f>INDEX('8_가정'!$G$47:$G$88,MATCH($B84&amp;"|P6",'8_가정'!$A$47:$A$88,0))</f>
        <v>0</v>
      </c>
    </row>
    <row r="85">
      <c r="A85" s="77" t="str">
        <f>'4_매출_거래처'!D15</f>
        <v>APP KOREA — 유아(스마트 베이비 기저귀)</v>
      </c>
      <c r="B85" s="77" t="str">
        <f>'4_매출_거래처'!I15</f>
        <v>BABY</v>
      </c>
      <c r="C85" s="78">
        <f>INDEX('8_가정'!$C$47:$C$88,MATCH($B85&amp;"|P1",'8_가정'!$A$47:$A$88,0))</f>
        <v>0.85</v>
      </c>
      <c r="D85" s="78">
        <f>INDEX('8_가정'!$D$47:$D$88,MATCH($B85&amp;"|P1",'8_가정'!$A$47:$A$88,0))</f>
        <v>0.85</v>
      </c>
      <c r="E85" s="78">
        <f>INDEX('8_가정'!$E$47:$E$88,MATCH($B85&amp;"|P1",'8_가정'!$A$47:$A$88,0))</f>
        <v>0.85</v>
      </c>
      <c r="F85" s="78">
        <f>INDEX('8_가정'!$F$47:$F$88,MATCH($B85&amp;"|P1",'8_가정'!$A$47:$A$88,0))</f>
        <v>0.85</v>
      </c>
      <c r="G85" s="78">
        <f>INDEX('8_가정'!$G$47:$G$88,MATCH($B85&amp;"|P1",'8_가정'!$A$47:$A$88,0))</f>
        <v>0.85</v>
      </c>
      <c r="H85" s="78">
        <f>INDEX('8_가정'!$C$47:$C$88,MATCH($B85&amp;"|P2",'8_가정'!$A$47:$A$88,0))</f>
        <v>0.05</v>
      </c>
      <c r="I85" s="78">
        <f>INDEX('8_가정'!$D$47:$D$88,MATCH($B85&amp;"|P2",'8_가정'!$A$47:$A$88,0))</f>
        <v>0.05</v>
      </c>
      <c r="J85" s="78">
        <f>INDEX('8_가정'!$E$47:$E$88,MATCH($B85&amp;"|P2",'8_가정'!$A$47:$A$88,0))</f>
        <v>0.05</v>
      </c>
      <c r="K85" s="78">
        <f>INDEX('8_가정'!$F$47:$F$88,MATCH($B85&amp;"|P2",'8_가정'!$A$47:$A$88,0))</f>
        <v>0.05</v>
      </c>
      <c r="L85" s="78">
        <f>INDEX('8_가정'!$G$47:$G$88,MATCH($B85&amp;"|P2",'8_가정'!$A$47:$A$88,0))</f>
        <v>0.05</v>
      </c>
      <c r="M85" s="78">
        <f>INDEX('8_가정'!$C$47:$C$88,MATCH($B85&amp;"|P3",'8_가정'!$A$47:$A$88,0))</f>
        <v>0.1</v>
      </c>
      <c r="N85" s="78">
        <f>INDEX('8_가정'!$D$47:$D$88,MATCH($B85&amp;"|P3",'8_가정'!$A$47:$A$88,0))</f>
        <v>0.1</v>
      </c>
      <c r="O85" s="78">
        <f>INDEX('8_가정'!$E$47:$E$88,MATCH($B85&amp;"|P3",'8_가정'!$A$47:$A$88,0))</f>
        <v>0.1</v>
      </c>
      <c r="P85" s="78">
        <f>INDEX('8_가정'!$F$47:$F$88,MATCH($B85&amp;"|P3",'8_가정'!$A$47:$A$88,0))</f>
        <v>0.1</v>
      </c>
      <c r="Q85" s="78">
        <f>INDEX('8_가정'!$G$47:$G$88,MATCH($B85&amp;"|P3",'8_가정'!$A$47:$A$88,0))</f>
        <v>0.1</v>
      </c>
      <c r="R85" s="78">
        <f>INDEX('8_가정'!$C$47:$C$88,MATCH($B85&amp;"|P4",'8_가정'!$A$47:$A$88,0))</f>
        <v>0</v>
      </c>
      <c r="S85" s="78">
        <f>INDEX('8_가정'!$D$47:$D$88,MATCH($B85&amp;"|P4",'8_가정'!$A$47:$A$88,0))</f>
        <v>0</v>
      </c>
      <c r="T85" s="78">
        <f>INDEX('8_가정'!$E$47:$E$88,MATCH($B85&amp;"|P4",'8_가정'!$A$47:$A$88,0))</f>
        <v>0</v>
      </c>
      <c r="U85" s="78">
        <f>INDEX('8_가정'!$F$47:$F$88,MATCH($B85&amp;"|P4",'8_가정'!$A$47:$A$88,0))</f>
        <v>0</v>
      </c>
      <c r="V85" s="78">
        <f>INDEX('8_가정'!$G$47:$G$88,MATCH($B85&amp;"|P4",'8_가정'!$A$47:$A$88,0))</f>
        <v>0</v>
      </c>
      <c r="W85" s="78">
        <f>INDEX('8_가정'!$C$47:$C$88,MATCH($B85&amp;"|P5",'8_가정'!$A$47:$A$88,0))</f>
        <v>0</v>
      </c>
      <c r="X85" s="78">
        <f>INDEX('8_가정'!$D$47:$D$88,MATCH($B85&amp;"|P5",'8_가정'!$A$47:$A$88,0))</f>
        <v>0</v>
      </c>
      <c r="Y85" s="78">
        <f>INDEX('8_가정'!$E$47:$E$88,MATCH($B85&amp;"|P5",'8_가정'!$A$47:$A$88,0))</f>
        <v>0</v>
      </c>
      <c r="Z85" s="78">
        <f>INDEX('8_가정'!$F$47:$F$88,MATCH($B85&amp;"|P5",'8_가정'!$A$47:$A$88,0))</f>
        <v>0</v>
      </c>
      <c r="AA85" s="78">
        <f>INDEX('8_가정'!$G$47:$G$88,MATCH($B85&amp;"|P5",'8_가정'!$A$47:$A$88,0))</f>
        <v>0</v>
      </c>
      <c r="AB85" s="78">
        <f>INDEX('8_가정'!$C$47:$C$88,MATCH($B85&amp;"|P6",'8_가정'!$A$47:$A$88,0))</f>
        <v>0</v>
      </c>
      <c r="AC85" s="78">
        <f>INDEX('8_가정'!$D$47:$D$88,MATCH($B85&amp;"|P6",'8_가정'!$A$47:$A$88,0))</f>
        <v>0</v>
      </c>
      <c r="AD85" s="78">
        <f>INDEX('8_가정'!$E$47:$E$88,MATCH($B85&amp;"|P6",'8_가정'!$A$47:$A$88,0))</f>
        <v>0</v>
      </c>
      <c r="AE85" s="78">
        <f>INDEX('8_가정'!$F$47:$F$88,MATCH($B85&amp;"|P6",'8_가정'!$A$47:$A$88,0))</f>
        <v>0</v>
      </c>
      <c r="AF85" s="78">
        <f>INDEX('8_가정'!$G$47:$G$88,MATCH($B85&amp;"|P6",'8_가정'!$A$47:$A$88,0))</f>
        <v>0</v>
      </c>
    </row>
    <row r="86">
      <c r="A86" s="77" t="str">
        <f>'4_매출_거래처'!D16</f>
        <v>Little Loft(대만, 베이비)</v>
      </c>
      <c r="B86" s="77" t="str">
        <f>'4_매출_거래처'!I16</f>
        <v>BABY</v>
      </c>
      <c r="C86" s="78">
        <f>INDEX('8_가정'!$C$47:$C$88,MATCH($B86&amp;"|P1",'8_가정'!$A$47:$A$88,0))</f>
        <v>0.85</v>
      </c>
      <c r="D86" s="78">
        <f>INDEX('8_가정'!$D$47:$D$88,MATCH($B86&amp;"|P1",'8_가정'!$A$47:$A$88,0))</f>
        <v>0.85</v>
      </c>
      <c r="E86" s="78">
        <f>INDEX('8_가정'!$E$47:$E$88,MATCH($B86&amp;"|P1",'8_가정'!$A$47:$A$88,0))</f>
        <v>0.85</v>
      </c>
      <c r="F86" s="78">
        <f>INDEX('8_가정'!$F$47:$F$88,MATCH($B86&amp;"|P1",'8_가정'!$A$47:$A$88,0))</f>
        <v>0.85</v>
      </c>
      <c r="G86" s="78">
        <f>INDEX('8_가정'!$G$47:$G$88,MATCH($B86&amp;"|P1",'8_가정'!$A$47:$A$88,0))</f>
        <v>0.85</v>
      </c>
      <c r="H86" s="78">
        <f>INDEX('8_가정'!$C$47:$C$88,MATCH($B86&amp;"|P2",'8_가정'!$A$47:$A$88,0))</f>
        <v>0.05</v>
      </c>
      <c r="I86" s="78">
        <f>INDEX('8_가정'!$D$47:$D$88,MATCH($B86&amp;"|P2",'8_가정'!$A$47:$A$88,0))</f>
        <v>0.05</v>
      </c>
      <c r="J86" s="78">
        <f>INDEX('8_가정'!$E$47:$E$88,MATCH($B86&amp;"|P2",'8_가정'!$A$47:$A$88,0))</f>
        <v>0.05</v>
      </c>
      <c r="K86" s="78">
        <f>INDEX('8_가정'!$F$47:$F$88,MATCH($B86&amp;"|P2",'8_가정'!$A$47:$A$88,0))</f>
        <v>0.05</v>
      </c>
      <c r="L86" s="78">
        <f>INDEX('8_가정'!$G$47:$G$88,MATCH($B86&amp;"|P2",'8_가정'!$A$47:$A$88,0))</f>
        <v>0.05</v>
      </c>
      <c r="M86" s="78">
        <f>INDEX('8_가정'!$C$47:$C$88,MATCH($B86&amp;"|P3",'8_가정'!$A$47:$A$88,0))</f>
        <v>0.1</v>
      </c>
      <c r="N86" s="78">
        <f>INDEX('8_가정'!$D$47:$D$88,MATCH($B86&amp;"|P3",'8_가정'!$A$47:$A$88,0))</f>
        <v>0.1</v>
      </c>
      <c r="O86" s="78">
        <f>INDEX('8_가정'!$E$47:$E$88,MATCH($B86&amp;"|P3",'8_가정'!$A$47:$A$88,0))</f>
        <v>0.1</v>
      </c>
      <c r="P86" s="78">
        <f>INDEX('8_가정'!$F$47:$F$88,MATCH($B86&amp;"|P3",'8_가정'!$A$47:$A$88,0))</f>
        <v>0.1</v>
      </c>
      <c r="Q86" s="78">
        <f>INDEX('8_가정'!$G$47:$G$88,MATCH($B86&amp;"|P3",'8_가정'!$A$47:$A$88,0))</f>
        <v>0.1</v>
      </c>
      <c r="R86" s="78">
        <f>INDEX('8_가정'!$C$47:$C$88,MATCH($B86&amp;"|P4",'8_가정'!$A$47:$A$88,0))</f>
        <v>0</v>
      </c>
      <c r="S86" s="78">
        <f>INDEX('8_가정'!$D$47:$D$88,MATCH($B86&amp;"|P4",'8_가정'!$A$47:$A$88,0))</f>
        <v>0</v>
      </c>
      <c r="T86" s="78">
        <f>INDEX('8_가정'!$E$47:$E$88,MATCH($B86&amp;"|P4",'8_가정'!$A$47:$A$88,0))</f>
        <v>0</v>
      </c>
      <c r="U86" s="78">
        <f>INDEX('8_가정'!$F$47:$F$88,MATCH($B86&amp;"|P4",'8_가정'!$A$47:$A$88,0))</f>
        <v>0</v>
      </c>
      <c r="V86" s="78">
        <f>INDEX('8_가정'!$G$47:$G$88,MATCH($B86&amp;"|P4",'8_가정'!$A$47:$A$88,0))</f>
        <v>0</v>
      </c>
      <c r="W86" s="78">
        <f>INDEX('8_가정'!$C$47:$C$88,MATCH($B86&amp;"|P5",'8_가정'!$A$47:$A$88,0))</f>
        <v>0</v>
      </c>
      <c r="X86" s="78">
        <f>INDEX('8_가정'!$D$47:$D$88,MATCH($B86&amp;"|P5",'8_가정'!$A$47:$A$88,0))</f>
        <v>0</v>
      </c>
      <c r="Y86" s="78">
        <f>INDEX('8_가정'!$E$47:$E$88,MATCH($B86&amp;"|P5",'8_가정'!$A$47:$A$88,0))</f>
        <v>0</v>
      </c>
      <c r="Z86" s="78">
        <f>INDEX('8_가정'!$F$47:$F$88,MATCH($B86&amp;"|P5",'8_가정'!$A$47:$A$88,0))</f>
        <v>0</v>
      </c>
      <c r="AA86" s="78">
        <f>INDEX('8_가정'!$G$47:$G$88,MATCH($B86&amp;"|P5",'8_가정'!$A$47:$A$88,0))</f>
        <v>0</v>
      </c>
      <c r="AB86" s="78">
        <f>INDEX('8_가정'!$C$47:$C$88,MATCH($B86&amp;"|P6",'8_가정'!$A$47:$A$88,0))</f>
        <v>0</v>
      </c>
      <c r="AC86" s="78">
        <f>INDEX('8_가정'!$D$47:$D$88,MATCH($B86&amp;"|P6",'8_가정'!$A$47:$A$88,0))</f>
        <v>0</v>
      </c>
      <c r="AD86" s="78">
        <f>INDEX('8_가정'!$E$47:$E$88,MATCH($B86&amp;"|P6",'8_가정'!$A$47:$A$88,0))</f>
        <v>0</v>
      </c>
      <c r="AE86" s="78">
        <f>INDEX('8_가정'!$F$47:$F$88,MATCH($B86&amp;"|P6",'8_가정'!$A$47:$A$88,0))</f>
        <v>0</v>
      </c>
      <c r="AF86" s="78">
        <f>INDEX('8_가정'!$G$47:$G$88,MATCH($B86&amp;"|P6",'8_가정'!$A$47:$A$88,0))</f>
        <v>0</v>
      </c>
    </row>
    <row r="87">
      <c r="A87" s="77" t="str">
        <f>'4_매출_거래처'!D17</f>
        <v>Punnita House(태국, 베이비)</v>
      </c>
      <c r="B87" s="77" t="str">
        <f>'4_매출_거래처'!I17</f>
        <v>BABY</v>
      </c>
      <c r="C87" s="78">
        <f>INDEX('8_가정'!$C$47:$C$88,MATCH($B87&amp;"|P1",'8_가정'!$A$47:$A$88,0))</f>
        <v>0.85</v>
      </c>
      <c r="D87" s="78">
        <f>INDEX('8_가정'!$D$47:$D$88,MATCH($B87&amp;"|P1",'8_가정'!$A$47:$A$88,0))</f>
        <v>0.85</v>
      </c>
      <c r="E87" s="78">
        <f>INDEX('8_가정'!$E$47:$E$88,MATCH($B87&amp;"|P1",'8_가정'!$A$47:$A$88,0))</f>
        <v>0.85</v>
      </c>
      <c r="F87" s="78">
        <f>INDEX('8_가정'!$F$47:$F$88,MATCH($B87&amp;"|P1",'8_가정'!$A$47:$A$88,0))</f>
        <v>0.85</v>
      </c>
      <c r="G87" s="78">
        <f>INDEX('8_가정'!$G$47:$G$88,MATCH($B87&amp;"|P1",'8_가정'!$A$47:$A$88,0))</f>
        <v>0.85</v>
      </c>
      <c r="H87" s="78">
        <f>INDEX('8_가정'!$C$47:$C$88,MATCH($B87&amp;"|P2",'8_가정'!$A$47:$A$88,0))</f>
        <v>0.05</v>
      </c>
      <c r="I87" s="78">
        <f>INDEX('8_가정'!$D$47:$D$88,MATCH($B87&amp;"|P2",'8_가정'!$A$47:$A$88,0))</f>
        <v>0.05</v>
      </c>
      <c r="J87" s="78">
        <f>INDEX('8_가정'!$E$47:$E$88,MATCH($B87&amp;"|P2",'8_가정'!$A$47:$A$88,0))</f>
        <v>0.05</v>
      </c>
      <c r="K87" s="78">
        <f>INDEX('8_가정'!$F$47:$F$88,MATCH($B87&amp;"|P2",'8_가정'!$A$47:$A$88,0))</f>
        <v>0.05</v>
      </c>
      <c r="L87" s="78">
        <f>INDEX('8_가정'!$G$47:$G$88,MATCH($B87&amp;"|P2",'8_가정'!$A$47:$A$88,0))</f>
        <v>0.05</v>
      </c>
      <c r="M87" s="78">
        <f>INDEX('8_가정'!$C$47:$C$88,MATCH($B87&amp;"|P3",'8_가정'!$A$47:$A$88,0))</f>
        <v>0.1</v>
      </c>
      <c r="N87" s="78">
        <f>INDEX('8_가정'!$D$47:$D$88,MATCH($B87&amp;"|P3",'8_가정'!$A$47:$A$88,0))</f>
        <v>0.1</v>
      </c>
      <c r="O87" s="78">
        <f>INDEX('8_가정'!$E$47:$E$88,MATCH($B87&amp;"|P3",'8_가정'!$A$47:$A$88,0))</f>
        <v>0.1</v>
      </c>
      <c r="P87" s="78">
        <f>INDEX('8_가정'!$F$47:$F$88,MATCH($B87&amp;"|P3",'8_가정'!$A$47:$A$88,0))</f>
        <v>0.1</v>
      </c>
      <c r="Q87" s="78">
        <f>INDEX('8_가정'!$G$47:$G$88,MATCH($B87&amp;"|P3",'8_가정'!$A$47:$A$88,0))</f>
        <v>0.1</v>
      </c>
      <c r="R87" s="78">
        <f>INDEX('8_가정'!$C$47:$C$88,MATCH($B87&amp;"|P4",'8_가정'!$A$47:$A$88,0))</f>
        <v>0</v>
      </c>
      <c r="S87" s="78">
        <f>INDEX('8_가정'!$D$47:$D$88,MATCH($B87&amp;"|P4",'8_가정'!$A$47:$A$88,0))</f>
        <v>0</v>
      </c>
      <c r="T87" s="78">
        <f>INDEX('8_가정'!$E$47:$E$88,MATCH($B87&amp;"|P4",'8_가정'!$A$47:$A$88,0))</f>
        <v>0</v>
      </c>
      <c r="U87" s="78">
        <f>INDEX('8_가정'!$F$47:$F$88,MATCH($B87&amp;"|P4",'8_가정'!$A$47:$A$88,0))</f>
        <v>0</v>
      </c>
      <c r="V87" s="78">
        <f>INDEX('8_가정'!$G$47:$G$88,MATCH($B87&amp;"|P4",'8_가정'!$A$47:$A$88,0))</f>
        <v>0</v>
      </c>
      <c r="W87" s="78">
        <f>INDEX('8_가정'!$C$47:$C$88,MATCH($B87&amp;"|P5",'8_가정'!$A$47:$A$88,0))</f>
        <v>0</v>
      </c>
      <c r="X87" s="78">
        <f>INDEX('8_가정'!$D$47:$D$88,MATCH($B87&amp;"|P5",'8_가정'!$A$47:$A$88,0))</f>
        <v>0</v>
      </c>
      <c r="Y87" s="78">
        <f>INDEX('8_가정'!$E$47:$E$88,MATCH($B87&amp;"|P5",'8_가정'!$A$47:$A$88,0))</f>
        <v>0</v>
      </c>
      <c r="Z87" s="78">
        <f>INDEX('8_가정'!$F$47:$F$88,MATCH($B87&amp;"|P5",'8_가정'!$A$47:$A$88,0))</f>
        <v>0</v>
      </c>
      <c r="AA87" s="78">
        <f>INDEX('8_가정'!$G$47:$G$88,MATCH($B87&amp;"|P5",'8_가정'!$A$47:$A$88,0))</f>
        <v>0</v>
      </c>
      <c r="AB87" s="78">
        <f>INDEX('8_가정'!$C$47:$C$88,MATCH($B87&amp;"|P6",'8_가정'!$A$47:$A$88,0))</f>
        <v>0</v>
      </c>
      <c r="AC87" s="78">
        <f>INDEX('8_가정'!$D$47:$D$88,MATCH($B87&amp;"|P6",'8_가정'!$A$47:$A$88,0))</f>
        <v>0</v>
      </c>
      <c r="AD87" s="78">
        <f>INDEX('8_가정'!$E$47:$E$88,MATCH($B87&amp;"|P6",'8_가정'!$A$47:$A$88,0))</f>
        <v>0</v>
      </c>
      <c r="AE87" s="78">
        <f>INDEX('8_가정'!$F$47:$F$88,MATCH($B87&amp;"|P6",'8_가정'!$A$47:$A$88,0))</f>
        <v>0</v>
      </c>
      <c r="AF87" s="78">
        <f>INDEX('8_가정'!$G$47:$G$88,MATCH($B87&amp;"|P6",'8_가정'!$A$47:$A$88,0))</f>
        <v>0</v>
      </c>
    </row>
    <row r="88">
      <c r="A88" s="77" t="str">
        <f>'4_매출_거래처'!D18</f>
        <v>신규 거래선-1 Swara Baby(베이비)</v>
      </c>
      <c r="B88" s="77" t="str">
        <f>'4_매출_거래처'!I18</f>
        <v>BABY</v>
      </c>
      <c r="C88" s="78">
        <f>INDEX('8_가정'!$C$47:$C$88,MATCH($B88&amp;"|P1",'8_가정'!$A$47:$A$88,0))</f>
        <v>0.85</v>
      </c>
      <c r="D88" s="78">
        <f>INDEX('8_가정'!$D$47:$D$88,MATCH($B88&amp;"|P1",'8_가정'!$A$47:$A$88,0))</f>
        <v>0.85</v>
      </c>
      <c r="E88" s="78">
        <f>INDEX('8_가정'!$E$47:$E$88,MATCH($B88&amp;"|P1",'8_가정'!$A$47:$A$88,0))</f>
        <v>0.85</v>
      </c>
      <c r="F88" s="78">
        <f>INDEX('8_가정'!$F$47:$F$88,MATCH($B88&amp;"|P1",'8_가정'!$A$47:$A$88,0))</f>
        <v>0.85</v>
      </c>
      <c r="G88" s="78">
        <f>INDEX('8_가정'!$G$47:$G$88,MATCH($B88&amp;"|P1",'8_가정'!$A$47:$A$88,0))</f>
        <v>0.85</v>
      </c>
      <c r="H88" s="78">
        <f>INDEX('8_가정'!$C$47:$C$88,MATCH($B88&amp;"|P2",'8_가정'!$A$47:$A$88,0))</f>
        <v>0.05</v>
      </c>
      <c r="I88" s="78">
        <f>INDEX('8_가정'!$D$47:$D$88,MATCH($B88&amp;"|P2",'8_가정'!$A$47:$A$88,0))</f>
        <v>0.05</v>
      </c>
      <c r="J88" s="78">
        <f>INDEX('8_가정'!$E$47:$E$88,MATCH($B88&amp;"|P2",'8_가정'!$A$47:$A$88,0))</f>
        <v>0.05</v>
      </c>
      <c r="K88" s="78">
        <f>INDEX('8_가정'!$F$47:$F$88,MATCH($B88&amp;"|P2",'8_가정'!$A$47:$A$88,0))</f>
        <v>0.05</v>
      </c>
      <c r="L88" s="78">
        <f>INDEX('8_가정'!$G$47:$G$88,MATCH($B88&amp;"|P2",'8_가정'!$A$47:$A$88,0))</f>
        <v>0.05</v>
      </c>
      <c r="M88" s="78">
        <f>INDEX('8_가정'!$C$47:$C$88,MATCH($B88&amp;"|P3",'8_가정'!$A$47:$A$88,0))</f>
        <v>0.1</v>
      </c>
      <c r="N88" s="78">
        <f>INDEX('8_가정'!$D$47:$D$88,MATCH($B88&amp;"|P3",'8_가정'!$A$47:$A$88,0))</f>
        <v>0.1</v>
      </c>
      <c r="O88" s="78">
        <f>INDEX('8_가정'!$E$47:$E$88,MATCH($B88&amp;"|P3",'8_가정'!$A$47:$A$88,0))</f>
        <v>0.1</v>
      </c>
      <c r="P88" s="78">
        <f>INDEX('8_가정'!$F$47:$F$88,MATCH($B88&amp;"|P3",'8_가정'!$A$47:$A$88,0))</f>
        <v>0.1</v>
      </c>
      <c r="Q88" s="78">
        <f>INDEX('8_가정'!$G$47:$G$88,MATCH($B88&amp;"|P3",'8_가정'!$A$47:$A$88,0))</f>
        <v>0.1</v>
      </c>
      <c r="R88" s="78">
        <f>INDEX('8_가정'!$C$47:$C$88,MATCH($B88&amp;"|P4",'8_가정'!$A$47:$A$88,0))</f>
        <v>0</v>
      </c>
      <c r="S88" s="78">
        <f>INDEX('8_가정'!$D$47:$D$88,MATCH($B88&amp;"|P4",'8_가정'!$A$47:$A$88,0))</f>
        <v>0</v>
      </c>
      <c r="T88" s="78">
        <f>INDEX('8_가정'!$E$47:$E$88,MATCH($B88&amp;"|P4",'8_가정'!$A$47:$A$88,0))</f>
        <v>0</v>
      </c>
      <c r="U88" s="78">
        <f>INDEX('8_가정'!$F$47:$F$88,MATCH($B88&amp;"|P4",'8_가정'!$A$47:$A$88,0))</f>
        <v>0</v>
      </c>
      <c r="V88" s="78">
        <f>INDEX('8_가정'!$G$47:$G$88,MATCH($B88&amp;"|P4",'8_가정'!$A$47:$A$88,0))</f>
        <v>0</v>
      </c>
      <c r="W88" s="78">
        <f>INDEX('8_가정'!$C$47:$C$88,MATCH($B88&amp;"|P5",'8_가정'!$A$47:$A$88,0))</f>
        <v>0</v>
      </c>
      <c r="X88" s="78">
        <f>INDEX('8_가정'!$D$47:$D$88,MATCH($B88&amp;"|P5",'8_가정'!$A$47:$A$88,0))</f>
        <v>0</v>
      </c>
      <c r="Y88" s="78">
        <f>INDEX('8_가정'!$E$47:$E$88,MATCH($B88&amp;"|P5",'8_가정'!$A$47:$A$88,0))</f>
        <v>0</v>
      </c>
      <c r="Z88" s="78">
        <f>INDEX('8_가정'!$F$47:$F$88,MATCH($B88&amp;"|P5",'8_가정'!$A$47:$A$88,0))</f>
        <v>0</v>
      </c>
      <c r="AA88" s="78">
        <f>INDEX('8_가정'!$G$47:$G$88,MATCH($B88&amp;"|P5",'8_가정'!$A$47:$A$88,0))</f>
        <v>0</v>
      </c>
      <c r="AB88" s="78">
        <f>INDEX('8_가정'!$C$47:$C$88,MATCH($B88&amp;"|P6",'8_가정'!$A$47:$A$88,0))</f>
        <v>0</v>
      </c>
      <c r="AC88" s="78">
        <f>INDEX('8_가정'!$D$47:$D$88,MATCH($B88&amp;"|P6",'8_가정'!$A$47:$A$88,0))</f>
        <v>0</v>
      </c>
      <c r="AD88" s="78">
        <f>INDEX('8_가정'!$E$47:$E$88,MATCH($B88&amp;"|P6",'8_가정'!$A$47:$A$88,0))</f>
        <v>0</v>
      </c>
      <c r="AE88" s="78">
        <f>INDEX('8_가정'!$F$47:$F$88,MATCH($B88&amp;"|P6",'8_가정'!$A$47:$A$88,0))</f>
        <v>0</v>
      </c>
      <c r="AF88" s="78">
        <f>INDEX('8_가정'!$G$47:$G$88,MATCH($B88&amp;"|P6",'8_가정'!$A$47:$A$88,0))</f>
        <v>0</v>
      </c>
    </row>
    <row r="89">
      <c r="A89" s="77" t="str">
        <f>'4_매출_거래처'!D19</f>
        <v>신규 거래선-2(베이비)</v>
      </c>
      <c r="B89" s="77" t="str">
        <f>'4_매출_거래처'!I19</f>
        <v>BABY</v>
      </c>
      <c r="C89" s="78">
        <f>INDEX('8_가정'!$C$47:$C$88,MATCH($B89&amp;"|P1",'8_가정'!$A$47:$A$88,0))</f>
        <v>0.85</v>
      </c>
      <c r="D89" s="78">
        <f>INDEX('8_가정'!$D$47:$D$88,MATCH($B89&amp;"|P1",'8_가정'!$A$47:$A$88,0))</f>
        <v>0.85</v>
      </c>
      <c r="E89" s="78">
        <f>INDEX('8_가정'!$E$47:$E$88,MATCH($B89&amp;"|P1",'8_가정'!$A$47:$A$88,0))</f>
        <v>0.85</v>
      </c>
      <c r="F89" s="78">
        <f>INDEX('8_가정'!$F$47:$F$88,MATCH($B89&amp;"|P1",'8_가정'!$A$47:$A$88,0))</f>
        <v>0.85</v>
      </c>
      <c r="G89" s="78">
        <f>INDEX('8_가정'!$G$47:$G$88,MATCH($B89&amp;"|P1",'8_가정'!$A$47:$A$88,0))</f>
        <v>0.85</v>
      </c>
      <c r="H89" s="78">
        <f>INDEX('8_가정'!$C$47:$C$88,MATCH($B89&amp;"|P2",'8_가정'!$A$47:$A$88,0))</f>
        <v>0.05</v>
      </c>
      <c r="I89" s="78">
        <f>INDEX('8_가정'!$D$47:$D$88,MATCH($B89&amp;"|P2",'8_가정'!$A$47:$A$88,0))</f>
        <v>0.05</v>
      </c>
      <c r="J89" s="78">
        <f>INDEX('8_가정'!$E$47:$E$88,MATCH($B89&amp;"|P2",'8_가정'!$A$47:$A$88,0))</f>
        <v>0.05</v>
      </c>
      <c r="K89" s="78">
        <f>INDEX('8_가정'!$F$47:$F$88,MATCH($B89&amp;"|P2",'8_가정'!$A$47:$A$88,0))</f>
        <v>0.05</v>
      </c>
      <c r="L89" s="78">
        <f>INDEX('8_가정'!$G$47:$G$88,MATCH($B89&amp;"|P2",'8_가정'!$A$47:$A$88,0))</f>
        <v>0.05</v>
      </c>
      <c r="M89" s="78">
        <f>INDEX('8_가정'!$C$47:$C$88,MATCH($B89&amp;"|P3",'8_가정'!$A$47:$A$88,0))</f>
        <v>0.1</v>
      </c>
      <c r="N89" s="78">
        <f>INDEX('8_가정'!$D$47:$D$88,MATCH($B89&amp;"|P3",'8_가정'!$A$47:$A$88,0))</f>
        <v>0.1</v>
      </c>
      <c r="O89" s="78">
        <f>INDEX('8_가정'!$E$47:$E$88,MATCH($B89&amp;"|P3",'8_가정'!$A$47:$A$88,0))</f>
        <v>0.1</v>
      </c>
      <c r="P89" s="78">
        <f>INDEX('8_가정'!$F$47:$F$88,MATCH($B89&amp;"|P3",'8_가정'!$A$47:$A$88,0))</f>
        <v>0.1</v>
      </c>
      <c r="Q89" s="78">
        <f>INDEX('8_가정'!$G$47:$G$88,MATCH($B89&amp;"|P3",'8_가정'!$A$47:$A$88,0))</f>
        <v>0.1</v>
      </c>
      <c r="R89" s="78">
        <f>INDEX('8_가정'!$C$47:$C$88,MATCH($B89&amp;"|P4",'8_가정'!$A$47:$A$88,0))</f>
        <v>0</v>
      </c>
      <c r="S89" s="78">
        <f>INDEX('8_가정'!$D$47:$D$88,MATCH($B89&amp;"|P4",'8_가정'!$A$47:$A$88,0))</f>
        <v>0</v>
      </c>
      <c r="T89" s="78">
        <f>INDEX('8_가정'!$E$47:$E$88,MATCH($B89&amp;"|P4",'8_가정'!$A$47:$A$88,0))</f>
        <v>0</v>
      </c>
      <c r="U89" s="78">
        <f>INDEX('8_가정'!$F$47:$F$88,MATCH($B89&amp;"|P4",'8_가정'!$A$47:$A$88,0))</f>
        <v>0</v>
      </c>
      <c r="V89" s="78">
        <f>INDEX('8_가정'!$G$47:$G$88,MATCH($B89&amp;"|P4",'8_가정'!$A$47:$A$88,0))</f>
        <v>0</v>
      </c>
      <c r="W89" s="78">
        <f>INDEX('8_가정'!$C$47:$C$88,MATCH($B89&amp;"|P5",'8_가정'!$A$47:$A$88,0))</f>
        <v>0</v>
      </c>
      <c r="X89" s="78">
        <f>INDEX('8_가정'!$D$47:$D$88,MATCH($B89&amp;"|P5",'8_가정'!$A$47:$A$88,0))</f>
        <v>0</v>
      </c>
      <c r="Y89" s="78">
        <f>INDEX('8_가정'!$E$47:$E$88,MATCH($B89&amp;"|P5",'8_가정'!$A$47:$A$88,0))</f>
        <v>0</v>
      </c>
      <c r="Z89" s="78">
        <f>INDEX('8_가정'!$F$47:$F$88,MATCH($B89&amp;"|P5",'8_가정'!$A$47:$A$88,0))</f>
        <v>0</v>
      </c>
      <c r="AA89" s="78">
        <f>INDEX('8_가정'!$G$47:$G$88,MATCH($B89&amp;"|P5",'8_가정'!$A$47:$A$88,0))</f>
        <v>0</v>
      </c>
      <c r="AB89" s="78">
        <f>INDEX('8_가정'!$C$47:$C$88,MATCH($B89&amp;"|P6",'8_가정'!$A$47:$A$88,0))</f>
        <v>0</v>
      </c>
      <c r="AC89" s="78">
        <f>INDEX('8_가정'!$D$47:$D$88,MATCH($B89&amp;"|P6",'8_가정'!$A$47:$A$88,0))</f>
        <v>0</v>
      </c>
      <c r="AD89" s="78">
        <f>INDEX('8_가정'!$E$47:$E$88,MATCH($B89&amp;"|P6",'8_가정'!$A$47:$A$88,0))</f>
        <v>0</v>
      </c>
      <c r="AE89" s="78">
        <f>INDEX('8_가정'!$F$47:$F$88,MATCH($B89&amp;"|P6",'8_가정'!$A$47:$A$88,0))</f>
        <v>0</v>
      </c>
      <c r="AF89" s="78">
        <f>INDEX('8_가정'!$G$47:$G$88,MATCH($B89&amp;"|P6",'8_가정'!$A$47:$A$88,0))</f>
        <v>0</v>
      </c>
    </row>
    <row r="90">
      <c r="A90" s="77" t="str">
        <f>'4_매출_거래처'!D20</f>
        <v>삼성노블카운티</v>
      </c>
      <c r="B90" s="77" t="str">
        <f>'4_매출_거래처'!I20</f>
        <v>SUB</v>
      </c>
      <c r="C90" s="78">
        <f>INDEX('8_가정'!$C$47:$C$88,MATCH($B90&amp;"|P1",'8_가정'!$A$47:$A$88,0))</f>
        <v>0.8</v>
      </c>
      <c r="D90" s="78">
        <f>INDEX('8_가정'!$D$47:$D$88,MATCH($B90&amp;"|P1",'8_가정'!$A$47:$A$88,0))</f>
        <v>0.78</v>
      </c>
      <c r="E90" s="78">
        <f>INDEX('8_가정'!$E$47:$E$88,MATCH($B90&amp;"|P1",'8_가정'!$A$47:$A$88,0))</f>
        <v>0.74</v>
      </c>
      <c r="F90" s="78">
        <f>INDEX('8_가정'!$F$47:$F$88,MATCH($B90&amp;"|P1",'8_가정'!$A$47:$A$88,0))</f>
        <v>0.7</v>
      </c>
      <c r="G90" s="78">
        <f>INDEX('8_가정'!$G$47:$G$88,MATCH($B90&amp;"|P1",'8_가정'!$A$47:$A$88,0))</f>
        <v>0.67</v>
      </c>
      <c r="H90" s="78">
        <f>INDEX('8_가정'!$C$47:$C$88,MATCH($B90&amp;"|P2",'8_가정'!$A$47:$A$88,0))</f>
        <v>0.08</v>
      </c>
      <c r="I90" s="78">
        <f>INDEX('8_가정'!$D$47:$D$88,MATCH($B90&amp;"|P2",'8_가정'!$A$47:$A$88,0))</f>
        <v>0.08</v>
      </c>
      <c r="J90" s="78">
        <f>INDEX('8_가정'!$E$47:$E$88,MATCH($B90&amp;"|P2",'8_가정'!$A$47:$A$88,0))</f>
        <v>0.08</v>
      </c>
      <c r="K90" s="78">
        <f>INDEX('8_가정'!$F$47:$F$88,MATCH($B90&amp;"|P2",'8_가정'!$A$47:$A$88,0))</f>
        <v>0.08</v>
      </c>
      <c r="L90" s="78">
        <f>INDEX('8_가정'!$G$47:$G$88,MATCH($B90&amp;"|P2",'8_가정'!$A$47:$A$88,0))</f>
        <v>0.08</v>
      </c>
      <c r="M90" s="78">
        <f>INDEX('8_가정'!$C$47:$C$88,MATCH($B90&amp;"|P3",'8_가정'!$A$47:$A$88,0))</f>
        <v>0.12</v>
      </c>
      <c r="N90" s="78">
        <f>INDEX('8_가정'!$D$47:$D$88,MATCH($B90&amp;"|P3",'8_가정'!$A$47:$A$88,0))</f>
        <v>0.11</v>
      </c>
      <c r="O90" s="78">
        <f>INDEX('8_가정'!$E$47:$E$88,MATCH($B90&amp;"|P3",'8_가정'!$A$47:$A$88,0))</f>
        <v>0.12</v>
      </c>
      <c r="P90" s="78">
        <f>INDEX('8_가정'!$F$47:$F$88,MATCH($B90&amp;"|P3",'8_가정'!$A$47:$A$88,0))</f>
        <v>0.12</v>
      </c>
      <c r="Q90" s="78">
        <f>INDEX('8_가정'!$G$47:$G$88,MATCH($B90&amp;"|P3",'8_가정'!$A$47:$A$88,0))</f>
        <v>0.12</v>
      </c>
      <c r="R90" s="78">
        <f>INDEX('8_가정'!$C$47:$C$88,MATCH($B90&amp;"|P4",'8_가정'!$A$47:$A$88,0))</f>
        <v>0</v>
      </c>
      <c r="S90" s="78">
        <f>INDEX('8_가정'!$D$47:$D$88,MATCH($B90&amp;"|P4",'8_가정'!$A$47:$A$88,0))</f>
        <v>0.03</v>
      </c>
      <c r="T90" s="78">
        <f>INDEX('8_가정'!$E$47:$E$88,MATCH($B90&amp;"|P4",'8_가정'!$A$47:$A$88,0))</f>
        <v>0.05</v>
      </c>
      <c r="U90" s="78">
        <f>INDEX('8_가정'!$F$47:$F$88,MATCH($B90&amp;"|P4",'8_가정'!$A$47:$A$88,0))</f>
        <v>0.07</v>
      </c>
      <c r="V90" s="78">
        <f>INDEX('8_가정'!$G$47:$G$88,MATCH($B90&amp;"|P4",'8_가정'!$A$47:$A$88,0))</f>
        <v>0.09</v>
      </c>
      <c r="W90" s="78">
        <f>INDEX('8_가정'!$C$47:$C$88,MATCH($B90&amp;"|P5",'8_가정'!$A$47:$A$88,0))</f>
        <v>0</v>
      </c>
      <c r="X90" s="78">
        <f>INDEX('8_가정'!$D$47:$D$88,MATCH($B90&amp;"|P5",'8_가정'!$A$47:$A$88,0))</f>
        <v>0</v>
      </c>
      <c r="Y90" s="78">
        <f>INDEX('8_가정'!$E$47:$E$88,MATCH($B90&amp;"|P5",'8_가정'!$A$47:$A$88,0))</f>
        <v>0.01</v>
      </c>
      <c r="Z90" s="78">
        <f>INDEX('8_가정'!$F$47:$F$88,MATCH($B90&amp;"|P5",'8_가정'!$A$47:$A$88,0))</f>
        <v>0.03</v>
      </c>
      <c r="AA90" s="78">
        <f>INDEX('8_가정'!$G$47:$G$88,MATCH($B90&amp;"|P5",'8_가정'!$A$47:$A$88,0))</f>
        <v>0.04</v>
      </c>
      <c r="AB90" s="78">
        <f>INDEX('8_가정'!$C$47:$C$88,MATCH($B90&amp;"|P6",'8_가정'!$A$47:$A$88,0))</f>
        <v>0</v>
      </c>
      <c r="AC90" s="78">
        <f>INDEX('8_가정'!$D$47:$D$88,MATCH($B90&amp;"|P6",'8_가정'!$A$47:$A$88,0))</f>
        <v>0</v>
      </c>
      <c r="AD90" s="78">
        <f>INDEX('8_가정'!$E$47:$E$88,MATCH($B90&amp;"|P6",'8_가정'!$A$47:$A$88,0))</f>
        <v>0</v>
      </c>
      <c r="AE90" s="78">
        <f>INDEX('8_가정'!$F$47:$F$88,MATCH($B90&amp;"|P6",'8_가정'!$A$47:$A$88,0))</f>
        <v>0</v>
      </c>
      <c r="AF90" s="78">
        <f>INDEX('8_가정'!$G$47:$G$88,MATCH($B90&amp;"|P6",'8_가정'!$A$47:$A$88,0))</f>
        <v>0</v>
      </c>
    </row>
    <row r="91">
      <c r="A91" s="77" t="str">
        <f>'4_매출_거래처'!D21</f>
        <v>국내 요양병원·시설 구독 매출</v>
      </c>
      <c r="B91" s="77" t="str">
        <f>'4_매출_거래처'!I21</f>
        <v>SUB</v>
      </c>
      <c r="C91" s="78">
        <f>INDEX('8_가정'!$C$47:$C$88,MATCH($B91&amp;"|P1",'8_가정'!$A$47:$A$88,0))</f>
        <v>0.8</v>
      </c>
      <c r="D91" s="78">
        <f>INDEX('8_가정'!$D$47:$D$88,MATCH($B91&amp;"|P1",'8_가정'!$A$47:$A$88,0))</f>
        <v>0.78</v>
      </c>
      <c r="E91" s="78">
        <f>INDEX('8_가정'!$E$47:$E$88,MATCH($B91&amp;"|P1",'8_가정'!$A$47:$A$88,0))</f>
        <v>0.74</v>
      </c>
      <c r="F91" s="78">
        <f>INDEX('8_가정'!$F$47:$F$88,MATCH($B91&amp;"|P1",'8_가정'!$A$47:$A$88,0))</f>
        <v>0.7</v>
      </c>
      <c r="G91" s="78">
        <f>INDEX('8_가정'!$G$47:$G$88,MATCH($B91&amp;"|P1",'8_가정'!$A$47:$A$88,0))</f>
        <v>0.67</v>
      </c>
      <c r="H91" s="78">
        <f>INDEX('8_가정'!$C$47:$C$88,MATCH($B91&amp;"|P2",'8_가정'!$A$47:$A$88,0))</f>
        <v>0.08</v>
      </c>
      <c r="I91" s="78">
        <f>INDEX('8_가정'!$D$47:$D$88,MATCH($B91&amp;"|P2",'8_가정'!$A$47:$A$88,0))</f>
        <v>0.08</v>
      </c>
      <c r="J91" s="78">
        <f>INDEX('8_가정'!$E$47:$E$88,MATCH($B91&amp;"|P2",'8_가정'!$A$47:$A$88,0))</f>
        <v>0.08</v>
      </c>
      <c r="K91" s="78">
        <f>INDEX('8_가정'!$F$47:$F$88,MATCH($B91&amp;"|P2",'8_가정'!$A$47:$A$88,0))</f>
        <v>0.08</v>
      </c>
      <c r="L91" s="78">
        <f>INDEX('8_가정'!$G$47:$G$88,MATCH($B91&amp;"|P2",'8_가정'!$A$47:$A$88,0))</f>
        <v>0.08</v>
      </c>
      <c r="M91" s="78">
        <f>INDEX('8_가정'!$C$47:$C$88,MATCH($B91&amp;"|P3",'8_가정'!$A$47:$A$88,0))</f>
        <v>0.12</v>
      </c>
      <c r="N91" s="78">
        <f>INDEX('8_가정'!$D$47:$D$88,MATCH($B91&amp;"|P3",'8_가정'!$A$47:$A$88,0))</f>
        <v>0.11</v>
      </c>
      <c r="O91" s="78">
        <f>INDEX('8_가정'!$E$47:$E$88,MATCH($B91&amp;"|P3",'8_가정'!$A$47:$A$88,0))</f>
        <v>0.12</v>
      </c>
      <c r="P91" s="78">
        <f>INDEX('8_가정'!$F$47:$F$88,MATCH($B91&amp;"|P3",'8_가정'!$A$47:$A$88,0))</f>
        <v>0.12</v>
      </c>
      <c r="Q91" s="78">
        <f>INDEX('8_가정'!$G$47:$G$88,MATCH($B91&amp;"|P3",'8_가정'!$A$47:$A$88,0))</f>
        <v>0.12</v>
      </c>
      <c r="R91" s="78">
        <f>INDEX('8_가정'!$C$47:$C$88,MATCH($B91&amp;"|P4",'8_가정'!$A$47:$A$88,0))</f>
        <v>0</v>
      </c>
      <c r="S91" s="78">
        <f>INDEX('8_가정'!$D$47:$D$88,MATCH($B91&amp;"|P4",'8_가정'!$A$47:$A$88,0))</f>
        <v>0.03</v>
      </c>
      <c r="T91" s="78">
        <f>INDEX('8_가정'!$E$47:$E$88,MATCH($B91&amp;"|P4",'8_가정'!$A$47:$A$88,0))</f>
        <v>0.05</v>
      </c>
      <c r="U91" s="78">
        <f>INDEX('8_가정'!$F$47:$F$88,MATCH($B91&amp;"|P4",'8_가정'!$A$47:$A$88,0))</f>
        <v>0.07</v>
      </c>
      <c r="V91" s="78">
        <f>INDEX('8_가정'!$G$47:$G$88,MATCH($B91&amp;"|P4",'8_가정'!$A$47:$A$88,0))</f>
        <v>0.09</v>
      </c>
      <c r="W91" s="78">
        <f>INDEX('8_가정'!$C$47:$C$88,MATCH($B91&amp;"|P5",'8_가정'!$A$47:$A$88,0))</f>
        <v>0</v>
      </c>
      <c r="X91" s="78">
        <f>INDEX('8_가정'!$D$47:$D$88,MATCH($B91&amp;"|P5",'8_가정'!$A$47:$A$88,0))</f>
        <v>0</v>
      </c>
      <c r="Y91" s="78">
        <f>INDEX('8_가정'!$E$47:$E$88,MATCH($B91&amp;"|P5",'8_가정'!$A$47:$A$88,0))</f>
        <v>0.01</v>
      </c>
      <c r="Z91" s="78">
        <f>INDEX('8_가정'!$F$47:$F$88,MATCH($B91&amp;"|P5",'8_가정'!$A$47:$A$88,0))</f>
        <v>0.03</v>
      </c>
      <c r="AA91" s="78">
        <f>INDEX('8_가정'!$G$47:$G$88,MATCH($B91&amp;"|P5",'8_가정'!$A$47:$A$88,0))</f>
        <v>0.04</v>
      </c>
      <c r="AB91" s="78">
        <f>INDEX('8_가정'!$C$47:$C$88,MATCH($B91&amp;"|P6",'8_가정'!$A$47:$A$88,0))</f>
        <v>0</v>
      </c>
      <c r="AC91" s="78">
        <f>INDEX('8_가정'!$D$47:$D$88,MATCH($B91&amp;"|P6",'8_가정'!$A$47:$A$88,0))</f>
        <v>0</v>
      </c>
      <c r="AD91" s="78">
        <f>INDEX('8_가정'!$E$47:$E$88,MATCH($B91&amp;"|P6",'8_가정'!$A$47:$A$88,0))</f>
        <v>0</v>
      </c>
      <c r="AE91" s="78">
        <f>INDEX('8_가정'!$F$47:$F$88,MATCH($B91&amp;"|P6",'8_가정'!$A$47:$A$88,0))</f>
        <v>0</v>
      </c>
      <c r="AF91" s="78">
        <f>INDEX('8_가정'!$G$47:$G$88,MATCH($B91&amp;"|P6",'8_가정'!$A$47:$A$88,0))</f>
        <v>0</v>
      </c>
    </row>
    <row r="92">
      <c r="A92" s="77" t="str">
        <f>'4_매출_거래처'!D22</f>
        <v>피플앤테크놀로지 실증사업</v>
      </c>
      <c r="B92" s="77" t="str">
        <f>'4_매출_거래처'!I22</f>
        <v>RND</v>
      </c>
      <c r="C92" s="78">
        <f>INDEX('8_가정'!$C$47:$C$88,MATCH($B92&amp;"|P1",'8_가정'!$A$47:$A$88,0))</f>
        <v>0</v>
      </c>
      <c r="D92" s="78">
        <f>INDEX('8_가정'!$D$47:$D$88,MATCH($B92&amp;"|P1",'8_가정'!$A$47:$A$88,0))</f>
        <v>0</v>
      </c>
      <c r="E92" s="78">
        <f>INDEX('8_가정'!$E$47:$E$88,MATCH($B92&amp;"|P1",'8_가정'!$A$47:$A$88,0))</f>
        <v>0</v>
      </c>
      <c r="F92" s="78">
        <f>INDEX('8_가정'!$F$47:$F$88,MATCH($B92&amp;"|P1",'8_가정'!$A$47:$A$88,0))</f>
        <v>0</v>
      </c>
      <c r="G92" s="78">
        <f>INDEX('8_가정'!$G$47:$G$88,MATCH($B92&amp;"|P1",'8_가정'!$A$47:$A$88,0))</f>
        <v>0</v>
      </c>
      <c r="H92" s="78">
        <f>INDEX('8_가정'!$C$47:$C$88,MATCH($B92&amp;"|P2",'8_가정'!$A$47:$A$88,0))</f>
        <v>0</v>
      </c>
      <c r="I92" s="78">
        <f>INDEX('8_가정'!$D$47:$D$88,MATCH($B92&amp;"|P2",'8_가정'!$A$47:$A$88,0))</f>
        <v>0</v>
      </c>
      <c r="J92" s="78">
        <f>INDEX('8_가정'!$E$47:$E$88,MATCH($B92&amp;"|P2",'8_가정'!$A$47:$A$88,0))</f>
        <v>0</v>
      </c>
      <c r="K92" s="78">
        <f>INDEX('8_가정'!$F$47:$F$88,MATCH($B92&amp;"|P2",'8_가정'!$A$47:$A$88,0))</f>
        <v>0</v>
      </c>
      <c r="L92" s="78">
        <f>INDEX('8_가정'!$G$47:$G$88,MATCH($B92&amp;"|P2",'8_가정'!$A$47:$A$88,0))</f>
        <v>0</v>
      </c>
      <c r="M92" s="78">
        <f>INDEX('8_가정'!$C$47:$C$88,MATCH($B92&amp;"|P3",'8_가정'!$A$47:$A$88,0))</f>
        <v>0</v>
      </c>
      <c r="N92" s="78">
        <f>INDEX('8_가정'!$D$47:$D$88,MATCH($B92&amp;"|P3",'8_가정'!$A$47:$A$88,0))</f>
        <v>0</v>
      </c>
      <c r="O92" s="78">
        <f>INDEX('8_가정'!$E$47:$E$88,MATCH($B92&amp;"|P3",'8_가정'!$A$47:$A$88,0))</f>
        <v>0</v>
      </c>
      <c r="P92" s="78">
        <f>INDEX('8_가정'!$F$47:$F$88,MATCH($B92&amp;"|P3",'8_가정'!$A$47:$A$88,0))</f>
        <v>0</v>
      </c>
      <c r="Q92" s="78">
        <f>INDEX('8_가정'!$G$47:$G$88,MATCH($B92&amp;"|P3",'8_가정'!$A$47:$A$88,0))</f>
        <v>0</v>
      </c>
      <c r="R92" s="78">
        <f>INDEX('8_가정'!$C$47:$C$88,MATCH($B92&amp;"|P4",'8_가정'!$A$47:$A$88,0))</f>
        <v>0</v>
      </c>
      <c r="S92" s="78">
        <f>INDEX('8_가정'!$D$47:$D$88,MATCH($B92&amp;"|P4",'8_가정'!$A$47:$A$88,0))</f>
        <v>0</v>
      </c>
      <c r="T92" s="78">
        <f>INDEX('8_가정'!$E$47:$E$88,MATCH($B92&amp;"|P4",'8_가정'!$A$47:$A$88,0))</f>
        <v>0</v>
      </c>
      <c r="U92" s="78">
        <f>INDEX('8_가정'!$F$47:$F$88,MATCH($B92&amp;"|P4",'8_가정'!$A$47:$A$88,0))</f>
        <v>0</v>
      </c>
      <c r="V92" s="78">
        <f>INDEX('8_가정'!$G$47:$G$88,MATCH($B92&amp;"|P4",'8_가정'!$A$47:$A$88,0))</f>
        <v>0</v>
      </c>
      <c r="W92" s="78">
        <f>INDEX('8_가정'!$C$47:$C$88,MATCH($B92&amp;"|P5",'8_가정'!$A$47:$A$88,0))</f>
        <v>0</v>
      </c>
      <c r="X92" s="78">
        <f>INDEX('8_가정'!$D$47:$D$88,MATCH($B92&amp;"|P5",'8_가정'!$A$47:$A$88,0))</f>
        <v>0</v>
      </c>
      <c r="Y92" s="78">
        <f>INDEX('8_가정'!$E$47:$E$88,MATCH($B92&amp;"|P5",'8_가정'!$A$47:$A$88,0))</f>
        <v>0</v>
      </c>
      <c r="Z92" s="78">
        <f>INDEX('8_가정'!$F$47:$F$88,MATCH($B92&amp;"|P5",'8_가정'!$A$47:$A$88,0))</f>
        <v>0</v>
      </c>
      <c r="AA92" s="78">
        <f>INDEX('8_가정'!$G$47:$G$88,MATCH($B92&amp;"|P5",'8_가정'!$A$47:$A$88,0))</f>
        <v>0</v>
      </c>
      <c r="AB92" s="78">
        <f>INDEX('8_가정'!$C$47:$C$88,MATCH($B92&amp;"|P6",'8_가정'!$A$47:$A$88,0))</f>
        <v>1</v>
      </c>
      <c r="AC92" s="78">
        <f>INDEX('8_가정'!$D$47:$D$88,MATCH($B92&amp;"|P6",'8_가정'!$A$47:$A$88,0))</f>
        <v>1</v>
      </c>
      <c r="AD92" s="78">
        <f>INDEX('8_가정'!$E$47:$E$88,MATCH($B92&amp;"|P6",'8_가정'!$A$47:$A$88,0))</f>
        <v>1</v>
      </c>
      <c r="AE92" s="78">
        <f>INDEX('8_가정'!$F$47:$F$88,MATCH($B92&amp;"|P6",'8_가정'!$A$47:$A$88,0))</f>
        <v>1</v>
      </c>
      <c r="AF92" s="78">
        <f>INDEX('8_가정'!$G$47:$G$88,MATCH($B92&amp;"|P6",'8_가정'!$A$47:$A$88,0))</f>
        <v>1</v>
      </c>
    </row>
    <row r="93">
      <c r="A93" s="77" t="str">
        <f>'4_매출_거래처'!D23</f>
        <v>네이버 — 엘더리</v>
      </c>
      <c r="B93" s="77" t="str">
        <f>'4_매출_거래처'!I23</f>
        <v>SUB</v>
      </c>
      <c r="C93" s="78">
        <f>INDEX('8_가정'!$C$47:$C$88,MATCH($B93&amp;"|P1",'8_가정'!$A$47:$A$88,0))</f>
        <v>0.8</v>
      </c>
      <c r="D93" s="78">
        <f>INDEX('8_가정'!$D$47:$D$88,MATCH($B93&amp;"|P1",'8_가정'!$A$47:$A$88,0))</f>
        <v>0.78</v>
      </c>
      <c r="E93" s="78">
        <f>INDEX('8_가정'!$E$47:$E$88,MATCH($B93&amp;"|P1",'8_가정'!$A$47:$A$88,0))</f>
        <v>0.74</v>
      </c>
      <c r="F93" s="78">
        <f>INDEX('8_가정'!$F$47:$F$88,MATCH($B93&amp;"|P1",'8_가정'!$A$47:$A$88,0))</f>
        <v>0.7</v>
      </c>
      <c r="G93" s="78">
        <f>INDEX('8_가정'!$G$47:$G$88,MATCH($B93&amp;"|P1",'8_가정'!$A$47:$A$88,0))</f>
        <v>0.67</v>
      </c>
      <c r="H93" s="78">
        <f>INDEX('8_가정'!$C$47:$C$88,MATCH($B93&amp;"|P2",'8_가정'!$A$47:$A$88,0))</f>
        <v>0.08</v>
      </c>
      <c r="I93" s="78">
        <f>INDEX('8_가정'!$D$47:$D$88,MATCH($B93&amp;"|P2",'8_가정'!$A$47:$A$88,0))</f>
        <v>0.08</v>
      </c>
      <c r="J93" s="78">
        <f>INDEX('8_가정'!$E$47:$E$88,MATCH($B93&amp;"|P2",'8_가정'!$A$47:$A$88,0))</f>
        <v>0.08</v>
      </c>
      <c r="K93" s="78">
        <f>INDEX('8_가정'!$F$47:$F$88,MATCH($B93&amp;"|P2",'8_가정'!$A$47:$A$88,0))</f>
        <v>0.08</v>
      </c>
      <c r="L93" s="78">
        <f>INDEX('8_가정'!$G$47:$G$88,MATCH($B93&amp;"|P2",'8_가정'!$A$47:$A$88,0))</f>
        <v>0.08</v>
      </c>
      <c r="M93" s="78">
        <f>INDEX('8_가정'!$C$47:$C$88,MATCH($B93&amp;"|P3",'8_가정'!$A$47:$A$88,0))</f>
        <v>0.12</v>
      </c>
      <c r="N93" s="78">
        <f>INDEX('8_가정'!$D$47:$D$88,MATCH($B93&amp;"|P3",'8_가정'!$A$47:$A$88,0))</f>
        <v>0.11</v>
      </c>
      <c r="O93" s="78">
        <f>INDEX('8_가정'!$E$47:$E$88,MATCH($B93&amp;"|P3",'8_가정'!$A$47:$A$88,0))</f>
        <v>0.12</v>
      </c>
      <c r="P93" s="78">
        <f>INDEX('8_가정'!$F$47:$F$88,MATCH($B93&amp;"|P3",'8_가정'!$A$47:$A$88,0))</f>
        <v>0.12</v>
      </c>
      <c r="Q93" s="78">
        <f>INDEX('8_가정'!$G$47:$G$88,MATCH($B93&amp;"|P3",'8_가정'!$A$47:$A$88,0))</f>
        <v>0.12</v>
      </c>
      <c r="R93" s="78">
        <f>INDEX('8_가정'!$C$47:$C$88,MATCH($B93&amp;"|P4",'8_가정'!$A$47:$A$88,0))</f>
        <v>0</v>
      </c>
      <c r="S93" s="78">
        <f>INDEX('8_가정'!$D$47:$D$88,MATCH($B93&amp;"|P4",'8_가정'!$A$47:$A$88,0))</f>
        <v>0.03</v>
      </c>
      <c r="T93" s="78">
        <f>INDEX('8_가정'!$E$47:$E$88,MATCH($B93&amp;"|P4",'8_가정'!$A$47:$A$88,0))</f>
        <v>0.05</v>
      </c>
      <c r="U93" s="78">
        <f>INDEX('8_가정'!$F$47:$F$88,MATCH($B93&amp;"|P4",'8_가정'!$A$47:$A$88,0))</f>
        <v>0.07</v>
      </c>
      <c r="V93" s="78">
        <f>INDEX('8_가정'!$G$47:$G$88,MATCH($B93&amp;"|P4",'8_가정'!$A$47:$A$88,0))</f>
        <v>0.09</v>
      </c>
      <c r="W93" s="78">
        <f>INDEX('8_가정'!$C$47:$C$88,MATCH($B93&amp;"|P5",'8_가정'!$A$47:$A$88,0))</f>
        <v>0</v>
      </c>
      <c r="X93" s="78">
        <f>INDEX('8_가정'!$D$47:$D$88,MATCH($B93&amp;"|P5",'8_가정'!$A$47:$A$88,0))</f>
        <v>0</v>
      </c>
      <c r="Y93" s="78">
        <f>INDEX('8_가정'!$E$47:$E$88,MATCH($B93&amp;"|P5",'8_가정'!$A$47:$A$88,0))</f>
        <v>0.01</v>
      </c>
      <c r="Z93" s="78">
        <f>INDEX('8_가정'!$F$47:$F$88,MATCH($B93&amp;"|P5",'8_가정'!$A$47:$A$88,0))</f>
        <v>0.03</v>
      </c>
      <c r="AA93" s="78">
        <f>INDEX('8_가정'!$G$47:$G$88,MATCH($B93&amp;"|P5",'8_가정'!$A$47:$A$88,0))</f>
        <v>0.04</v>
      </c>
      <c r="AB93" s="78">
        <f>INDEX('8_가정'!$C$47:$C$88,MATCH($B93&amp;"|P6",'8_가정'!$A$47:$A$88,0))</f>
        <v>0</v>
      </c>
      <c r="AC93" s="78">
        <f>INDEX('8_가정'!$D$47:$D$88,MATCH($B93&amp;"|P6",'8_가정'!$A$47:$A$88,0))</f>
        <v>0</v>
      </c>
      <c r="AD93" s="78">
        <f>INDEX('8_가정'!$E$47:$E$88,MATCH($B93&amp;"|P6",'8_가정'!$A$47:$A$88,0))</f>
        <v>0</v>
      </c>
      <c r="AE93" s="78">
        <f>INDEX('8_가정'!$F$47:$F$88,MATCH($B93&amp;"|P6",'8_가정'!$A$47:$A$88,0))</f>
        <v>0</v>
      </c>
      <c r="AF93" s="78">
        <f>INDEX('8_가정'!$G$47:$G$88,MATCH($B93&amp;"|P6",'8_가정'!$A$47:$A$88,0))</f>
        <v>0</v>
      </c>
    </row>
    <row r="94">
      <c r="A94" s="77" t="str">
        <f>'4_매출_거래처'!D24</f>
        <v>쿠팡 — 엘더리</v>
      </c>
      <c r="B94" s="77" t="str">
        <f>'4_매출_거래처'!I24</f>
        <v>SUB</v>
      </c>
      <c r="C94" s="78">
        <f>INDEX('8_가정'!$C$47:$C$88,MATCH($B94&amp;"|P1",'8_가정'!$A$47:$A$88,0))</f>
        <v>0.8</v>
      </c>
      <c r="D94" s="78">
        <f>INDEX('8_가정'!$D$47:$D$88,MATCH($B94&amp;"|P1",'8_가정'!$A$47:$A$88,0))</f>
        <v>0.78</v>
      </c>
      <c r="E94" s="78">
        <f>INDEX('8_가정'!$E$47:$E$88,MATCH($B94&amp;"|P1",'8_가정'!$A$47:$A$88,0))</f>
        <v>0.74</v>
      </c>
      <c r="F94" s="78">
        <f>INDEX('8_가정'!$F$47:$F$88,MATCH($B94&amp;"|P1",'8_가정'!$A$47:$A$88,0))</f>
        <v>0.7</v>
      </c>
      <c r="G94" s="78">
        <f>INDEX('8_가정'!$G$47:$G$88,MATCH($B94&amp;"|P1",'8_가정'!$A$47:$A$88,0))</f>
        <v>0.67</v>
      </c>
      <c r="H94" s="78">
        <f>INDEX('8_가정'!$C$47:$C$88,MATCH($B94&amp;"|P2",'8_가정'!$A$47:$A$88,0))</f>
        <v>0.08</v>
      </c>
      <c r="I94" s="78">
        <f>INDEX('8_가정'!$D$47:$D$88,MATCH($B94&amp;"|P2",'8_가정'!$A$47:$A$88,0))</f>
        <v>0.08</v>
      </c>
      <c r="J94" s="78">
        <f>INDEX('8_가정'!$E$47:$E$88,MATCH($B94&amp;"|P2",'8_가정'!$A$47:$A$88,0))</f>
        <v>0.08</v>
      </c>
      <c r="K94" s="78">
        <f>INDEX('8_가정'!$F$47:$F$88,MATCH($B94&amp;"|P2",'8_가정'!$A$47:$A$88,0))</f>
        <v>0.08</v>
      </c>
      <c r="L94" s="78">
        <f>INDEX('8_가정'!$G$47:$G$88,MATCH($B94&amp;"|P2",'8_가정'!$A$47:$A$88,0))</f>
        <v>0.08</v>
      </c>
      <c r="M94" s="78">
        <f>INDEX('8_가정'!$C$47:$C$88,MATCH($B94&amp;"|P3",'8_가정'!$A$47:$A$88,0))</f>
        <v>0.12</v>
      </c>
      <c r="N94" s="78">
        <f>INDEX('8_가정'!$D$47:$D$88,MATCH($B94&amp;"|P3",'8_가정'!$A$47:$A$88,0))</f>
        <v>0.11</v>
      </c>
      <c r="O94" s="78">
        <f>INDEX('8_가정'!$E$47:$E$88,MATCH($B94&amp;"|P3",'8_가정'!$A$47:$A$88,0))</f>
        <v>0.12</v>
      </c>
      <c r="P94" s="78">
        <f>INDEX('8_가정'!$F$47:$F$88,MATCH($B94&amp;"|P3",'8_가정'!$A$47:$A$88,0))</f>
        <v>0.12</v>
      </c>
      <c r="Q94" s="78">
        <f>INDEX('8_가정'!$G$47:$G$88,MATCH($B94&amp;"|P3",'8_가정'!$A$47:$A$88,0))</f>
        <v>0.12</v>
      </c>
      <c r="R94" s="78">
        <f>INDEX('8_가정'!$C$47:$C$88,MATCH($B94&amp;"|P4",'8_가정'!$A$47:$A$88,0))</f>
        <v>0</v>
      </c>
      <c r="S94" s="78">
        <f>INDEX('8_가정'!$D$47:$D$88,MATCH($B94&amp;"|P4",'8_가정'!$A$47:$A$88,0))</f>
        <v>0.03</v>
      </c>
      <c r="T94" s="78">
        <f>INDEX('8_가정'!$E$47:$E$88,MATCH($B94&amp;"|P4",'8_가정'!$A$47:$A$88,0))</f>
        <v>0.05</v>
      </c>
      <c r="U94" s="78">
        <f>INDEX('8_가정'!$F$47:$F$88,MATCH($B94&amp;"|P4",'8_가정'!$A$47:$A$88,0))</f>
        <v>0.07</v>
      </c>
      <c r="V94" s="78">
        <f>INDEX('8_가정'!$G$47:$G$88,MATCH($B94&amp;"|P4",'8_가정'!$A$47:$A$88,0))</f>
        <v>0.09</v>
      </c>
      <c r="W94" s="78">
        <f>INDEX('8_가정'!$C$47:$C$88,MATCH($B94&amp;"|P5",'8_가정'!$A$47:$A$88,0))</f>
        <v>0</v>
      </c>
      <c r="X94" s="78">
        <f>INDEX('8_가정'!$D$47:$D$88,MATCH($B94&amp;"|P5",'8_가정'!$A$47:$A$88,0))</f>
        <v>0</v>
      </c>
      <c r="Y94" s="78">
        <f>INDEX('8_가정'!$E$47:$E$88,MATCH($B94&amp;"|P5",'8_가정'!$A$47:$A$88,0))</f>
        <v>0.01</v>
      </c>
      <c r="Z94" s="78">
        <f>INDEX('8_가정'!$F$47:$F$88,MATCH($B94&amp;"|P5",'8_가정'!$A$47:$A$88,0))</f>
        <v>0.03</v>
      </c>
      <c r="AA94" s="78">
        <f>INDEX('8_가정'!$G$47:$G$88,MATCH($B94&amp;"|P5",'8_가정'!$A$47:$A$88,0))</f>
        <v>0.04</v>
      </c>
      <c r="AB94" s="78">
        <f>INDEX('8_가정'!$C$47:$C$88,MATCH($B94&amp;"|P6",'8_가정'!$A$47:$A$88,0))</f>
        <v>0</v>
      </c>
      <c r="AC94" s="78">
        <f>INDEX('8_가정'!$D$47:$D$88,MATCH($B94&amp;"|P6",'8_가정'!$A$47:$A$88,0))</f>
        <v>0</v>
      </c>
      <c r="AD94" s="78">
        <f>INDEX('8_가정'!$E$47:$E$88,MATCH($B94&amp;"|P6",'8_가정'!$A$47:$A$88,0))</f>
        <v>0</v>
      </c>
      <c r="AE94" s="78">
        <f>INDEX('8_가정'!$F$47:$F$88,MATCH($B94&amp;"|P6",'8_가정'!$A$47:$A$88,0))</f>
        <v>0</v>
      </c>
      <c r="AF94" s="78">
        <f>INDEX('8_가정'!$G$47:$G$88,MATCH($B94&amp;"|P6",'8_가정'!$A$47:$A$88,0))</f>
        <v>0</v>
      </c>
    </row>
    <row r="95">
      <c r="A95" s="77" t="str">
        <f>'4_매출_거래처'!D25</f>
        <v>복지용구(NHIS 급여, 기저귀센서)</v>
      </c>
      <c r="B95" s="77" t="str">
        <f>'4_매출_거래처'!I25</f>
        <v>NHIS</v>
      </c>
      <c r="C95" s="78">
        <f>INDEX('8_가정'!$C$47:$C$88,MATCH($B95&amp;"|P1",'8_가정'!$A$47:$A$88,0))</f>
        <v>0.35</v>
      </c>
      <c r="D95" s="78">
        <f>INDEX('8_가정'!$D$47:$D$88,MATCH($B95&amp;"|P1",'8_가정'!$A$47:$A$88,0))</f>
        <v>0.35</v>
      </c>
      <c r="E95" s="78">
        <f>INDEX('8_가정'!$E$47:$E$88,MATCH($B95&amp;"|P1",'8_가정'!$A$47:$A$88,0))</f>
        <v>0.33</v>
      </c>
      <c r="F95" s="78">
        <f>INDEX('8_가정'!$F$47:$F$88,MATCH($B95&amp;"|P1",'8_가정'!$A$47:$A$88,0))</f>
        <v>0.31</v>
      </c>
      <c r="G95" s="78">
        <f>INDEX('8_가정'!$G$47:$G$88,MATCH($B95&amp;"|P1",'8_가정'!$A$47:$A$88,0))</f>
        <v>0.3</v>
      </c>
      <c r="H95" s="78">
        <f>INDEX('8_가정'!$C$47:$C$88,MATCH($B95&amp;"|P2",'8_가정'!$A$47:$A$88,0))</f>
        <v>0.5</v>
      </c>
      <c r="I95" s="78">
        <f>INDEX('8_가정'!$D$47:$D$88,MATCH($B95&amp;"|P2",'8_가정'!$A$47:$A$88,0))</f>
        <v>0.5</v>
      </c>
      <c r="J95" s="78">
        <f>INDEX('8_가정'!$E$47:$E$88,MATCH($B95&amp;"|P2",'8_가정'!$A$47:$A$88,0))</f>
        <v>0.48</v>
      </c>
      <c r="K95" s="78">
        <f>INDEX('8_가정'!$F$47:$F$88,MATCH($B95&amp;"|P2",'8_가정'!$A$47:$A$88,0))</f>
        <v>0.46</v>
      </c>
      <c r="L95" s="78">
        <f>INDEX('8_가정'!$G$47:$G$88,MATCH($B95&amp;"|P2",'8_가정'!$A$47:$A$88,0))</f>
        <v>0.45</v>
      </c>
      <c r="M95" s="78">
        <f>INDEX('8_가정'!$C$47:$C$88,MATCH($B95&amp;"|P3",'8_가정'!$A$47:$A$88,0))</f>
        <v>0.15</v>
      </c>
      <c r="N95" s="78">
        <f>INDEX('8_가정'!$D$47:$D$88,MATCH($B95&amp;"|P3",'8_가정'!$A$47:$A$88,0))</f>
        <v>0.15</v>
      </c>
      <c r="O95" s="78">
        <f>INDEX('8_가정'!$E$47:$E$88,MATCH($B95&amp;"|P3",'8_가정'!$A$47:$A$88,0))</f>
        <v>0.15</v>
      </c>
      <c r="P95" s="78">
        <f>INDEX('8_가정'!$F$47:$F$88,MATCH($B95&amp;"|P3",'8_가정'!$A$47:$A$88,0))</f>
        <v>0.15</v>
      </c>
      <c r="Q95" s="78">
        <f>INDEX('8_가정'!$G$47:$G$88,MATCH($B95&amp;"|P3",'8_가정'!$A$47:$A$88,0))</f>
        <v>0.15</v>
      </c>
      <c r="R95" s="78">
        <f>INDEX('8_가정'!$C$47:$C$88,MATCH($B95&amp;"|P4",'8_가정'!$A$47:$A$88,0))</f>
        <v>0</v>
      </c>
      <c r="S95" s="78">
        <f>INDEX('8_가정'!$D$47:$D$88,MATCH($B95&amp;"|P4",'8_가정'!$A$47:$A$88,0))</f>
        <v>0</v>
      </c>
      <c r="T95" s="78">
        <f>INDEX('8_가정'!$E$47:$E$88,MATCH($B95&amp;"|P4",'8_가정'!$A$47:$A$88,0))</f>
        <v>0.02</v>
      </c>
      <c r="U95" s="78">
        <f>INDEX('8_가정'!$F$47:$F$88,MATCH($B95&amp;"|P4",'8_가정'!$A$47:$A$88,0))</f>
        <v>0.04</v>
      </c>
      <c r="V95" s="78">
        <f>INDEX('8_가정'!$G$47:$G$88,MATCH($B95&amp;"|P4",'8_가정'!$A$47:$A$88,0))</f>
        <v>0.05</v>
      </c>
      <c r="W95" s="78">
        <f>INDEX('8_가정'!$C$47:$C$88,MATCH($B95&amp;"|P5",'8_가정'!$A$47:$A$88,0))</f>
        <v>0</v>
      </c>
      <c r="X95" s="78">
        <f>INDEX('8_가정'!$D$47:$D$88,MATCH($B95&amp;"|P5",'8_가정'!$A$47:$A$88,0))</f>
        <v>0</v>
      </c>
      <c r="Y95" s="78">
        <f>INDEX('8_가정'!$E$47:$E$88,MATCH($B95&amp;"|P5",'8_가정'!$A$47:$A$88,0))</f>
        <v>0.02</v>
      </c>
      <c r="Z95" s="78">
        <f>INDEX('8_가정'!$F$47:$F$88,MATCH($B95&amp;"|P5",'8_가정'!$A$47:$A$88,0))</f>
        <v>0.04</v>
      </c>
      <c r="AA95" s="78">
        <f>INDEX('8_가정'!$G$47:$G$88,MATCH($B95&amp;"|P5",'8_가정'!$A$47:$A$88,0))</f>
        <v>0.05</v>
      </c>
      <c r="AB95" s="78">
        <f>INDEX('8_가정'!$C$47:$C$88,MATCH($B95&amp;"|P6",'8_가정'!$A$47:$A$88,0))</f>
        <v>0</v>
      </c>
      <c r="AC95" s="78">
        <f>INDEX('8_가정'!$D$47:$D$88,MATCH($B95&amp;"|P6",'8_가정'!$A$47:$A$88,0))</f>
        <v>0</v>
      </c>
      <c r="AD95" s="78">
        <f>INDEX('8_가정'!$E$47:$E$88,MATCH($B95&amp;"|P6",'8_가정'!$A$47:$A$88,0))</f>
        <v>0</v>
      </c>
      <c r="AE95" s="78">
        <f>INDEX('8_가정'!$F$47:$F$88,MATCH($B95&amp;"|P6",'8_가정'!$A$47:$A$88,0))</f>
        <v>0</v>
      </c>
      <c r="AF95" s="78">
        <f>INDEX('8_가정'!$G$47:$G$88,MATCH($B95&amp;"|P6",'8_가정'!$A$47:$A$88,0))</f>
        <v>0</v>
      </c>
    </row>
    <row r="96">
      <c r="A96" s="77" t="str">
        <f>'4_매출_거래처'!D26</f>
        <v>국내 B2B 기타</v>
      </c>
      <c r="B96" s="77" t="str">
        <f>'4_매출_거래처'!I26</f>
        <v>SUB</v>
      </c>
      <c r="C96" s="78">
        <f>INDEX('8_가정'!$C$47:$C$88,MATCH($B96&amp;"|P1",'8_가정'!$A$47:$A$88,0))</f>
        <v>0.8</v>
      </c>
      <c r="D96" s="78">
        <f>INDEX('8_가정'!$D$47:$D$88,MATCH($B96&amp;"|P1",'8_가정'!$A$47:$A$88,0))</f>
        <v>0.78</v>
      </c>
      <c r="E96" s="78">
        <f>INDEX('8_가정'!$E$47:$E$88,MATCH($B96&amp;"|P1",'8_가정'!$A$47:$A$88,0))</f>
        <v>0.74</v>
      </c>
      <c r="F96" s="78">
        <f>INDEX('8_가정'!$F$47:$F$88,MATCH($B96&amp;"|P1",'8_가정'!$A$47:$A$88,0))</f>
        <v>0.7</v>
      </c>
      <c r="G96" s="78">
        <f>INDEX('8_가정'!$G$47:$G$88,MATCH($B96&amp;"|P1",'8_가정'!$A$47:$A$88,0))</f>
        <v>0.67</v>
      </c>
      <c r="H96" s="78">
        <f>INDEX('8_가정'!$C$47:$C$88,MATCH($B96&amp;"|P2",'8_가정'!$A$47:$A$88,0))</f>
        <v>0.08</v>
      </c>
      <c r="I96" s="78">
        <f>INDEX('8_가정'!$D$47:$D$88,MATCH($B96&amp;"|P2",'8_가정'!$A$47:$A$88,0))</f>
        <v>0.08</v>
      </c>
      <c r="J96" s="78">
        <f>INDEX('8_가정'!$E$47:$E$88,MATCH($B96&amp;"|P2",'8_가정'!$A$47:$A$88,0))</f>
        <v>0.08</v>
      </c>
      <c r="K96" s="78">
        <f>INDEX('8_가정'!$F$47:$F$88,MATCH($B96&amp;"|P2",'8_가정'!$A$47:$A$88,0))</f>
        <v>0.08</v>
      </c>
      <c r="L96" s="78">
        <f>INDEX('8_가정'!$G$47:$G$88,MATCH($B96&amp;"|P2",'8_가정'!$A$47:$A$88,0))</f>
        <v>0.08</v>
      </c>
      <c r="M96" s="78">
        <f>INDEX('8_가정'!$C$47:$C$88,MATCH($B96&amp;"|P3",'8_가정'!$A$47:$A$88,0))</f>
        <v>0.12</v>
      </c>
      <c r="N96" s="78">
        <f>INDEX('8_가정'!$D$47:$D$88,MATCH($B96&amp;"|P3",'8_가정'!$A$47:$A$88,0))</f>
        <v>0.11</v>
      </c>
      <c r="O96" s="78">
        <f>INDEX('8_가정'!$E$47:$E$88,MATCH($B96&amp;"|P3",'8_가정'!$A$47:$A$88,0))</f>
        <v>0.12</v>
      </c>
      <c r="P96" s="78">
        <f>INDEX('8_가정'!$F$47:$F$88,MATCH($B96&amp;"|P3",'8_가정'!$A$47:$A$88,0))</f>
        <v>0.12</v>
      </c>
      <c r="Q96" s="78">
        <f>INDEX('8_가정'!$G$47:$G$88,MATCH($B96&amp;"|P3",'8_가정'!$A$47:$A$88,0))</f>
        <v>0.12</v>
      </c>
      <c r="R96" s="78">
        <f>INDEX('8_가정'!$C$47:$C$88,MATCH($B96&amp;"|P4",'8_가정'!$A$47:$A$88,0))</f>
        <v>0</v>
      </c>
      <c r="S96" s="78">
        <f>INDEX('8_가정'!$D$47:$D$88,MATCH($B96&amp;"|P4",'8_가정'!$A$47:$A$88,0))</f>
        <v>0.03</v>
      </c>
      <c r="T96" s="78">
        <f>INDEX('8_가정'!$E$47:$E$88,MATCH($B96&amp;"|P4",'8_가정'!$A$47:$A$88,0))</f>
        <v>0.05</v>
      </c>
      <c r="U96" s="78">
        <f>INDEX('8_가정'!$F$47:$F$88,MATCH($B96&amp;"|P4",'8_가정'!$A$47:$A$88,0))</f>
        <v>0.07</v>
      </c>
      <c r="V96" s="78">
        <f>INDEX('8_가정'!$G$47:$G$88,MATCH($B96&amp;"|P4",'8_가정'!$A$47:$A$88,0))</f>
        <v>0.09</v>
      </c>
      <c r="W96" s="78">
        <f>INDEX('8_가정'!$C$47:$C$88,MATCH($B96&amp;"|P5",'8_가정'!$A$47:$A$88,0))</f>
        <v>0</v>
      </c>
      <c r="X96" s="78">
        <f>INDEX('8_가정'!$D$47:$D$88,MATCH($B96&amp;"|P5",'8_가정'!$A$47:$A$88,0))</f>
        <v>0</v>
      </c>
      <c r="Y96" s="78">
        <f>INDEX('8_가정'!$E$47:$E$88,MATCH($B96&amp;"|P5",'8_가정'!$A$47:$A$88,0))</f>
        <v>0.01</v>
      </c>
      <c r="Z96" s="78">
        <f>INDEX('8_가정'!$F$47:$F$88,MATCH($B96&amp;"|P5",'8_가정'!$A$47:$A$88,0))</f>
        <v>0.03</v>
      </c>
      <c r="AA96" s="78">
        <f>INDEX('8_가정'!$G$47:$G$88,MATCH($B96&amp;"|P5",'8_가정'!$A$47:$A$88,0))</f>
        <v>0.04</v>
      </c>
      <c r="AB96" s="78">
        <f>INDEX('8_가정'!$C$47:$C$88,MATCH($B96&amp;"|P6",'8_가정'!$A$47:$A$88,0))</f>
        <v>0</v>
      </c>
      <c r="AC96" s="78">
        <f>INDEX('8_가정'!$D$47:$D$88,MATCH($B96&amp;"|P6",'8_가정'!$A$47:$A$88,0))</f>
        <v>0</v>
      </c>
      <c r="AD96" s="78">
        <f>INDEX('8_가정'!$E$47:$E$88,MATCH($B96&amp;"|P6",'8_가정'!$A$47:$A$88,0))</f>
        <v>0</v>
      </c>
      <c r="AE96" s="78">
        <f>INDEX('8_가정'!$F$47:$F$88,MATCH($B96&amp;"|P6",'8_가정'!$A$47:$A$88,0))</f>
        <v>0</v>
      </c>
      <c r="AF96" s="78">
        <f>INDEX('8_가정'!$G$47:$G$88,MATCH($B96&amp;"|P6",'8_가정'!$A$47:$A$88,0))</f>
        <v>0</v>
      </c>
    </row>
    <row r="97">
      <c r="A97" s="77" t="str">
        <f>'4_매출_거래처'!D27</f>
        <v>APP KOREA — 성인(키퍼스 시니어 팬티형)</v>
      </c>
      <c r="B97" s="77" t="str">
        <f>'4_매출_거래처'!I27</f>
        <v>SUB</v>
      </c>
      <c r="C97" s="78">
        <f>INDEX('8_가정'!$C$47:$C$88,MATCH($B97&amp;"|P1",'8_가정'!$A$47:$A$88,0))</f>
        <v>0.8</v>
      </c>
      <c r="D97" s="78">
        <f>INDEX('8_가정'!$D$47:$D$88,MATCH($B97&amp;"|P1",'8_가정'!$A$47:$A$88,0))</f>
        <v>0.78</v>
      </c>
      <c r="E97" s="78">
        <f>INDEX('8_가정'!$E$47:$E$88,MATCH($B97&amp;"|P1",'8_가정'!$A$47:$A$88,0))</f>
        <v>0.74</v>
      </c>
      <c r="F97" s="78">
        <f>INDEX('8_가정'!$F$47:$F$88,MATCH($B97&amp;"|P1",'8_가정'!$A$47:$A$88,0))</f>
        <v>0.7</v>
      </c>
      <c r="G97" s="78">
        <f>INDEX('8_가정'!$G$47:$G$88,MATCH($B97&amp;"|P1",'8_가정'!$A$47:$A$88,0))</f>
        <v>0.67</v>
      </c>
      <c r="H97" s="78">
        <f>INDEX('8_가정'!$C$47:$C$88,MATCH($B97&amp;"|P2",'8_가정'!$A$47:$A$88,0))</f>
        <v>0.08</v>
      </c>
      <c r="I97" s="78">
        <f>INDEX('8_가정'!$D$47:$D$88,MATCH($B97&amp;"|P2",'8_가정'!$A$47:$A$88,0))</f>
        <v>0.08</v>
      </c>
      <c r="J97" s="78">
        <f>INDEX('8_가정'!$E$47:$E$88,MATCH($B97&amp;"|P2",'8_가정'!$A$47:$A$88,0))</f>
        <v>0.08</v>
      </c>
      <c r="K97" s="78">
        <f>INDEX('8_가정'!$F$47:$F$88,MATCH($B97&amp;"|P2",'8_가정'!$A$47:$A$88,0))</f>
        <v>0.08</v>
      </c>
      <c r="L97" s="78">
        <f>INDEX('8_가정'!$G$47:$G$88,MATCH($B97&amp;"|P2",'8_가정'!$A$47:$A$88,0))</f>
        <v>0.08</v>
      </c>
      <c r="M97" s="78">
        <f>INDEX('8_가정'!$C$47:$C$88,MATCH($B97&amp;"|P3",'8_가정'!$A$47:$A$88,0))</f>
        <v>0.12</v>
      </c>
      <c r="N97" s="78">
        <f>INDEX('8_가정'!$D$47:$D$88,MATCH($B97&amp;"|P3",'8_가정'!$A$47:$A$88,0))</f>
        <v>0.11</v>
      </c>
      <c r="O97" s="78">
        <f>INDEX('8_가정'!$E$47:$E$88,MATCH($B97&amp;"|P3",'8_가정'!$A$47:$A$88,0))</f>
        <v>0.12</v>
      </c>
      <c r="P97" s="78">
        <f>INDEX('8_가정'!$F$47:$F$88,MATCH($B97&amp;"|P3",'8_가정'!$A$47:$A$88,0))</f>
        <v>0.12</v>
      </c>
      <c r="Q97" s="78">
        <f>INDEX('8_가정'!$G$47:$G$88,MATCH($B97&amp;"|P3",'8_가정'!$A$47:$A$88,0))</f>
        <v>0.12</v>
      </c>
      <c r="R97" s="78">
        <f>INDEX('8_가정'!$C$47:$C$88,MATCH($B97&amp;"|P4",'8_가정'!$A$47:$A$88,0))</f>
        <v>0</v>
      </c>
      <c r="S97" s="78">
        <f>INDEX('8_가정'!$D$47:$D$88,MATCH($B97&amp;"|P4",'8_가정'!$A$47:$A$88,0))</f>
        <v>0.03</v>
      </c>
      <c r="T97" s="78">
        <f>INDEX('8_가정'!$E$47:$E$88,MATCH($B97&amp;"|P4",'8_가정'!$A$47:$A$88,0))</f>
        <v>0.05</v>
      </c>
      <c r="U97" s="78">
        <f>INDEX('8_가정'!$F$47:$F$88,MATCH($B97&amp;"|P4",'8_가정'!$A$47:$A$88,0))</f>
        <v>0.07</v>
      </c>
      <c r="V97" s="78">
        <f>INDEX('8_가정'!$G$47:$G$88,MATCH($B97&amp;"|P4",'8_가정'!$A$47:$A$88,0))</f>
        <v>0.09</v>
      </c>
      <c r="W97" s="78">
        <f>INDEX('8_가정'!$C$47:$C$88,MATCH($B97&amp;"|P5",'8_가정'!$A$47:$A$88,0))</f>
        <v>0</v>
      </c>
      <c r="X97" s="78">
        <f>INDEX('8_가정'!$D$47:$D$88,MATCH($B97&amp;"|P5",'8_가정'!$A$47:$A$88,0))</f>
        <v>0</v>
      </c>
      <c r="Y97" s="78">
        <f>INDEX('8_가정'!$E$47:$E$88,MATCH($B97&amp;"|P5",'8_가정'!$A$47:$A$88,0))</f>
        <v>0.01</v>
      </c>
      <c r="Z97" s="78">
        <f>INDEX('8_가정'!$F$47:$F$88,MATCH($B97&amp;"|P5",'8_가정'!$A$47:$A$88,0))</f>
        <v>0.03</v>
      </c>
      <c r="AA97" s="78">
        <f>INDEX('8_가정'!$G$47:$G$88,MATCH($B97&amp;"|P5",'8_가정'!$A$47:$A$88,0))</f>
        <v>0.04</v>
      </c>
      <c r="AB97" s="78">
        <f>INDEX('8_가정'!$C$47:$C$88,MATCH($B97&amp;"|P6",'8_가정'!$A$47:$A$88,0))</f>
        <v>0</v>
      </c>
      <c r="AC97" s="78">
        <f>INDEX('8_가정'!$D$47:$D$88,MATCH($B97&amp;"|P6",'8_가정'!$A$47:$A$88,0))</f>
        <v>0</v>
      </c>
      <c r="AD97" s="78">
        <f>INDEX('8_가정'!$E$47:$E$88,MATCH($B97&amp;"|P6",'8_가정'!$A$47:$A$88,0))</f>
        <v>0</v>
      </c>
      <c r="AE97" s="78">
        <f>INDEX('8_가정'!$F$47:$F$88,MATCH($B97&amp;"|P6",'8_가정'!$A$47:$A$88,0))</f>
        <v>0</v>
      </c>
      <c r="AF97" s="78">
        <f>INDEX('8_가정'!$G$47:$G$88,MATCH($B97&amp;"|P6",'8_가정'!$A$47:$A$88,0))</f>
        <v>0</v>
      </c>
    </row>
    <row r="98">
      <c r="A98" s="77" t="str">
        <f>'4_매출_거래처'!D28</f>
        <v>일본 하트키움(HEARTCARE 오사카 요양시설)</v>
      </c>
      <c r="B98" s="77" t="str">
        <f>'4_매출_거래처'!I28</f>
        <v>DIST</v>
      </c>
      <c r="C98" s="78">
        <f>INDEX('8_가정'!$C$47:$C$88,MATCH($B98&amp;"|P1",'8_가정'!$A$47:$A$88,0))</f>
        <v>0.62</v>
      </c>
      <c r="D98" s="78">
        <f>INDEX('8_가정'!$D$47:$D$88,MATCH($B98&amp;"|P1",'8_가정'!$A$47:$A$88,0))</f>
        <v>0.62</v>
      </c>
      <c r="E98" s="78">
        <f>INDEX('8_가정'!$E$47:$E$88,MATCH($B98&amp;"|P1",'8_가정'!$A$47:$A$88,0))</f>
        <v>0.6</v>
      </c>
      <c r="F98" s="78">
        <f>INDEX('8_가정'!$F$47:$F$88,MATCH($B98&amp;"|P1",'8_가정'!$A$47:$A$88,0))</f>
        <v>0.58</v>
      </c>
      <c r="G98" s="78">
        <f>INDEX('8_가정'!$G$47:$G$88,MATCH($B98&amp;"|P1",'8_가정'!$A$47:$A$88,0))</f>
        <v>0.56</v>
      </c>
      <c r="H98" s="78">
        <f>INDEX('8_가정'!$C$47:$C$88,MATCH($B98&amp;"|P2",'8_가정'!$A$47:$A$88,0))</f>
        <v>0.28</v>
      </c>
      <c r="I98" s="78">
        <f>INDEX('8_가정'!$D$47:$D$88,MATCH($B98&amp;"|P2",'8_가정'!$A$47:$A$88,0))</f>
        <v>0.26</v>
      </c>
      <c r="J98" s="78">
        <f>INDEX('8_가정'!$E$47:$E$88,MATCH($B98&amp;"|P2",'8_가정'!$A$47:$A$88,0))</f>
        <v>0.24</v>
      </c>
      <c r="K98" s="78">
        <f>INDEX('8_가정'!$F$47:$F$88,MATCH($B98&amp;"|P2",'8_가정'!$A$47:$A$88,0))</f>
        <v>0.22</v>
      </c>
      <c r="L98" s="78">
        <f>INDEX('8_가정'!$G$47:$G$88,MATCH($B98&amp;"|P2",'8_가정'!$A$47:$A$88,0))</f>
        <v>0.2</v>
      </c>
      <c r="M98" s="78">
        <f>INDEX('8_가정'!$C$47:$C$88,MATCH($B98&amp;"|P3",'8_가정'!$A$47:$A$88,0))</f>
        <v>0.1</v>
      </c>
      <c r="N98" s="78">
        <f>INDEX('8_가정'!$D$47:$D$88,MATCH($B98&amp;"|P3",'8_가정'!$A$47:$A$88,0))</f>
        <v>0.09</v>
      </c>
      <c r="O98" s="78">
        <f>INDEX('8_가정'!$E$47:$E$88,MATCH($B98&amp;"|P3",'8_가정'!$A$47:$A$88,0))</f>
        <v>0.1</v>
      </c>
      <c r="P98" s="78">
        <f>INDEX('8_가정'!$F$47:$F$88,MATCH($B98&amp;"|P3",'8_가정'!$A$47:$A$88,0))</f>
        <v>0.1</v>
      </c>
      <c r="Q98" s="78">
        <f>INDEX('8_가정'!$G$47:$G$88,MATCH($B98&amp;"|P3",'8_가정'!$A$47:$A$88,0))</f>
        <v>0.1</v>
      </c>
      <c r="R98" s="78">
        <f>INDEX('8_가정'!$C$47:$C$88,MATCH($B98&amp;"|P4",'8_가정'!$A$47:$A$88,0))</f>
        <v>0</v>
      </c>
      <c r="S98" s="78">
        <f>INDEX('8_가정'!$D$47:$D$88,MATCH($B98&amp;"|P4",'8_가정'!$A$47:$A$88,0))</f>
        <v>0.03</v>
      </c>
      <c r="T98" s="78">
        <f>INDEX('8_가정'!$E$47:$E$88,MATCH($B98&amp;"|P4",'8_가정'!$A$47:$A$88,0))</f>
        <v>0.05</v>
      </c>
      <c r="U98" s="78">
        <f>INDEX('8_가정'!$F$47:$F$88,MATCH($B98&amp;"|P4",'8_가정'!$A$47:$A$88,0))</f>
        <v>0.07</v>
      </c>
      <c r="V98" s="78">
        <f>INDEX('8_가정'!$G$47:$G$88,MATCH($B98&amp;"|P4",'8_가정'!$A$47:$A$88,0))</f>
        <v>0.09</v>
      </c>
      <c r="W98" s="78">
        <f>INDEX('8_가정'!$C$47:$C$88,MATCH($B98&amp;"|P5",'8_가정'!$A$47:$A$88,0))</f>
        <v>0</v>
      </c>
      <c r="X98" s="78">
        <f>INDEX('8_가정'!$D$47:$D$88,MATCH($B98&amp;"|P5",'8_가정'!$A$47:$A$88,0))</f>
        <v>0</v>
      </c>
      <c r="Y98" s="78">
        <f>INDEX('8_가정'!$E$47:$E$88,MATCH($B98&amp;"|P5",'8_가정'!$A$47:$A$88,0))</f>
        <v>0.01</v>
      </c>
      <c r="Z98" s="78">
        <f>INDEX('8_가정'!$F$47:$F$88,MATCH($B98&amp;"|P5",'8_가정'!$A$47:$A$88,0))</f>
        <v>0.03</v>
      </c>
      <c r="AA98" s="78">
        <f>INDEX('8_가정'!$G$47:$G$88,MATCH($B98&amp;"|P5",'8_가정'!$A$47:$A$88,0))</f>
        <v>0.05</v>
      </c>
      <c r="AB98" s="78">
        <f>INDEX('8_가정'!$C$47:$C$88,MATCH($B98&amp;"|P6",'8_가정'!$A$47:$A$88,0))</f>
        <v>0</v>
      </c>
      <c r="AC98" s="78">
        <f>INDEX('8_가정'!$D$47:$D$88,MATCH($B98&amp;"|P6",'8_가정'!$A$47:$A$88,0))</f>
        <v>0</v>
      </c>
      <c r="AD98" s="78">
        <f>INDEX('8_가정'!$E$47:$E$88,MATCH($B98&amp;"|P6",'8_가정'!$A$47:$A$88,0))</f>
        <v>0</v>
      </c>
      <c r="AE98" s="78">
        <f>INDEX('8_가정'!$F$47:$F$88,MATCH($B98&amp;"|P6",'8_가정'!$A$47:$A$88,0))</f>
        <v>0</v>
      </c>
      <c r="AF98" s="78">
        <f>INDEX('8_가정'!$G$47:$G$88,MATCH($B98&amp;"|P6",'8_가정'!$A$47:$A$88,0))</f>
        <v>0</v>
      </c>
    </row>
    <row r="99">
      <c r="A99" s="77" t="str">
        <f>'4_매출_거래처'!D29</f>
        <v>일본 TAIS by JAIS</v>
      </c>
      <c r="B99" s="77" t="str">
        <f>'4_매출_거래처'!I29</f>
        <v>SUB</v>
      </c>
      <c r="C99" s="78">
        <f>INDEX('8_가정'!$C$47:$C$88,MATCH($B99&amp;"|P1",'8_가정'!$A$47:$A$88,0))</f>
        <v>0.8</v>
      </c>
      <c r="D99" s="78">
        <f>INDEX('8_가정'!$D$47:$D$88,MATCH($B99&amp;"|P1",'8_가정'!$A$47:$A$88,0))</f>
        <v>0.78</v>
      </c>
      <c r="E99" s="78">
        <f>INDEX('8_가정'!$E$47:$E$88,MATCH($B99&amp;"|P1",'8_가정'!$A$47:$A$88,0))</f>
        <v>0.74</v>
      </c>
      <c r="F99" s="78">
        <f>INDEX('8_가정'!$F$47:$F$88,MATCH($B99&amp;"|P1",'8_가정'!$A$47:$A$88,0))</f>
        <v>0.7</v>
      </c>
      <c r="G99" s="78">
        <f>INDEX('8_가정'!$G$47:$G$88,MATCH($B99&amp;"|P1",'8_가정'!$A$47:$A$88,0))</f>
        <v>0.67</v>
      </c>
      <c r="H99" s="78">
        <f>INDEX('8_가정'!$C$47:$C$88,MATCH($B99&amp;"|P2",'8_가정'!$A$47:$A$88,0))</f>
        <v>0.08</v>
      </c>
      <c r="I99" s="78">
        <f>INDEX('8_가정'!$D$47:$D$88,MATCH($B99&amp;"|P2",'8_가정'!$A$47:$A$88,0))</f>
        <v>0.08</v>
      </c>
      <c r="J99" s="78">
        <f>INDEX('8_가정'!$E$47:$E$88,MATCH($B99&amp;"|P2",'8_가정'!$A$47:$A$88,0))</f>
        <v>0.08</v>
      </c>
      <c r="K99" s="78">
        <f>INDEX('8_가정'!$F$47:$F$88,MATCH($B99&amp;"|P2",'8_가정'!$A$47:$A$88,0))</f>
        <v>0.08</v>
      </c>
      <c r="L99" s="78">
        <f>INDEX('8_가정'!$G$47:$G$88,MATCH($B99&amp;"|P2",'8_가정'!$A$47:$A$88,0))</f>
        <v>0.08</v>
      </c>
      <c r="M99" s="78">
        <f>INDEX('8_가정'!$C$47:$C$88,MATCH($B99&amp;"|P3",'8_가정'!$A$47:$A$88,0))</f>
        <v>0.12</v>
      </c>
      <c r="N99" s="78">
        <f>INDEX('8_가정'!$D$47:$D$88,MATCH($B99&amp;"|P3",'8_가정'!$A$47:$A$88,0))</f>
        <v>0.11</v>
      </c>
      <c r="O99" s="78">
        <f>INDEX('8_가정'!$E$47:$E$88,MATCH($B99&amp;"|P3",'8_가정'!$A$47:$A$88,0))</f>
        <v>0.12</v>
      </c>
      <c r="P99" s="78">
        <f>INDEX('8_가정'!$F$47:$F$88,MATCH($B99&amp;"|P3",'8_가정'!$A$47:$A$88,0))</f>
        <v>0.12</v>
      </c>
      <c r="Q99" s="78">
        <f>INDEX('8_가정'!$G$47:$G$88,MATCH($B99&amp;"|P3",'8_가정'!$A$47:$A$88,0))</f>
        <v>0.12</v>
      </c>
      <c r="R99" s="78">
        <f>INDEX('8_가정'!$C$47:$C$88,MATCH($B99&amp;"|P4",'8_가정'!$A$47:$A$88,0))</f>
        <v>0</v>
      </c>
      <c r="S99" s="78">
        <f>INDEX('8_가정'!$D$47:$D$88,MATCH($B99&amp;"|P4",'8_가정'!$A$47:$A$88,0))</f>
        <v>0.03</v>
      </c>
      <c r="T99" s="78">
        <f>INDEX('8_가정'!$E$47:$E$88,MATCH($B99&amp;"|P4",'8_가정'!$A$47:$A$88,0))</f>
        <v>0.05</v>
      </c>
      <c r="U99" s="78">
        <f>INDEX('8_가정'!$F$47:$F$88,MATCH($B99&amp;"|P4",'8_가정'!$A$47:$A$88,0))</f>
        <v>0.07</v>
      </c>
      <c r="V99" s="78">
        <f>INDEX('8_가정'!$G$47:$G$88,MATCH($B99&amp;"|P4",'8_가정'!$A$47:$A$88,0))</f>
        <v>0.09</v>
      </c>
      <c r="W99" s="78">
        <f>INDEX('8_가정'!$C$47:$C$88,MATCH($B99&amp;"|P5",'8_가정'!$A$47:$A$88,0))</f>
        <v>0</v>
      </c>
      <c r="X99" s="78">
        <f>INDEX('8_가정'!$D$47:$D$88,MATCH($B99&amp;"|P5",'8_가정'!$A$47:$A$88,0))</f>
        <v>0</v>
      </c>
      <c r="Y99" s="78">
        <f>INDEX('8_가정'!$E$47:$E$88,MATCH($B99&amp;"|P5",'8_가정'!$A$47:$A$88,0))</f>
        <v>0.01</v>
      </c>
      <c r="Z99" s="78">
        <f>INDEX('8_가정'!$F$47:$F$88,MATCH($B99&amp;"|P5",'8_가정'!$A$47:$A$88,0))</f>
        <v>0.03</v>
      </c>
      <c r="AA99" s="78">
        <f>INDEX('8_가정'!$G$47:$G$88,MATCH($B99&amp;"|P5",'8_가정'!$A$47:$A$88,0))</f>
        <v>0.04</v>
      </c>
      <c r="AB99" s="78">
        <f>INDEX('8_가정'!$C$47:$C$88,MATCH($B99&amp;"|P6",'8_가정'!$A$47:$A$88,0))</f>
        <v>0</v>
      </c>
      <c r="AC99" s="78">
        <f>INDEX('8_가정'!$D$47:$D$88,MATCH($B99&amp;"|P6",'8_가정'!$A$47:$A$88,0))</f>
        <v>0</v>
      </c>
      <c r="AD99" s="78">
        <f>INDEX('8_가정'!$E$47:$E$88,MATCH($B99&amp;"|P6",'8_가정'!$A$47:$A$88,0))</f>
        <v>0</v>
      </c>
      <c r="AE99" s="78">
        <f>INDEX('8_가정'!$F$47:$F$88,MATCH($B99&amp;"|P6",'8_가정'!$A$47:$A$88,0))</f>
        <v>0</v>
      </c>
      <c r="AF99" s="78">
        <f>INDEX('8_가정'!$G$47:$G$88,MATCH($B99&amp;"|P6",'8_가정'!$A$47:$A$88,0))</f>
        <v>0</v>
      </c>
    </row>
    <row r="100">
      <c r="A100" s="77" t="str">
        <f>'4_매출_거래처'!D30</f>
        <v>케랄라 주정부(인도)</v>
      </c>
      <c r="B100" s="77" t="str">
        <f>'4_매출_거래처'!I30</f>
        <v>DIST</v>
      </c>
      <c r="C100" s="78">
        <f>INDEX('8_가정'!$C$47:$C$88,MATCH($B100&amp;"|P1",'8_가정'!$A$47:$A$88,0))</f>
        <v>0.62</v>
      </c>
      <c r="D100" s="78">
        <f>INDEX('8_가정'!$D$47:$D$88,MATCH($B100&amp;"|P1",'8_가정'!$A$47:$A$88,0))</f>
        <v>0.62</v>
      </c>
      <c r="E100" s="78">
        <f>INDEX('8_가정'!$E$47:$E$88,MATCH($B100&amp;"|P1",'8_가정'!$A$47:$A$88,0))</f>
        <v>0.6</v>
      </c>
      <c r="F100" s="78">
        <f>INDEX('8_가정'!$F$47:$F$88,MATCH($B100&amp;"|P1",'8_가정'!$A$47:$A$88,0))</f>
        <v>0.58</v>
      </c>
      <c r="G100" s="78">
        <f>INDEX('8_가정'!$G$47:$G$88,MATCH($B100&amp;"|P1",'8_가정'!$A$47:$A$88,0))</f>
        <v>0.56</v>
      </c>
      <c r="H100" s="78">
        <f>INDEX('8_가정'!$C$47:$C$88,MATCH($B100&amp;"|P2",'8_가정'!$A$47:$A$88,0))</f>
        <v>0.28</v>
      </c>
      <c r="I100" s="78">
        <f>INDEX('8_가정'!$D$47:$D$88,MATCH($B100&amp;"|P2",'8_가정'!$A$47:$A$88,0))</f>
        <v>0.26</v>
      </c>
      <c r="J100" s="78">
        <f>INDEX('8_가정'!$E$47:$E$88,MATCH($B100&amp;"|P2",'8_가정'!$A$47:$A$88,0))</f>
        <v>0.24</v>
      </c>
      <c r="K100" s="78">
        <f>INDEX('8_가정'!$F$47:$F$88,MATCH($B100&amp;"|P2",'8_가정'!$A$47:$A$88,0))</f>
        <v>0.22</v>
      </c>
      <c r="L100" s="78">
        <f>INDEX('8_가정'!$G$47:$G$88,MATCH($B100&amp;"|P2",'8_가정'!$A$47:$A$88,0))</f>
        <v>0.2</v>
      </c>
      <c r="M100" s="78">
        <f>INDEX('8_가정'!$C$47:$C$88,MATCH($B100&amp;"|P3",'8_가정'!$A$47:$A$88,0))</f>
        <v>0.1</v>
      </c>
      <c r="N100" s="78">
        <f>INDEX('8_가정'!$D$47:$D$88,MATCH($B100&amp;"|P3",'8_가정'!$A$47:$A$88,0))</f>
        <v>0.09</v>
      </c>
      <c r="O100" s="78">
        <f>INDEX('8_가정'!$E$47:$E$88,MATCH($B100&amp;"|P3",'8_가정'!$A$47:$A$88,0))</f>
        <v>0.1</v>
      </c>
      <c r="P100" s="78">
        <f>INDEX('8_가정'!$F$47:$F$88,MATCH($B100&amp;"|P3",'8_가정'!$A$47:$A$88,0))</f>
        <v>0.1</v>
      </c>
      <c r="Q100" s="78">
        <f>INDEX('8_가정'!$G$47:$G$88,MATCH($B100&amp;"|P3",'8_가정'!$A$47:$A$88,0))</f>
        <v>0.1</v>
      </c>
      <c r="R100" s="78">
        <f>INDEX('8_가정'!$C$47:$C$88,MATCH($B100&amp;"|P4",'8_가정'!$A$47:$A$88,0))</f>
        <v>0</v>
      </c>
      <c r="S100" s="78">
        <f>INDEX('8_가정'!$D$47:$D$88,MATCH($B100&amp;"|P4",'8_가정'!$A$47:$A$88,0))</f>
        <v>0.03</v>
      </c>
      <c r="T100" s="78">
        <f>INDEX('8_가정'!$E$47:$E$88,MATCH($B100&amp;"|P4",'8_가정'!$A$47:$A$88,0))</f>
        <v>0.05</v>
      </c>
      <c r="U100" s="78">
        <f>INDEX('8_가정'!$F$47:$F$88,MATCH($B100&amp;"|P4",'8_가정'!$A$47:$A$88,0))</f>
        <v>0.07</v>
      </c>
      <c r="V100" s="78">
        <f>INDEX('8_가정'!$G$47:$G$88,MATCH($B100&amp;"|P4",'8_가정'!$A$47:$A$88,0))</f>
        <v>0.09</v>
      </c>
      <c r="W100" s="78">
        <f>INDEX('8_가정'!$C$47:$C$88,MATCH($B100&amp;"|P5",'8_가정'!$A$47:$A$88,0))</f>
        <v>0</v>
      </c>
      <c r="X100" s="78">
        <f>INDEX('8_가정'!$D$47:$D$88,MATCH($B100&amp;"|P5",'8_가정'!$A$47:$A$88,0))</f>
        <v>0</v>
      </c>
      <c r="Y100" s="78">
        <f>INDEX('8_가정'!$E$47:$E$88,MATCH($B100&amp;"|P5",'8_가정'!$A$47:$A$88,0))</f>
        <v>0.01</v>
      </c>
      <c r="Z100" s="78">
        <f>INDEX('8_가정'!$F$47:$F$88,MATCH($B100&amp;"|P5",'8_가정'!$A$47:$A$88,0))</f>
        <v>0.03</v>
      </c>
      <c r="AA100" s="78">
        <f>INDEX('8_가정'!$G$47:$G$88,MATCH($B100&amp;"|P5",'8_가정'!$A$47:$A$88,0))</f>
        <v>0.05</v>
      </c>
      <c r="AB100" s="78">
        <f>INDEX('8_가정'!$C$47:$C$88,MATCH($B100&amp;"|P6",'8_가정'!$A$47:$A$88,0))</f>
        <v>0</v>
      </c>
      <c r="AC100" s="78">
        <f>INDEX('8_가정'!$D$47:$D$88,MATCH($B100&amp;"|P6",'8_가정'!$A$47:$A$88,0))</f>
        <v>0</v>
      </c>
      <c r="AD100" s="78">
        <f>INDEX('8_가정'!$E$47:$E$88,MATCH($B100&amp;"|P6",'8_가정'!$A$47:$A$88,0))</f>
        <v>0</v>
      </c>
      <c r="AE100" s="78">
        <f>INDEX('8_가정'!$F$47:$F$88,MATCH($B100&amp;"|P6",'8_가정'!$A$47:$A$88,0))</f>
        <v>0</v>
      </c>
      <c r="AF100" s="78">
        <f>INDEX('8_가정'!$G$47:$G$88,MATCH($B100&amp;"|P6",'8_가정'!$A$47:$A$88,0))</f>
        <v>0</v>
      </c>
    </row>
    <row r="101">
      <c r="A101" s="77" t="str">
        <f>'4_매출_거래처'!D31</f>
        <v>인도 뉴델리 디스트리뷰터</v>
      </c>
      <c r="B101" s="77" t="str">
        <f>'4_매출_거래처'!I31</f>
        <v>DIST</v>
      </c>
      <c r="C101" s="78">
        <f>INDEX('8_가정'!$C$47:$C$88,MATCH($B101&amp;"|P1",'8_가정'!$A$47:$A$88,0))</f>
        <v>0.62</v>
      </c>
      <c r="D101" s="78">
        <f>INDEX('8_가정'!$D$47:$D$88,MATCH($B101&amp;"|P1",'8_가정'!$A$47:$A$88,0))</f>
        <v>0.62</v>
      </c>
      <c r="E101" s="78">
        <f>INDEX('8_가정'!$E$47:$E$88,MATCH($B101&amp;"|P1",'8_가정'!$A$47:$A$88,0))</f>
        <v>0.6</v>
      </c>
      <c r="F101" s="78">
        <f>INDEX('8_가정'!$F$47:$F$88,MATCH($B101&amp;"|P1",'8_가정'!$A$47:$A$88,0))</f>
        <v>0.58</v>
      </c>
      <c r="G101" s="78">
        <f>INDEX('8_가정'!$G$47:$G$88,MATCH($B101&amp;"|P1",'8_가정'!$A$47:$A$88,0))</f>
        <v>0.56</v>
      </c>
      <c r="H101" s="78">
        <f>INDEX('8_가정'!$C$47:$C$88,MATCH($B101&amp;"|P2",'8_가정'!$A$47:$A$88,0))</f>
        <v>0.28</v>
      </c>
      <c r="I101" s="78">
        <f>INDEX('8_가정'!$D$47:$D$88,MATCH($B101&amp;"|P2",'8_가정'!$A$47:$A$88,0))</f>
        <v>0.26</v>
      </c>
      <c r="J101" s="78">
        <f>INDEX('8_가정'!$E$47:$E$88,MATCH($B101&amp;"|P2",'8_가정'!$A$47:$A$88,0))</f>
        <v>0.24</v>
      </c>
      <c r="K101" s="78">
        <f>INDEX('8_가정'!$F$47:$F$88,MATCH($B101&amp;"|P2",'8_가정'!$A$47:$A$88,0))</f>
        <v>0.22</v>
      </c>
      <c r="L101" s="78">
        <f>INDEX('8_가정'!$G$47:$G$88,MATCH($B101&amp;"|P2",'8_가정'!$A$47:$A$88,0))</f>
        <v>0.2</v>
      </c>
      <c r="M101" s="78">
        <f>INDEX('8_가정'!$C$47:$C$88,MATCH($B101&amp;"|P3",'8_가정'!$A$47:$A$88,0))</f>
        <v>0.1</v>
      </c>
      <c r="N101" s="78">
        <f>INDEX('8_가정'!$D$47:$D$88,MATCH($B101&amp;"|P3",'8_가정'!$A$47:$A$88,0))</f>
        <v>0.09</v>
      </c>
      <c r="O101" s="78">
        <f>INDEX('8_가정'!$E$47:$E$88,MATCH($B101&amp;"|P3",'8_가정'!$A$47:$A$88,0))</f>
        <v>0.1</v>
      </c>
      <c r="P101" s="78">
        <f>INDEX('8_가정'!$F$47:$F$88,MATCH($B101&amp;"|P3",'8_가정'!$A$47:$A$88,0))</f>
        <v>0.1</v>
      </c>
      <c r="Q101" s="78">
        <f>INDEX('8_가정'!$G$47:$G$88,MATCH($B101&amp;"|P3",'8_가정'!$A$47:$A$88,0))</f>
        <v>0.1</v>
      </c>
      <c r="R101" s="78">
        <f>INDEX('8_가정'!$C$47:$C$88,MATCH($B101&amp;"|P4",'8_가정'!$A$47:$A$88,0))</f>
        <v>0</v>
      </c>
      <c r="S101" s="78">
        <f>INDEX('8_가정'!$D$47:$D$88,MATCH($B101&amp;"|P4",'8_가정'!$A$47:$A$88,0))</f>
        <v>0.03</v>
      </c>
      <c r="T101" s="78">
        <f>INDEX('8_가정'!$E$47:$E$88,MATCH($B101&amp;"|P4",'8_가정'!$A$47:$A$88,0))</f>
        <v>0.05</v>
      </c>
      <c r="U101" s="78">
        <f>INDEX('8_가정'!$F$47:$F$88,MATCH($B101&amp;"|P4",'8_가정'!$A$47:$A$88,0))</f>
        <v>0.07</v>
      </c>
      <c r="V101" s="78">
        <f>INDEX('8_가정'!$G$47:$G$88,MATCH($B101&amp;"|P4",'8_가정'!$A$47:$A$88,0))</f>
        <v>0.09</v>
      </c>
      <c r="W101" s="78">
        <f>INDEX('8_가정'!$C$47:$C$88,MATCH($B101&amp;"|P5",'8_가정'!$A$47:$A$88,0))</f>
        <v>0</v>
      </c>
      <c r="X101" s="78">
        <f>INDEX('8_가정'!$D$47:$D$88,MATCH($B101&amp;"|P5",'8_가정'!$A$47:$A$88,0))</f>
        <v>0</v>
      </c>
      <c r="Y101" s="78">
        <f>INDEX('8_가정'!$E$47:$E$88,MATCH($B101&amp;"|P5",'8_가정'!$A$47:$A$88,0))</f>
        <v>0.01</v>
      </c>
      <c r="Z101" s="78">
        <f>INDEX('8_가정'!$F$47:$F$88,MATCH($B101&amp;"|P5",'8_가정'!$A$47:$A$88,0))</f>
        <v>0.03</v>
      </c>
      <c r="AA101" s="78">
        <f>INDEX('8_가정'!$G$47:$G$88,MATCH($B101&amp;"|P5",'8_가정'!$A$47:$A$88,0))</f>
        <v>0.05</v>
      </c>
      <c r="AB101" s="78">
        <f>INDEX('8_가정'!$C$47:$C$88,MATCH($B101&amp;"|P6",'8_가정'!$A$47:$A$88,0))</f>
        <v>0</v>
      </c>
      <c r="AC101" s="78">
        <f>INDEX('8_가정'!$D$47:$D$88,MATCH($B101&amp;"|P6",'8_가정'!$A$47:$A$88,0))</f>
        <v>0</v>
      </c>
      <c r="AD101" s="78">
        <f>INDEX('8_가정'!$E$47:$E$88,MATCH($B101&amp;"|P6",'8_가정'!$A$47:$A$88,0))</f>
        <v>0</v>
      </c>
      <c r="AE101" s="78">
        <f>INDEX('8_가정'!$F$47:$F$88,MATCH($B101&amp;"|P6",'8_가정'!$A$47:$A$88,0))</f>
        <v>0</v>
      </c>
      <c r="AF101" s="78">
        <f>INDEX('8_가정'!$G$47:$G$88,MATCH($B101&amp;"|P6",'8_가정'!$A$47:$A$88,0))</f>
        <v>0</v>
      </c>
    </row>
    <row r="102">
      <c r="A102" s="77" t="str">
        <f>'4_매출_거래처'!D32</f>
        <v>인도 뭄바이 디스트리뷰터</v>
      </c>
      <c r="B102" s="77" t="str">
        <f>'4_매출_거래처'!I32</f>
        <v>DIST</v>
      </c>
      <c r="C102" s="78">
        <f>INDEX('8_가정'!$C$47:$C$88,MATCH($B102&amp;"|P1",'8_가정'!$A$47:$A$88,0))</f>
        <v>0.62</v>
      </c>
      <c r="D102" s="78">
        <f>INDEX('8_가정'!$D$47:$D$88,MATCH($B102&amp;"|P1",'8_가정'!$A$47:$A$88,0))</f>
        <v>0.62</v>
      </c>
      <c r="E102" s="78">
        <f>INDEX('8_가정'!$E$47:$E$88,MATCH($B102&amp;"|P1",'8_가정'!$A$47:$A$88,0))</f>
        <v>0.6</v>
      </c>
      <c r="F102" s="78">
        <f>INDEX('8_가정'!$F$47:$F$88,MATCH($B102&amp;"|P1",'8_가정'!$A$47:$A$88,0))</f>
        <v>0.58</v>
      </c>
      <c r="G102" s="78">
        <f>INDEX('8_가정'!$G$47:$G$88,MATCH($B102&amp;"|P1",'8_가정'!$A$47:$A$88,0))</f>
        <v>0.56</v>
      </c>
      <c r="H102" s="78">
        <f>INDEX('8_가정'!$C$47:$C$88,MATCH($B102&amp;"|P2",'8_가정'!$A$47:$A$88,0))</f>
        <v>0.28</v>
      </c>
      <c r="I102" s="78">
        <f>INDEX('8_가정'!$D$47:$D$88,MATCH($B102&amp;"|P2",'8_가정'!$A$47:$A$88,0))</f>
        <v>0.26</v>
      </c>
      <c r="J102" s="78">
        <f>INDEX('8_가정'!$E$47:$E$88,MATCH($B102&amp;"|P2",'8_가정'!$A$47:$A$88,0))</f>
        <v>0.24</v>
      </c>
      <c r="K102" s="78">
        <f>INDEX('8_가정'!$F$47:$F$88,MATCH($B102&amp;"|P2",'8_가정'!$A$47:$A$88,0))</f>
        <v>0.22</v>
      </c>
      <c r="L102" s="78">
        <f>INDEX('8_가정'!$G$47:$G$88,MATCH($B102&amp;"|P2",'8_가정'!$A$47:$A$88,0))</f>
        <v>0.2</v>
      </c>
      <c r="M102" s="78">
        <f>INDEX('8_가정'!$C$47:$C$88,MATCH($B102&amp;"|P3",'8_가정'!$A$47:$A$88,0))</f>
        <v>0.1</v>
      </c>
      <c r="N102" s="78">
        <f>INDEX('8_가정'!$D$47:$D$88,MATCH($B102&amp;"|P3",'8_가정'!$A$47:$A$88,0))</f>
        <v>0.09</v>
      </c>
      <c r="O102" s="78">
        <f>INDEX('8_가정'!$E$47:$E$88,MATCH($B102&amp;"|P3",'8_가정'!$A$47:$A$88,0))</f>
        <v>0.1</v>
      </c>
      <c r="P102" s="78">
        <f>INDEX('8_가정'!$F$47:$F$88,MATCH($B102&amp;"|P3",'8_가정'!$A$47:$A$88,0))</f>
        <v>0.1</v>
      </c>
      <c r="Q102" s="78">
        <f>INDEX('8_가정'!$G$47:$G$88,MATCH($B102&amp;"|P3",'8_가정'!$A$47:$A$88,0))</f>
        <v>0.1</v>
      </c>
      <c r="R102" s="78">
        <f>INDEX('8_가정'!$C$47:$C$88,MATCH($B102&amp;"|P4",'8_가정'!$A$47:$A$88,0))</f>
        <v>0</v>
      </c>
      <c r="S102" s="78">
        <f>INDEX('8_가정'!$D$47:$D$88,MATCH($B102&amp;"|P4",'8_가정'!$A$47:$A$88,0))</f>
        <v>0.03</v>
      </c>
      <c r="T102" s="78">
        <f>INDEX('8_가정'!$E$47:$E$88,MATCH($B102&amp;"|P4",'8_가정'!$A$47:$A$88,0))</f>
        <v>0.05</v>
      </c>
      <c r="U102" s="78">
        <f>INDEX('8_가정'!$F$47:$F$88,MATCH($B102&amp;"|P4",'8_가정'!$A$47:$A$88,0))</f>
        <v>0.07</v>
      </c>
      <c r="V102" s="78">
        <f>INDEX('8_가정'!$G$47:$G$88,MATCH($B102&amp;"|P4",'8_가정'!$A$47:$A$88,0))</f>
        <v>0.09</v>
      </c>
      <c r="W102" s="78">
        <f>INDEX('8_가정'!$C$47:$C$88,MATCH($B102&amp;"|P5",'8_가정'!$A$47:$A$88,0))</f>
        <v>0</v>
      </c>
      <c r="X102" s="78">
        <f>INDEX('8_가정'!$D$47:$D$88,MATCH($B102&amp;"|P5",'8_가정'!$A$47:$A$88,0))</f>
        <v>0</v>
      </c>
      <c r="Y102" s="78">
        <f>INDEX('8_가정'!$E$47:$E$88,MATCH($B102&amp;"|P5",'8_가정'!$A$47:$A$88,0))</f>
        <v>0.01</v>
      </c>
      <c r="Z102" s="78">
        <f>INDEX('8_가정'!$F$47:$F$88,MATCH($B102&amp;"|P5",'8_가정'!$A$47:$A$88,0))</f>
        <v>0.03</v>
      </c>
      <c r="AA102" s="78">
        <f>INDEX('8_가정'!$G$47:$G$88,MATCH($B102&amp;"|P5",'8_가정'!$A$47:$A$88,0))</f>
        <v>0.05</v>
      </c>
      <c r="AB102" s="78">
        <f>INDEX('8_가정'!$C$47:$C$88,MATCH($B102&amp;"|P6",'8_가정'!$A$47:$A$88,0))</f>
        <v>0</v>
      </c>
      <c r="AC102" s="78">
        <f>INDEX('8_가정'!$D$47:$D$88,MATCH($B102&amp;"|P6",'8_가정'!$A$47:$A$88,0))</f>
        <v>0</v>
      </c>
      <c r="AD102" s="78">
        <f>INDEX('8_가정'!$E$47:$E$88,MATCH($B102&amp;"|P6",'8_가정'!$A$47:$A$88,0))</f>
        <v>0</v>
      </c>
      <c r="AE102" s="78">
        <f>INDEX('8_가정'!$F$47:$F$88,MATCH($B102&amp;"|P6",'8_가정'!$A$47:$A$88,0))</f>
        <v>0</v>
      </c>
      <c r="AF102" s="78">
        <f>INDEX('8_가정'!$G$47:$G$88,MATCH($B102&amp;"|P6",'8_가정'!$A$47:$A$88,0))</f>
        <v>0</v>
      </c>
    </row>
    <row r="103">
      <c r="A103" s="77" t="str">
        <f>'4_매출_거래처'!D33</f>
        <v>GISI Distribution(네덜란드·룩셈부르크·독일·폴란드)</v>
      </c>
      <c r="B103" s="77" t="str">
        <f>'4_매출_거래처'!I33</f>
        <v>DIST</v>
      </c>
      <c r="C103" s="78">
        <f>INDEX('8_가정'!$C$47:$C$88,MATCH($B103&amp;"|P1",'8_가정'!$A$47:$A$88,0))</f>
        <v>0.62</v>
      </c>
      <c r="D103" s="78">
        <f>INDEX('8_가정'!$D$47:$D$88,MATCH($B103&amp;"|P1",'8_가정'!$A$47:$A$88,0))</f>
        <v>0.62</v>
      </c>
      <c r="E103" s="78">
        <f>INDEX('8_가정'!$E$47:$E$88,MATCH($B103&amp;"|P1",'8_가정'!$A$47:$A$88,0))</f>
        <v>0.6</v>
      </c>
      <c r="F103" s="78">
        <f>INDEX('8_가정'!$F$47:$F$88,MATCH($B103&amp;"|P1",'8_가정'!$A$47:$A$88,0))</f>
        <v>0.58</v>
      </c>
      <c r="G103" s="78">
        <f>INDEX('8_가정'!$G$47:$G$88,MATCH($B103&amp;"|P1",'8_가정'!$A$47:$A$88,0))</f>
        <v>0.56</v>
      </c>
      <c r="H103" s="78">
        <f>INDEX('8_가정'!$C$47:$C$88,MATCH($B103&amp;"|P2",'8_가정'!$A$47:$A$88,0))</f>
        <v>0.28</v>
      </c>
      <c r="I103" s="78">
        <f>INDEX('8_가정'!$D$47:$D$88,MATCH($B103&amp;"|P2",'8_가정'!$A$47:$A$88,0))</f>
        <v>0.26</v>
      </c>
      <c r="J103" s="78">
        <f>INDEX('8_가정'!$E$47:$E$88,MATCH($B103&amp;"|P2",'8_가정'!$A$47:$A$88,0))</f>
        <v>0.24</v>
      </c>
      <c r="K103" s="78">
        <f>INDEX('8_가정'!$F$47:$F$88,MATCH($B103&amp;"|P2",'8_가정'!$A$47:$A$88,0))</f>
        <v>0.22</v>
      </c>
      <c r="L103" s="78">
        <f>INDEX('8_가정'!$G$47:$G$88,MATCH($B103&amp;"|P2",'8_가정'!$A$47:$A$88,0))</f>
        <v>0.2</v>
      </c>
      <c r="M103" s="78">
        <f>INDEX('8_가정'!$C$47:$C$88,MATCH($B103&amp;"|P3",'8_가정'!$A$47:$A$88,0))</f>
        <v>0.1</v>
      </c>
      <c r="N103" s="78">
        <f>INDEX('8_가정'!$D$47:$D$88,MATCH($B103&amp;"|P3",'8_가정'!$A$47:$A$88,0))</f>
        <v>0.09</v>
      </c>
      <c r="O103" s="78">
        <f>INDEX('8_가정'!$E$47:$E$88,MATCH($B103&amp;"|P3",'8_가정'!$A$47:$A$88,0))</f>
        <v>0.1</v>
      </c>
      <c r="P103" s="78">
        <f>INDEX('8_가정'!$F$47:$F$88,MATCH($B103&amp;"|P3",'8_가정'!$A$47:$A$88,0))</f>
        <v>0.1</v>
      </c>
      <c r="Q103" s="78">
        <f>INDEX('8_가정'!$G$47:$G$88,MATCH($B103&amp;"|P3",'8_가정'!$A$47:$A$88,0))</f>
        <v>0.1</v>
      </c>
      <c r="R103" s="78">
        <f>INDEX('8_가정'!$C$47:$C$88,MATCH($B103&amp;"|P4",'8_가정'!$A$47:$A$88,0))</f>
        <v>0</v>
      </c>
      <c r="S103" s="78">
        <f>INDEX('8_가정'!$D$47:$D$88,MATCH($B103&amp;"|P4",'8_가정'!$A$47:$A$88,0))</f>
        <v>0.03</v>
      </c>
      <c r="T103" s="78">
        <f>INDEX('8_가정'!$E$47:$E$88,MATCH($B103&amp;"|P4",'8_가정'!$A$47:$A$88,0))</f>
        <v>0.05</v>
      </c>
      <c r="U103" s="78">
        <f>INDEX('8_가정'!$F$47:$F$88,MATCH($B103&amp;"|P4",'8_가정'!$A$47:$A$88,0))</f>
        <v>0.07</v>
      </c>
      <c r="V103" s="78">
        <f>INDEX('8_가정'!$G$47:$G$88,MATCH($B103&amp;"|P4",'8_가정'!$A$47:$A$88,0))</f>
        <v>0.09</v>
      </c>
      <c r="W103" s="78">
        <f>INDEX('8_가정'!$C$47:$C$88,MATCH($B103&amp;"|P5",'8_가정'!$A$47:$A$88,0))</f>
        <v>0</v>
      </c>
      <c r="X103" s="78">
        <f>INDEX('8_가정'!$D$47:$D$88,MATCH($B103&amp;"|P5",'8_가정'!$A$47:$A$88,0))</f>
        <v>0</v>
      </c>
      <c r="Y103" s="78">
        <f>INDEX('8_가정'!$E$47:$E$88,MATCH($B103&amp;"|P5",'8_가정'!$A$47:$A$88,0))</f>
        <v>0.01</v>
      </c>
      <c r="Z103" s="78">
        <f>INDEX('8_가정'!$F$47:$F$88,MATCH($B103&amp;"|P5",'8_가정'!$A$47:$A$88,0))</f>
        <v>0.03</v>
      </c>
      <c r="AA103" s="78">
        <f>INDEX('8_가정'!$G$47:$G$88,MATCH($B103&amp;"|P5",'8_가정'!$A$47:$A$88,0))</f>
        <v>0.05</v>
      </c>
      <c r="AB103" s="78">
        <f>INDEX('8_가정'!$C$47:$C$88,MATCH($B103&amp;"|P6",'8_가정'!$A$47:$A$88,0))</f>
        <v>0</v>
      </c>
      <c r="AC103" s="78">
        <f>INDEX('8_가정'!$D$47:$D$88,MATCH($B103&amp;"|P6",'8_가정'!$A$47:$A$88,0))</f>
        <v>0</v>
      </c>
      <c r="AD103" s="78">
        <f>INDEX('8_가정'!$E$47:$E$88,MATCH($B103&amp;"|P6",'8_가정'!$A$47:$A$88,0))</f>
        <v>0</v>
      </c>
      <c r="AE103" s="78">
        <f>INDEX('8_가정'!$F$47:$F$88,MATCH($B103&amp;"|P6",'8_가정'!$A$47:$A$88,0))</f>
        <v>0</v>
      </c>
      <c r="AF103" s="78">
        <f>INDEX('8_가정'!$G$47:$G$88,MATCH($B103&amp;"|P6",'8_가정'!$A$47:$A$88,0))</f>
        <v>0</v>
      </c>
    </row>
    <row r="104">
      <c r="A104" s="77" t="str">
        <f>'4_매출_거래처'!D34</f>
        <v>NEUCA(폴란드 총판)</v>
      </c>
      <c r="B104" s="77" t="str">
        <f>'4_매출_거래처'!I34</f>
        <v>DIST</v>
      </c>
      <c r="C104" s="78">
        <f>INDEX('8_가정'!$C$47:$C$88,MATCH($B104&amp;"|P1",'8_가정'!$A$47:$A$88,0))</f>
        <v>0.62</v>
      </c>
      <c r="D104" s="78">
        <f>INDEX('8_가정'!$D$47:$D$88,MATCH($B104&amp;"|P1",'8_가정'!$A$47:$A$88,0))</f>
        <v>0.62</v>
      </c>
      <c r="E104" s="78">
        <f>INDEX('8_가정'!$E$47:$E$88,MATCH($B104&amp;"|P1",'8_가정'!$A$47:$A$88,0))</f>
        <v>0.6</v>
      </c>
      <c r="F104" s="78">
        <f>INDEX('8_가정'!$F$47:$F$88,MATCH($B104&amp;"|P1",'8_가정'!$A$47:$A$88,0))</f>
        <v>0.58</v>
      </c>
      <c r="G104" s="78">
        <f>INDEX('8_가정'!$G$47:$G$88,MATCH($B104&amp;"|P1",'8_가정'!$A$47:$A$88,0))</f>
        <v>0.56</v>
      </c>
      <c r="H104" s="78">
        <f>INDEX('8_가정'!$C$47:$C$88,MATCH($B104&amp;"|P2",'8_가정'!$A$47:$A$88,0))</f>
        <v>0.28</v>
      </c>
      <c r="I104" s="78">
        <f>INDEX('8_가정'!$D$47:$D$88,MATCH($B104&amp;"|P2",'8_가정'!$A$47:$A$88,0))</f>
        <v>0.26</v>
      </c>
      <c r="J104" s="78">
        <f>INDEX('8_가정'!$E$47:$E$88,MATCH($B104&amp;"|P2",'8_가정'!$A$47:$A$88,0))</f>
        <v>0.24</v>
      </c>
      <c r="K104" s="78">
        <f>INDEX('8_가정'!$F$47:$F$88,MATCH($B104&amp;"|P2",'8_가정'!$A$47:$A$88,0))</f>
        <v>0.22</v>
      </c>
      <c r="L104" s="78">
        <f>INDEX('8_가정'!$G$47:$G$88,MATCH($B104&amp;"|P2",'8_가정'!$A$47:$A$88,0))</f>
        <v>0.2</v>
      </c>
      <c r="M104" s="78">
        <f>INDEX('8_가정'!$C$47:$C$88,MATCH($B104&amp;"|P3",'8_가정'!$A$47:$A$88,0))</f>
        <v>0.1</v>
      </c>
      <c r="N104" s="78">
        <f>INDEX('8_가정'!$D$47:$D$88,MATCH($B104&amp;"|P3",'8_가정'!$A$47:$A$88,0))</f>
        <v>0.09</v>
      </c>
      <c r="O104" s="78">
        <f>INDEX('8_가정'!$E$47:$E$88,MATCH($B104&amp;"|P3",'8_가정'!$A$47:$A$88,0))</f>
        <v>0.1</v>
      </c>
      <c r="P104" s="78">
        <f>INDEX('8_가정'!$F$47:$F$88,MATCH($B104&amp;"|P3",'8_가정'!$A$47:$A$88,0))</f>
        <v>0.1</v>
      </c>
      <c r="Q104" s="78">
        <f>INDEX('8_가정'!$G$47:$G$88,MATCH($B104&amp;"|P3",'8_가정'!$A$47:$A$88,0))</f>
        <v>0.1</v>
      </c>
      <c r="R104" s="78">
        <f>INDEX('8_가정'!$C$47:$C$88,MATCH($B104&amp;"|P4",'8_가정'!$A$47:$A$88,0))</f>
        <v>0</v>
      </c>
      <c r="S104" s="78">
        <f>INDEX('8_가정'!$D$47:$D$88,MATCH($B104&amp;"|P4",'8_가정'!$A$47:$A$88,0))</f>
        <v>0.03</v>
      </c>
      <c r="T104" s="78">
        <f>INDEX('8_가정'!$E$47:$E$88,MATCH($B104&amp;"|P4",'8_가정'!$A$47:$A$88,0))</f>
        <v>0.05</v>
      </c>
      <c r="U104" s="78">
        <f>INDEX('8_가정'!$F$47:$F$88,MATCH($B104&amp;"|P4",'8_가정'!$A$47:$A$88,0))</f>
        <v>0.07</v>
      </c>
      <c r="V104" s="78">
        <f>INDEX('8_가정'!$G$47:$G$88,MATCH($B104&amp;"|P4",'8_가정'!$A$47:$A$88,0))</f>
        <v>0.09</v>
      </c>
      <c r="W104" s="78">
        <f>INDEX('8_가정'!$C$47:$C$88,MATCH($B104&amp;"|P5",'8_가정'!$A$47:$A$88,0))</f>
        <v>0</v>
      </c>
      <c r="X104" s="78">
        <f>INDEX('8_가정'!$D$47:$D$88,MATCH($B104&amp;"|P5",'8_가정'!$A$47:$A$88,0))</f>
        <v>0</v>
      </c>
      <c r="Y104" s="78">
        <f>INDEX('8_가정'!$E$47:$E$88,MATCH($B104&amp;"|P5",'8_가정'!$A$47:$A$88,0))</f>
        <v>0.01</v>
      </c>
      <c r="Z104" s="78">
        <f>INDEX('8_가정'!$F$47:$F$88,MATCH($B104&amp;"|P5",'8_가정'!$A$47:$A$88,0))</f>
        <v>0.03</v>
      </c>
      <c r="AA104" s="78">
        <f>INDEX('8_가정'!$G$47:$G$88,MATCH($B104&amp;"|P5",'8_가정'!$A$47:$A$88,0))</f>
        <v>0.05</v>
      </c>
      <c r="AB104" s="78">
        <f>INDEX('8_가정'!$C$47:$C$88,MATCH($B104&amp;"|P6",'8_가정'!$A$47:$A$88,0))</f>
        <v>0</v>
      </c>
      <c r="AC104" s="78">
        <f>INDEX('8_가정'!$D$47:$D$88,MATCH($B104&amp;"|P6",'8_가정'!$A$47:$A$88,0))</f>
        <v>0</v>
      </c>
      <c r="AD104" s="78">
        <f>INDEX('8_가정'!$E$47:$E$88,MATCH($B104&amp;"|P6",'8_가정'!$A$47:$A$88,0))</f>
        <v>0</v>
      </c>
      <c r="AE104" s="78">
        <f>INDEX('8_가정'!$F$47:$F$88,MATCH($B104&amp;"|P6",'8_가정'!$A$47:$A$88,0))</f>
        <v>0</v>
      </c>
      <c r="AF104" s="78">
        <f>INDEX('8_가정'!$G$47:$G$88,MATCH($B104&amp;"|P6",'8_가정'!$A$47:$A$88,0))</f>
        <v>0</v>
      </c>
    </row>
    <row r="105">
      <c r="A105" s="77" t="str">
        <f>'4_매출_거래처'!D35</f>
        <v>Armedion(독일 총판)</v>
      </c>
      <c r="B105" s="77" t="str">
        <f>'4_매출_거래처'!I35</f>
        <v>DIST</v>
      </c>
      <c r="C105" s="78">
        <f>INDEX('8_가정'!$C$47:$C$88,MATCH($B105&amp;"|P1",'8_가정'!$A$47:$A$88,0))</f>
        <v>0.62</v>
      </c>
      <c r="D105" s="78">
        <f>INDEX('8_가정'!$D$47:$D$88,MATCH($B105&amp;"|P1",'8_가정'!$A$47:$A$88,0))</f>
        <v>0.62</v>
      </c>
      <c r="E105" s="78">
        <f>INDEX('8_가정'!$E$47:$E$88,MATCH($B105&amp;"|P1",'8_가정'!$A$47:$A$88,0))</f>
        <v>0.6</v>
      </c>
      <c r="F105" s="78">
        <f>INDEX('8_가정'!$F$47:$F$88,MATCH($B105&amp;"|P1",'8_가정'!$A$47:$A$88,0))</f>
        <v>0.58</v>
      </c>
      <c r="G105" s="78">
        <f>INDEX('8_가정'!$G$47:$G$88,MATCH($B105&amp;"|P1",'8_가정'!$A$47:$A$88,0))</f>
        <v>0.56</v>
      </c>
      <c r="H105" s="78">
        <f>INDEX('8_가정'!$C$47:$C$88,MATCH($B105&amp;"|P2",'8_가정'!$A$47:$A$88,0))</f>
        <v>0.28</v>
      </c>
      <c r="I105" s="78">
        <f>INDEX('8_가정'!$D$47:$D$88,MATCH($B105&amp;"|P2",'8_가정'!$A$47:$A$88,0))</f>
        <v>0.26</v>
      </c>
      <c r="J105" s="78">
        <f>INDEX('8_가정'!$E$47:$E$88,MATCH($B105&amp;"|P2",'8_가정'!$A$47:$A$88,0))</f>
        <v>0.24</v>
      </c>
      <c r="K105" s="78">
        <f>INDEX('8_가정'!$F$47:$F$88,MATCH($B105&amp;"|P2",'8_가정'!$A$47:$A$88,0))</f>
        <v>0.22</v>
      </c>
      <c r="L105" s="78">
        <f>INDEX('8_가정'!$G$47:$G$88,MATCH($B105&amp;"|P2",'8_가정'!$A$47:$A$88,0))</f>
        <v>0.2</v>
      </c>
      <c r="M105" s="78">
        <f>INDEX('8_가정'!$C$47:$C$88,MATCH($B105&amp;"|P3",'8_가정'!$A$47:$A$88,0))</f>
        <v>0.1</v>
      </c>
      <c r="N105" s="78">
        <f>INDEX('8_가정'!$D$47:$D$88,MATCH($B105&amp;"|P3",'8_가정'!$A$47:$A$88,0))</f>
        <v>0.09</v>
      </c>
      <c r="O105" s="78">
        <f>INDEX('8_가정'!$E$47:$E$88,MATCH($B105&amp;"|P3",'8_가정'!$A$47:$A$88,0))</f>
        <v>0.1</v>
      </c>
      <c r="P105" s="78">
        <f>INDEX('8_가정'!$F$47:$F$88,MATCH($B105&amp;"|P3",'8_가정'!$A$47:$A$88,0))</f>
        <v>0.1</v>
      </c>
      <c r="Q105" s="78">
        <f>INDEX('8_가정'!$G$47:$G$88,MATCH($B105&amp;"|P3",'8_가정'!$A$47:$A$88,0))</f>
        <v>0.1</v>
      </c>
      <c r="R105" s="78">
        <f>INDEX('8_가정'!$C$47:$C$88,MATCH($B105&amp;"|P4",'8_가정'!$A$47:$A$88,0))</f>
        <v>0</v>
      </c>
      <c r="S105" s="78">
        <f>INDEX('8_가정'!$D$47:$D$88,MATCH($B105&amp;"|P4",'8_가정'!$A$47:$A$88,0))</f>
        <v>0.03</v>
      </c>
      <c r="T105" s="78">
        <f>INDEX('8_가정'!$E$47:$E$88,MATCH($B105&amp;"|P4",'8_가정'!$A$47:$A$88,0))</f>
        <v>0.05</v>
      </c>
      <c r="U105" s="78">
        <f>INDEX('8_가정'!$F$47:$F$88,MATCH($B105&amp;"|P4",'8_가정'!$A$47:$A$88,0))</f>
        <v>0.07</v>
      </c>
      <c r="V105" s="78">
        <f>INDEX('8_가정'!$G$47:$G$88,MATCH($B105&amp;"|P4",'8_가정'!$A$47:$A$88,0))</f>
        <v>0.09</v>
      </c>
      <c r="W105" s="78">
        <f>INDEX('8_가정'!$C$47:$C$88,MATCH($B105&amp;"|P5",'8_가정'!$A$47:$A$88,0))</f>
        <v>0</v>
      </c>
      <c r="X105" s="78">
        <f>INDEX('8_가정'!$D$47:$D$88,MATCH($B105&amp;"|P5",'8_가정'!$A$47:$A$88,0))</f>
        <v>0</v>
      </c>
      <c r="Y105" s="78">
        <f>INDEX('8_가정'!$E$47:$E$88,MATCH($B105&amp;"|P5",'8_가정'!$A$47:$A$88,0))</f>
        <v>0.01</v>
      </c>
      <c r="Z105" s="78">
        <f>INDEX('8_가정'!$F$47:$F$88,MATCH($B105&amp;"|P5",'8_가정'!$A$47:$A$88,0))</f>
        <v>0.03</v>
      </c>
      <c r="AA105" s="78">
        <f>INDEX('8_가정'!$G$47:$G$88,MATCH($B105&amp;"|P5",'8_가정'!$A$47:$A$88,0))</f>
        <v>0.05</v>
      </c>
      <c r="AB105" s="78">
        <f>INDEX('8_가정'!$C$47:$C$88,MATCH($B105&amp;"|P6",'8_가정'!$A$47:$A$88,0))</f>
        <v>0</v>
      </c>
      <c r="AC105" s="78">
        <f>INDEX('8_가정'!$D$47:$D$88,MATCH($B105&amp;"|P6",'8_가정'!$A$47:$A$88,0))</f>
        <v>0</v>
      </c>
      <c r="AD105" s="78">
        <f>INDEX('8_가정'!$E$47:$E$88,MATCH($B105&amp;"|P6",'8_가정'!$A$47:$A$88,0))</f>
        <v>0</v>
      </c>
      <c r="AE105" s="78">
        <f>INDEX('8_가정'!$F$47:$F$88,MATCH($B105&amp;"|P6",'8_가정'!$A$47:$A$88,0))</f>
        <v>0</v>
      </c>
      <c r="AF105" s="78">
        <f>INDEX('8_가정'!$G$47:$G$88,MATCH($B105&amp;"|P6",'8_가정'!$A$47:$A$88,0))</f>
        <v>0</v>
      </c>
    </row>
    <row r="106">
      <c r="A106" s="77" t="str">
        <f>'4_매출_거래처'!D36</f>
        <v>INTEGA(싱가포르·말레이시아·태국)</v>
      </c>
      <c r="B106" s="77" t="str">
        <f>'4_매출_거래처'!I36</f>
        <v>DIST</v>
      </c>
      <c r="C106" s="78">
        <f>INDEX('8_가정'!$C$47:$C$88,MATCH($B106&amp;"|P1",'8_가정'!$A$47:$A$88,0))</f>
        <v>0.62</v>
      </c>
      <c r="D106" s="78">
        <f>INDEX('8_가정'!$D$47:$D$88,MATCH($B106&amp;"|P1",'8_가정'!$A$47:$A$88,0))</f>
        <v>0.62</v>
      </c>
      <c r="E106" s="78">
        <f>INDEX('8_가정'!$E$47:$E$88,MATCH($B106&amp;"|P1",'8_가정'!$A$47:$A$88,0))</f>
        <v>0.6</v>
      </c>
      <c r="F106" s="78">
        <f>INDEX('8_가정'!$F$47:$F$88,MATCH($B106&amp;"|P1",'8_가정'!$A$47:$A$88,0))</f>
        <v>0.58</v>
      </c>
      <c r="G106" s="78">
        <f>INDEX('8_가정'!$G$47:$G$88,MATCH($B106&amp;"|P1",'8_가정'!$A$47:$A$88,0))</f>
        <v>0.56</v>
      </c>
      <c r="H106" s="78">
        <f>INDEX('8_가정'!$C$47:$C$88,MATCH($B106&amp;"|P2",'8_가정'!$A$47:$A$88,0))</f>
        <v>0.28</v>
      </c>
      <c r="I106" s="78">
        <f>INDEX('8_가정'!$D$47:$D$88,MATCH($B106&amp;"|P2",'8_가정'!$A$47:$A$88,0))</f>
        <v>0.26</v>
      </c>
      <c r="J106" s="78">
        <f>INDEX('8_가정'!$E$47:$E$88,MATCH($B106&amp;"|P2",'8_가정'!$A$47:$A$88,0))</f>
        <v>0.24</v>
      </c>
      <c r="K106" s="78">
        <f>INDEX('8_가정'!$F$47:$F$88,MATCH($B106&amp;"|P2",'8_가정'!$A$47:$A$88,0))</f>
        <v>0.22</v>
      </c>
      <c r="L106" s="78">
        <f>INDEX('8_가정'!$G$47:$G$88,MATCH($B106&amp;"|P2",'8_가정'!$A$47:$A$88,0))</f>
        <v>0.2</v>
      </c>
      <c r="M106" s="78">
        <f>INDEX('8_가정'!$C$47:$C$88,MATCH($B106&amp;"|P3",'8_가정'!$A$47:$A$88,0))</f>
        <v>0.1</v>
      </c>
      <c r="N106" s="78">
        <f>INDEX('8_가정'!$D$47:$D$88,MATCH($B106&amp;"|P3",'8_가정'!$A$47:$A$88,0))</f>
        <v>0.09</v>
      </c>
      <c r="O106" s="78">
        <f>INDEX('8_가정'!$E$47:$E$88,MATCH($B106&amp;"|P3",'8_가정'!$A$47:$A$88,0))</f>
        <v>0.1</v>
      </c>
      <c r="P106" s="78">
        <f>INDEX('8_가정'!$F$47:$F$88,MATCH($B106&amp;"|P3",'8_가정'!$A$47:$A$88,0))</f>
        <v>0.1</v>
      </c>
      <c r="Q106" s="78">
        <f>INDEX('8_가정'!$G$47:$G$88,MATCH($B106&amp;"|P3",'8_가정'!$A$47:$A$88,0))</f>
        <v>0.1</v>
      </c>
      <c r="R106" s="78">
        <f>INDEX('8_가정'!$C$47:$C$88,MATCH($B106&amp;"|P4",'8_가정'!$A$47:$A$88,0))</f>
        <v>0</v>
      </c>
      <c r="S106" s="78">
        <f>INDEX('8_가정'!$D$47:$D$88,MATCH($B106&amp;"|P4",'8_가정'!$A$47:$A$88,0))</f>
        <v>0.03</v>
      </c>
      <c r="T106" s="78">
        <f>INDEX('8_가정'!$E$47:$E$88,MATCH($B106&amp;"|P4",'8_가정'!$A$47:$A$88,0))</f>
        <v>0.05</v>
      </c>
      <c r="U106" s="78">
        <f>INDEX('8_가정'!$F$47:$F$88,MATCH($B106&amp;"|P4",'8_가정'!$A$47:$A$88,0))</f>
        <v>0.07</v>
      </c>
      <c r="V106" s="78">
        <f>INDEX('8_가정'!$G$47:$G$88,MATCH($B106&amp;"|P4",'8_가정'!$A$47:$A$88,0))</f>
        <v>0.09</v>
      </c>
      <c r="W106" s="78">
        <f>INDEX('8_가정'!$C$47:$C$88,MATCH($B106&amp;"|P5",'8_가정'!$A$47:$A$88,0))</f>
        <v>0</v>
      </c>
      <c r="X106" s="78">
        <f>INDEX('8_가정'!$D$47:$D$88,MATCH($B106&amp;"|P5",'8_가정'!$A$47:$A$88,0))</f>
        <v>0</v>
      </c>
      <c r="Y106" s="78">
        <f>INDEX('8_가정'!$E$47:$E$88,MATCH($B106&amp;"|P5",'8_가정'!$A$47:$A$88,0))</f>
        <v>0.01</v>
      </c>
      <c r="Z106" s="78">
        <f>INDEX('8_가정'!$F$47:$F$88,MATCH($B106&amp;"|P5",'8_가정'!$A$47:$A$88,0))</f>
        <v>0.03</v>
      </c>
      <c r="AA106" s="78">
        <f>INDEX('8_가정'!$G$47:$G$88,MATCH($B106&amp;"|P5",'8_가정'!$A$47:$A$88,0))</f>
        <v>0.05</v>
      </c>
      <c r="AB106" s="78">
        <f>INDEX('8_가정'!$C$47:$C$88,MATCH($B106&amp;"|P6",'8_가정'!$A$47:$A$88,0))</f>
        <v>0</v>
      </c>
      <c r="AC106" s="78">
        <f>INDEX('8_가정'!$D$47:$D$88,MATCH($B106&amp;"|P6",'8_가정'!$A$47:$A$88,0))</f>
        <v>0</v>
      </c>
      <c r="AD106" s="78">
        <f>INDEX('8_가정'!$E$47:$E$88,MATCH($B106&amp;"|P6",'8_가정'!$A$47:$A$88,0))</f>
        <v>0</v>
      </c>
      <c r="AE106" s="78">
        <f>INDEX('8_가정'!$F$47:$F$88,MATCH($B106&amp;"|P6",'8_가정'!$A$47:$A$88,0))</f>
        <v>0</v>
      </c>
      <c r="AF106" s="78">
        <f>INDEX('8_가정'!$G$47:$G$88,MATCH($B106&amp;"|P6",'8_가정'!$A$47:$A$88,0))</f>
        <v>0</v>
      </c>
    </row>
    <row r="107">
      <c r="A107" s="77" t="str">
        <f>'4_매출_거래처'!D37</f>
        <v>Sunway Sanctuary(말레이시아)</v>
      </c>
      <c r="B107" s="77" t="str">
        <f>'4_매출_거래처'!I37</f>
        <v>RND</v>
      </c>
      <c r="C107" s="78">
        <f>INDEX('8_가정'!$C$47:$C$88,MATCH($B107&amp;"|P1",'8_가정'!$A$47:$A$88,0))</f>
        <v>0</v>
      </c>
      <c r="D107" s="78">
        <f>INDEX('8_가정'!$D$47:$D$88,MATCH($B107&amp;"|P1",'8_가정'!$A$47:$A$88,0))</f>
        <v>0</v>
      </c>
      <c r="E107" s="78">
        <f>INDEX('8_가정'!$E$47:$E$88,MATCH($B107&amp;"|P1",'8_가정'!$A$47:$A$88,0))</f>
        <v>0</v>
      </c>
      <c r="F107" s="78">
        <f>INDEX('8_가정'!$F$47:$F$88,MATCH($B107&amp;"|P1",'8_가정'!$A$47:$A$88,0))</f>
        <v>0</v>
      </c>
      <c r="G107" s="78">
        <f>INDEX('8_가정'!$G$47:$G$88,MATCH($B107&amp;"|P1",'8_가정'!$A$47:$A$88,0))</f>
        <v>0</v>
      </c>
      <c r="H107" s="78">
        <f>INDEX('8_가정'!$C$47:$C$88,MATCH($B107&amp;"|P2",'8_가정'!$A$47:$A$88,0))</f>
        <v>0</v>
      </c>
      <c r="I107" s="78">
        <f>INDEX('8_가정'!$D$47:$D$88,MATCH($B107&amp;"|P2",'8_가정'!$A$47:$A$88,0))</f>
        <v>0</v>
      </c>
      <c r="J107" s="78">
        <f>INDEX('8_가정'!$E$47:$E$88,MATCH($B107&amp;"|P2",'8_가정'!$A$47:$A$88,0))</f>
        <v>0</v>
      </c>
      <c r="K107" s="78">
        <f>INDEX('8_가정'!$F$47:$F$88,MATCH($B107&amp;"|P2",'8_가정'!$A$47:$A$88,0))</f>
        <v>0</v>
      </c>
      <c r="L107" s="78">
        <f>INDEX('8_가정'!$G$47:$G$88,MATCH($B107&amp;"|P2",'8_가정'!$A$47:$A$88,0))</f>
        <v>0</v>
      </c>
      <c r="M107" s="78">
        <f>INDEX('8_가정'!$C$47:$C$88,MATCH($B107&amp;"|P3",'8_가정'!$A$47:$A$88,0))</f>
        <v>0</v>
      </c>
      <c r="N107" s="78">
        <f>INDEX('8_가정'!$D$47:$D$88,MATCH($B107&amp;"|P3",'8_가정'!$A$47:$A$88,0))</f>
        <v>0</v>
      </c>
      <c r="O107" s="78">
        <f>INDEX('8_가정'!$E$47:$E$88,MATCH($B107&amp;"|P3",'8_가정'!$A$47:$A$88,0))</f>
        <v>0</v>
      </c>
      <c r="P107" s="78">
        <f>INDEX('8_가정'!$F$47:$F$88,MATCH($B107&amp;"|P3",'8_가정'!$A$47:$A$88,0))</f>
        <v>0</v>
      </c>
      <c r="Q107" s="78">
        <f>INDEX('8_가정'!$G$47:$G$88,MATCH($B107&amp;"|P3",'8_가정'!$A$47:$A$88,0))</f>
        <v>0</v>
      </c>
      <c r="R107" s="78">
        <f>INDEX('8_가정'!$C$47:$C$88,MATCH($B107&amp;"|P4",'8_가정'!$A$47:$A$88,0))</f>
        <v>0</v>
      </c>
      <c r="S107" s="78">
        <f>INDEX('8_가정'!$D$47:$D$88,MATCH($B107&amp;"|P4",'8_가정'!$A$47:$A$88,0))</f>
        <v>0</v>
      </c>
      <c r="T107" s="78">
        <f>INDEX('8_가정'!$E$47:$E$88,MATCH($B107&amp;"|P4",'8_가정'!$A$47:$A$88,0))</f>
        <v>0</v>
      </c>
      <c r="U107" s="78">
        <f>INDEX('8_가정'!$F$47:$F$88,MATCH($B107&amp;"|P4",'8_가정'!$A$47:$A$88,0))</f>
        <v>0</v>
      </c>
      <c r="V107" s="78">
        <f>INDEX('8_가정'!$G$47:$G$88,MATCH($B107&amp;"|P4",'8_가정'!$A$47:$A$88,0))</f>
        <v>0</v>
      </c>
      <c r="W107" s="78">
        <f>INDEX('8_가정'!$C$47:$C$88,MATCH($B107&amp;"|P5",'8_가정'!$A$47:$A$88,0))</f>
        <v>0</v>
      </c>
      <c r="X107" s="78">
        <f>INDEX('8_가정'!$D$47:$D$88,MATCH($B107&amp;"|P5",'8_가정'!$A$47:$A$88,0))</f>
        <v>0</v>
      </c>
      <c r="Y107" s="78">
        <f>INDEX('8_가정'!$E$47:$E$88,MATCH($B107&amp;"|P5",'8_가정'!$A$47:$A$88,0))</f>
        <v>0</v>
      </c>
      <c r="Z107" s="78">
        <f>INDEX('8_가정'!$F$47:$F$88,MATCH($B107&amp;"|P5",'8_가정'!$A$47:$A$88,0))</f>
        <v>0</v>
      </c>
      <c r="AA107" s="78">
        <f>INDEX('8_가정'!$G$47:$G$88,MATCH($B107&amp;"|P5",'8_가정'!$A$47:$A$88,0))</f>
        <v>0</v>
      </c>
      <c r="AB107" s="78">
        <f>INDEX('8_가정'!$C$47:$C$88,MATCH($B107&amp;"|P6",'8_가정'!$A$47:$A$88,0))</f>
        <v>1</v>
      </c>
      <c r="AC107" s="78">
        <f>INDEX('8_가정'!$D$47:$D$88,MATCH($B107&amp;"|P6",'8_가정'!$A$47:$A$88,0))</f>
        <v>1</v>
      </c>
      <c r="AD107" s="78">
        <f>INDEX('8_가정'!$E$47:$E$88,MATCH($B107&amp;"|P6",'8_가정'!$A$47:$A$88,0))</f>
        <v>1</v>
      </c>
      <c r="AE107" s="78">
        <f>INDEX('8_가정'!$F$47:$F$88,MATCH($B107&amp;"|P6",'8_가정'!$A$47:$A$88,0))</f>
        <v>1</v>
      </c>
      <c r="AF107" s="78">
        <f>INDEX('8_가정'!$G$47:$G$88,MATCH($B107&amp;"|P6",'8_가정'!$A$47:$A$88,0))</f>
        <v>1</v>
      </c>
    </row>
    <row r="108">
      <c r="A108" s="77" t="str">
        <f>'4_매출_거래처'!D38</f>
        <v>NHG(KTPH·TTSH·Woodlands) 스마트 병동</v>
      </c>
      <c r="B108" s="77" t="str">
        <f>'4_매출_거래처'!I38</f>
        <v>HWPROJ</v>
      </c>
      <c r="C108" s="78">
        <f>INDEX('8_가정'!$C$47:$C$88,MATCH($B108&amp;"|P1",'8_가정'!$A$47:$A$88,0))</f>
        <v>0</v>
      </c>
      <c r="D108" s="78">
        <f>INDEX('8_가정'!$D$47:$D$88,MATCH($B108&amp;"|P1",'8_가정'!$A$47:$A$88,0))</f>
        <v>0</v>
      </c>
      <c r="E108" s="78">
        <f>INDEX('8_가정'!$E$47:$E$88,MATCH($B108&amp;"|P1",'8_가정'!$A$47:$A$88,0))</f>
        <v>0</v>
      </c>
      <c r="F108" s="78">
        <f>INDEX('8_가정'!$F$47:$F$88,MATCH($B108&amp;"|P1",'8_가정'!$A$47:$A$88,0))</f>
        <v>0</v>
      </c>
      <c r="G108" s="78">
        <f>INDEX('8_가정'!$G$47:$G$88,MATCH($B108&amp;"|P1",'8_가정'!$A$47:$A$88,0))</f>
        <v>0</v>
      </c>
      <c r="H108" s="78">
        <f>INDEX('8_가정'!$C$47:$C$88,MATCH($B108&amp;"|P2",'8_가정'!$A$47:$A$88,0))</f>
        <v>0.7</v>
      </c>
      <c r="I108" s="78">
        <f>INDEX('8_가정'!$D$47:$D$88,MATCH($B108&amp;"|P2",'8_가정'!$A$47:$A$88,0))</f>
        <v>0.7</v>
      </c>
      <c r="J108" s="78">
        <f>INDEX('8_가정'!$E$47:$E$88,MATCH($B108&amp;"|P2",'8_가정'!$A$47:$A$88,0))</f>
        <v>0.7</v>
      </c>
      <c r="K108" s="78">
        <f>INDEX('8_가정'!$F$47:$F$88,MATCH($B108&amp;"|P2",'8_가정'!$A$47:$A$88,0))</f>
        <v>0.7</v>
      </c>
      <c r="L108" s="78">
        <f>INDEX('8_가정'!$G$47:$G$88,MATCH($B108&amp;"|P2",'8_가정'!$A$47:$A$88,0))</f>
        <v>0.7</v>
      </c>
      <c r="M108" s="78">
        <f>INDEX('8_가정'!$C$47:$C$88,MATCH($B108&amp;"|P3",'8_가정'!$A$47:$A$88,0))</f>
        <v>0.15</v>
      </c>
      <c r="N108" s="78">
        <f>INDEX('8_가정'!$D$47:$D$88,MATCH($B108&amp;"|P3",'8_가정'!$A$47:$A$88,0))</f>
        <v>0.15</v>
      </c>
      <c r="O108" s="78">
        <f>INDEX('8_가정'!$E$47:$E$88,MATCH($B108&amp;"|P3",'8_가정'!$A$47:$A$88,0))</f>
        <v>0.15</v>
      </c>
      <c r="P108" s="78">
        <f>INDEX('8_가정'!$F$47:$F$88,MATCH($B108&amp;"|P3",'8_가정'!$A$47:$A$88,0))</f>
        <v>0.15</v>
      </c>
      <c r="Q108" s="78">
        <f>INDEX('8_가정'!$G$47:$G$88,MATCH($B108&amp;"|P3",'8_가정'!$A$47:$A$88,0))</f>
        <v>0.15</v>
      </c>
      <c r="R108" s="78">
        <f>INDEX('8_가정'!$C$47:$C$88,MATCH($B108&amp;"|P4",'8_가정'!$A$47:$A$88,0))</f>
        <v>0</v>
      </c>
      <c r="S108" s="78">
        <f>INDEX('8_가정'!$D$47:$D$88,MATCH($B108&amp;"|P4",'8_가정'!$A$47:$A$88,0))</f>
        <v>0</v>
      </c>
      <c r="T108" s="78">
        <f>INDEX('8_가정'!$E$47:$E$88,MATCH($B108&amp;"|P4",'8_가정'!$A$47:$A$88,0))</f>
        <v>0</v>
      </c>
      <c r="U108" s="78">
        <f>INDEX('8_가정'!$F$47:$F$88,MATCH($B108&amp;"|P4",'8_가정'!$A$47:$A$88,0))</f>
        <v>0</v>
      </c>
      <c r="V108" s="78">
        <f>INDEX('8_가정'!$G$47:$G$88,MATCH($B108&amp;"|P4",'8_가정'!$A$47:$A$88,0))</f>
        <v>0</v>
      </c>
      <c r="W108" s="78">
        <f>INDEX('8_가정'!$C$47:$C$88,MATCH($B108&amp;"|P5",'8_가정'!$A$47:$A$88,0))</f>
        <v>0</v>
      </c>
      <c r="X108" s="78">
        <f>INDEX('8_가정'!$D$47:$D$88,MATCH($B108&amp;"|P5",'8_가정'!$A$47:$A$88,0))</f>
        <v>0</v>
      </c>
      <c r="Y108" s="78">
        <f>INDEX('8_가정'!$E$47:$E$88,MATCH($B108&amp;"|P5",'8_가정'!$A$47:$A$88,0))</f>
        <v>0</v>
      </c>
      <c r="Z108" s="78">
        <f>INDEX('8_가정'!$F$47:$F$88,MATCH($B108&amp;"|P5",'8_가정'!$A$47:$A$88,0))</f>
        <v>0</v>
      </c>
      <c r="AA108" s="78">
        <f>INDEX('8_가정'!$G$47:$G$88,MATCH($B108&amp;"|P5",'8_가정'!$A$47:$A$88,0))</f>
        <v>0</v>
      </c>
      <c r="AB108" s="78">
        <f>INDEX('8_가정'!$C$47:$C$88,MATCH($B108&amp;"|P6",'8_가정'!$A$47:$A$88,0))</f>
        <v>0.15</v>
      </c>
      <c r="AC108" s="78">
        <f>INDEX('8_가정'!$D$47:$D$88,MATCH($B108&amp;"|P6",'8_가정'!$A$47:$A$88,0))</f>
        <v>0.15</v>
      </c>
      <c r="AD108" s="78">
        <f>INDEX('8_가정'!$E$47:$E$88,MATCH($B108&amp;"|P6",'8_가정'!$A$47:$A$88,0))</f>
        <v>0.15</v>
      </c>
      <c r="AE108" s="78">
        <f>INDEX('8_가정'!$F$47:$F$88,MATCH($B108&amp;"|P6",'8_가정'!$A$47:$A$88,0))</f>
        <v>0.15</v>
      </c>
      <c r="AF108" s="78">
        <f>INDEX('8_가정'!$G$47:$G$88,MATCH($B108&amp;"|P6",'8_가정'!$A$47:$A$88,0))</f>
        <v>0.15</v>
      </c>
    </row>
    <row r="109">
      <c r="A109" s="77" t="str">
        <f>'4_매출_거래처'!D39</f>
        <v>IMH 스마트 욕창 케어 R&amp;D</v>
      </c>
      <c r="B109" s="77" t="str">
        <f>'4_매출_거래처'!I39</f>
        <v>RND</v>
      </c>
      <c r="C109" s="78">
        <f>INDEX('8_가정'!$C$47:$C$88,MATCH($B109&amp;"|P1",'8_가정'!$A$47:$A$88,0))</f>
        <v>0</v>
      </c>
      <c r="D109" s="78">
        <f>INDEX('8_가정'!$D$47:$D$88,MATCH($B109&amp;"|P1",'8_가정'!$A$47:$A$88,0))</f>
        <v>0</v>
      </c>
      <c r="E109" s="78">
        <f>INDEX('8_가정'!$E$47:$E$88,MATCH($B109&amp;"|P1",'8_가정'!$A$47:$A$88,0))</f>
        <v>0</v>
      </c>
      <c r="F109" s="78">
        <f>INDEX('8_가정'!$F$47:$F$88,MATCH($B109&amp;"|P1",'8_가정'!$A$47:$A$88,0))</f>
        <v>0</v>
      </c>
      <c r="G109" s="78">
        <f>INDEX('8_가정'!$G$47:$G$88,MATCH($B109&amp;"|P1",'8_가정'!$A$47:$A$88,0))</f>
        <v>0</v>
      </c>
      <c r="H109" s="78">
        <f>INDEX('8_가정'!$C$47:$C$88,MATCH($B109&amp;"|P2",'8_가정'!$A$47:$A$88,0))</f>
        <v>0</v>
      </c>
      <c r="I109" s="78">
        <f>INDEX('8_가정'!$D$47:$D$88,MATCH($B109&amp;"|P2",'8_가정'!$A$47:$A$88,0))</f>
        <v>0</v>
      </c>
      <c r="J109" s="78">
        <f>INDEX('8_가정'!$E$47:$E$88,MATCH($B109&amp;"|P2",'8_가정'!$A$47:$A$88,0))</f>
        <v>0</v>
      </c>
      <c r="K109" s="78">
        <f>INDEX('8_가정'!$F$47:$F$88,MATCH($B109&amp;"|P2",'8_가정'!$A$47:$A$88,0))</f>
        <v>0</v>
      </c>
      <c r="L109" s="78">
        <f>INDEX('8_가정'!$G$47:$G$88,MATCH($B109&amp;"|P2",'8_가정'!$A$47:$A$88,0))</f>
        <v>0</v>
      </c>
      <c r="M109" s="78">
        <f>INDEX('8_가정'!$C$47:$C$88,MATCH($B109&amp;"|P3",'8_가정'!$A$47:$A$88,0))</f>
        <v>0</v>
      </c>
      <c r="N109" s="78">
        <f>INDEX('8_가정'!$D$47:$D$88,MATCH($B109&amp;"|P3",'8_가정'!$A$47:$A$88,0))</f>
        <v>0</v>
      </c>
      <c r="O109" s="78">
        <f>INDEX('8_가정'!$E$47:$E$88,MATCH($B109&amp;"|P3",'8_가정'!$A$47:$A$88,0))</f>
        <v>0</v>
      </c>
      <c r="P109" s="78">
        <f>INDEX('8_가정'!$F$47:$F$88,MATCH($B109&amp;"|P3",'8_가정'!$A$47:$A$88,0))</f>
        <v>0</v>
      </c>
      <c r="Q109" s="78">
        <f>INDEX('8_가정'!$G$47:$G$88,MATCH($B109&amp;"|P3",'8_가정'!$A$47:$A$88,0))</f>
        <v>0</v>
      </c>
      <c r="R109" s="78">
        <f>INDEX('8_가정'!$C$47:$C$88,MATCH($B109&amp;"|P4",'8_가정'!$A$47:$A$88,0))</f>
        <v>0</v>
      </c>
      <c r="S109" s="78">
        <f>INDEX('8_가정'!$D$47:$D$88,MATCH($B109&amp;"|P4",'8_가정'!$A$47:$A$88,0))</f>
        <v>0</v>
      </c>
      <c r="T109" s="78">
        <f>INDEX('8_가정'!$E$47:$E$88,MATCH($B109&amp;"|P4",'8_가정'!$A$47:$A$88,0))</f>
        <v>0</v>
      </c>
      <c r="U109" s="78">
        <f>INDEX('8_가정'!$F$47:$F$88,MATCH($B109&amp;"|P4",'8_가정'!$A$47:$A$88,0))</f>
        <v>0</v>
      </c>
      <c r="V109" s="78">
        <f>INDEX('8_가정'!$G$47:$G$88,MATCH($B109&amp;"|P4",'8_가정'!$A$47:$A$88,0))</f>
        <v>0</v>
      </c>
      <c r="W109" s="78">
        <f>INDEX('8_가정'!$C$47:$C$88,MATCH($B109&amp;"|P5",'8_가정'!$A$47:$A$88,0))</f>
        <v>0</v>
      </c>
      <c r="X109" s="78">
        <f>INDEX('8_가정'!$D$47:$D$88,MATCH($B109&amp;"|P5",'8_가정'!$A$47:$A$88,0))</f>
        <v>0</v>
      </c>
      <c r="Y109" s="78">
        <f>INDEX('8_가정'!$E$47:$E$88,MATCH($B109&amp;"|P5",'8_가정'!$A$47:$A$88,0))</f>
        <v>0</v>
      </c>
      <c r="Z109" s="78">
        <f>INDEX('8_가정'!$F$47:$F$88,MATCH($B109&amp;"|P5",'8_가정'!$A$47:$A$88,0))</f>
        <v>0</v>
      </c>
      <c r="AA109" s="78">
        <f>INDEX('8_가정'!$G$47:$G$88,MATCH($B109&amp;"|P5",'8_가정'!$A$47:$A$88,0))</f>
        <v>0</v>
      </c>
      <c r="AB109" s="78">
        <f>INDEX('8_가정'!$C$47:$C$88,MATCH($B109&amp;"|P6",'8_가정'!$A$47:$A$88,0))</f>
        <v>1</v>
      </c>
      <c r="AC109" s="78">
        <f>INDEX('8_가정'!$D$47:$D$88,MATCH($B109&amp;"|P6",'8_가정'!$A$47:$A$88,0))</f>
        <v>1</v>
      </c>
      <c r="AD109" s="78">
        <f>INDEX('8_가정'!$E$47:$E$88,MATCH($B109&amp;"|P6",'8_가정'!$A$47:$A$88,0))</f>
        <v>1</v>
      </c>
      <c r="AE109" s="78">
        <f>INDEX('8_가정'!$F$47:$F$88,MATCH($B109&amp;"|P6",'8_가정'!$A$47:$A$88,0))</f>
        <v>1</v>
      </c>
      <c r="AF109" s="78">
        <f>INDEX('8_가정'!$G$47:$G$88,MATCH($B109&amp;"|P6",'8_가정'!$A$47:$A$88,0))</f>
        <v>1</v>
      </c>
    </row>
    <row r="110">
      <c r="A110" s="77" t="str">
        <f>'4_매출_거래처'!D40</f>
        <v>Healthbeats(호주·뉴질랜드)</v>
      </c>
      <c r="B110" s="77" t="str">
        <f>'4_매출_거래처'!I40</f>
        <v>DIST</v>
      </c>
      <c r="C110" s="78">
        <f>INDEX('8_가정'!$C$47:$C$88,MATCH($B110&amp;"|P1",'8_가정'!$A$47:$A$88,0))</f>
        <v>0.62</v>
      </c>
      <c r="D110" s="78">
        <f>INDEX('8_가정'!$D$47:$D$88,MATCH($B110&amp;"|P1",'8_가정'!$A$47:$A$88,0))</f>
        <v>0.62</v>
      </c>
      <c r="E110" s="78">
        <f>INDEX('8_가정'!$E$47:$E$88,MATCH($B110&amp;"|P1",'8_가정'!$A$47:$A$88,0))</f>
        <v>0.6</v>
      </c>
      <c r="F110" s="78">
        <f>INDEX('8_가정'!$F$47:$F$88,MATCH($B110&amp;"|P1",'8_가정'!$A$47:$A$88,0))</f>
        <v>0.58</v>
      </c>
      <c r="G110" s="78">
        <f>INDEX('8_가정'!$G$47:$G$88,MATCH($B110&amp;"|P1",'8_가정'!$A$47:$A$88,0))</f>
        <v>0.56</v>
      </c>
      <c r="H110" s="78">
        <f>INDEX('8_가정'!$C$47:$C$88,MATCH($B110&amp;"|P2",'8_가정'!$A$47:$A$88,0))</f>
        <v>0.28</v>
      </c>
      <c r="I110" s="78">
        <f>INDEX('8_가정'!$D$47:$D$88,MATCH($B110&amp;"|P2",'8_가정'!$A$47:$A$88,0))</f>
        <v>0.26</v>
      </c>
      <c r="J110" s="78">
        <f>INDEX('8_가정'!$E$47:$E$88,MATCH($B110&amp;"|P2",'8_가정'!$A$47:$A$88,0))</f>
        <v>0.24</v>
      </c>
      <c r="K110" s="78">
        <f>INDEX('8_가정'!$F$47:$F$88,MATCH($B110&amp;"|P2",'8_가정'!$A$47:$A$88,0))</f>
        <v>0.22</v>
      </c>
      <c r="L110" s="78">
        <f>INDEX('8_가정'!$G$47:$G$88,MATCH($B110&amp;"|P2",'8_가정'!$A$47:$A$88,0))</f>
        <v>0.2</v>
      </c>
      <c r="M110" s="78">
        <f>INDEX('8_가정'!$C$47:$C$88,MATCH($B110&amp;"|P3",'8_가정'!$A$47:$A$88,0))</f>
        <v>0.1</v>
      </c>
      <c r="N110" s="78">
        <f>INDEX('8_가정'!$D$47:$D$88,MATCH($B110&amp;"|P3",'8_가정'!$A$47:$A$88,0))</f>
        <v>0.09</v>
      </c>
      <c r="O110" s="78">
        <f>INDEX('8_가정'!$E$47:$E$88,MATCH($B110&amp;"|P3",'8_가정'!$A$47:$A$88,0))</f>
        <v>0.1</v>
      </c>
      <c r="P110" s="78">
        <f>INDEX('8_가정'!$F$47:$F$88,MATCH($B110&amp;"|P3",'8_가정'!$A$47:$A$88,0))</f>
        <v>0.1</v>
      </c>
      <c r="Q110" s="78">
        <f>INDEX('8_가정'!$G$47:$G$88,MATCH($B110&amp;"|P3",'8_가정'!$A$47:$A$88,0))</f>
        <v>0.1</v>
      </c>
      <c r="R110" s="78">
        <f>INDEX('8_가정'!$C$47:$C$88,MATCH($B110&amp;"|P4",'8_가정'!$A$47:$A$88,0))</f>
        <v>0</v>
      </c>
      <c r="S110" s="78">
        <f>INDEX('8_가정'!$D$47:$D$88,MATCH($B110&amp;"|P4",'8_가정'!$A$47:$A$88,0))</f>
        <v>0.03</v>
      </c>
      <c r="T110" s="78">
        <f>INDEX('8_가정'!$E$47:$E$88,MATCH($B110&amp;"|P4",'8_가정'!$A$47:$A$88,0))</f>
        <v>0.05</v>
      </c>
      <c r="U110" s="78">
        <f>INDEX('8_가정'!$F$47:$F$88,MATCH($B110&amp;"|P4",'8_가정'!$A$47:$A$88,0))</f>
        <v>0.07</v>
      </c>
      <c r="V110" s="78">
        <f>INDEX('8_가정'!$G$47:$G$88,MATCH($B110&amp;"|P4",'8_가정'!$A$47:$A$88,0))</f>
        <v>0.09</v>
      </c>
      <c r="W110" s="78">
        <f>INDEX('8_가정'!$C$47:$C$88,MATCH($B110&amp;"|P5",'8_가정'!$A$47:$A$88,0))</f>
        <v>0</v>
      </c>
      <c r="X110" s="78">
        <f>INDEX('8_가정'!$D$47:$D$88,MATCH($B110&amp;"|P5",'8_가정'!$A$47:$A$88,0))</f>
        <v>0</v>
      </c>
      <c r="Y110" s="78">
        <f>INDEX('8_가정'!$E$47:$E$88,MATCH($B110&amp;"|P5",'8_가정'!$A$47:$A$88,0))</f>
        <v>0.01</v>
      </c>
      <c r="Z110" s="78">
        <f>INDEX('8_가정'!$F$47:$F$88,MATCH($B110&amp;"|P5",'8_가정'!$A$47:$A$88,0))</f>
        <v>0.03</v>
      </c>
      <c r="AA110" s="78">
        <f>INDEX('8_가정'!$G$47:$G$88,MATCH($B110&amp;"|P5",'8_가정'!$A$47:$A$88,0))</f>
        <v>0.05</v>
      </c>
      <c r="AB110" s="78">
        <f>INDEX('8_가정'!$C$47:$C$88,MATCH($B110&amp;"|P6",'8_가정'!$A$47:$A$88,0))</f>
        <v>0</v>
      </c>
      <c r="AC110" s="78">
        <f>INDEX('8_가정'!$D$47:$D$88,MATCH($B110&amp;"|P6",'8_가정'!$A$47:$A$88,0))</f>
        <v>0</v>
      </c>
      <c r="AD110" s="78">
        <f>INDEX('8_가정'!$E$47:$E$88,MATCH($B110&amp;"|P6",'8_가정'!$A$47:$A$88,0))</f>
        <v>0</v>
      </c>
      <c r="AE110" s="78">
        <f>INDEX('8_가정'!$F$47:$F$88,MATCH($B110&amp;"|P6",'8_가정'!$A$47:$A$88,0))</f>
        <v>0</v>
      </c>
      <c r="AF110" s="78">
        <f>INDEX('8_가정'!$G$47:$G$88,MATCH($B110&amp;"|P6",'8_가정'!$A$47:$A$88,0))</f>
        <v>0</v>
      </c>
    </row>
    <row r="111">
      <c r="A111" s="77" t="str">
        <f>'4_매출_거래처'!D41</f>
        <v>일본 신규 시설·재가 채널(하트키움·TAIS 외 직접 도입)</v>
      </c>
      <c r="B111" s="77" t="str">
        <f>'4_매출_거래처'!I41</f>
        <v>COH</v>
      </c>
      <c r="C111" s="78">
        <f>INDEX('8_가정'!$C$47:$C$88,MATCH($B111&amp;"|P1",'8_가정'!$A$47:$A$88,0))</f>
        <v>0.66</v>
      </c>
      <c r="D111" s="78">
        <f>INDEX('8_가정'!$D$47:$D$88,MATCH($B111&amp;"|P1",'8_가정'!$A$47:$A$88,0))</f>
        <v>0.66</v>
      </c>
      <c r="E111" s="78">
        <f>INDEX('8_가정'!$E$47:$E$88,MATCH($B111&amp;"|P1",'8_가정'!$A$47:$A$88,0))</f>
        <v>0.66</v>
      </c>
      <c r="F111" s="78">
        <f>INDEX('8_가정'!$F$47:$F$88,MATCH($B111&amp;"|P1",'8_가정'!$A$47:$A$88,0))</f>
        <v>0.6</v>
      </c>
      <c r="G111" s="78">
        <f>INDEX('8_가정'!$G$47:$G$88,MATCH($B111&amp;"|P1",'8_가정'!$A$47:$A$88,0))</f>
        <v>0.56</v>
      </c>
      <c r="H111" s="78">
        <f>INDEX('8_가정'!$C$47:$C$88,MATCH($B111&amp;"|P2",'8_가정'!$A$47:$A$88,0))</f>
        <v>0.1</v>
      </c>
      <c r="I111" s="78">
        <f>INDEX('8_가정'!$D$47:$D$88,MATCH($B111&amp;"|P2",'8_가정'!$A$47:$A$88,0))</f>
        <v>0.1</v>
      </c>
      <c r="J111" s="78">
        <f>INDEX('8_가정'!$E$47:$E$88,MATCH($B111&amp;"|P2",'8_가정'!$A$47:$A$88,0))</f>
        <v>0.1</v>
      </c>
      <c r="K111" s="78">
        <f>INDEX('8_가정'!$F$47:$F$88,MATCH($B111&amp;"|P2",'8_가정'!$A$47:$A$88,0))</f>
        <v>0.11</v>
      </c>
      <c r="L111" s="78">
        <f>INDEX('8_가정'!$G$47:$G$88,MATCH($B111&amp;"|P2",'8_가정'!$A$47:$A$88,0))</f>
        <v>0.11</v>
      </c>
      <c r="M111" s="78">
        <f>INDEX('8_가정'!$C$47:$C$88,MATCH($B111&amp;"|P3",'8_가정'!$A$47:$A$88,0))</f>
        <v>0.12</v>
      </c>
      <c r="N111" s="78">
        <f>INDEX('8_가정'!$D$47:$D$88,MATCH($B111&amp;"|P3",'8_가정'!$A$47:$A$88,0))</f>
        <v>0.12</v>
      </c>
      <c r="O111" s="78">
        <f>INDEX('8_가정'!$E$47:$E$88,MATCH($B111&amp;"|P3",'8_가정'!$A$47:$A$88,0))</f>
        <v>0.12</v>
      </c>
      <c r="P111" s="78">
        <f>INDEX('8_가정'!$F$47:$F$88,MATCH($B111&amp;"|P3",'8_가정'!$A$47:$A$88,0))</f>
        <v>0.12</v>
      </c>
      <c r="Q111" s="78">
        <f>INDEX('8_가정'!$G$47:$G$88,MATCH($B111&amp;"|P3",'8_가정'!$A$47:$A$88,0))</f>
        <v>0.12</v>
      </c>
      <c r="R111" s="78">
        <f>INDEX('8_가정'!$C$47:$C$88,MATCH($B111&amp;"|P4",'8_가정'!$A$47:$A$88,0))</f>
        <v>0.08</v>
      </c>
      <c r="S111" s="78">
        <f>INDEX('8_가정'!$D$47:$D$88,MATCH($B111&amp;"|P4",'8_가정'!$A$47:$A$88,0))</f>
        <v>0.08</v>
      </c>
      <c r="T111" s="78">
        <f>INDEX('8_가정'!$E$47:$E$88,MATCH($B111&amp;"|P4",'8_가정'!$A$47:$A$88,0))</f>
        <v>0.08</v>
      </c>
      <c r="U111" s="78">
        <f>INDEX('8_가정'!$F$47:$F$88,MATCH($B111&amp;"|P4",'8_가정'!$A$47:$A$88,0))</f>
        <v>0.11</v>
      </c>
      <c r="V111" s="78">
        <f>INDEX('8_가정'!$G$47:$G$88,MATCH($B111&amp;"|P4",'8_가정'!$A$47:$A$88,0))</f>
        <v>0.13</v>
      </c>
      <c r="W111" s="78">
        <f>INDEX('8_가정'!$C$47:$C$88,MATCH($B111&amp;"|P5",'8_가정'!$A$47:$A$88,0))</f>
        <v>0.02</v>
      </c>
      <c r="X111" s="78">
        <f>INDEX('8_가정'!$D$47:$D$88,MATCH($B111&amp;"|P5",'8_가정'!$A$47:$A$88,0))</f>
        <v>0.02</v>
      </c>
      <c r="Y111" s="78">
        <f>INDEX('8_가정'!$E$47:$E$88,MATCH($B111&amp;"|P5",'8_가정'!$A$47:$A$88,0))</f>
        <v>0.02</v>
      </c>
      <c r="Z111" s="78">
        <f>INDEX('8_가정'!$F$47:$F$88,MATCH($B111&amp;"|P5",'8_가정'!$A$47:$A$88,0))</f>
        <v>0.04</v>
      </c>
      <c r="AA111" s="78">
        <f>INDEX('8_가정'!$G$47:$G$88,MATCH($B111&amp;"|P5",'8_가정'!$A$47:$A$88,0))</f>
        <v>0.06</v>
      </c>
      <c r="AB111" s="78">
        <f>INDEX('8_가정'!$C$47:$C$88,MATCH($B111&amp;"|P6",'8_가정'!$A$47:$A$88,0))</f>
        <v>0.02</v>
      </c>
      <c r="AC111" s="78">
        <f>INDEX('8_가정'!$D$47:$D$88,MATCH($B111&amp;"|P6",'8_가정'!$A$47:$A$88,0))</f>
        <v>0.02</v>
      </c>
      <c r="AD111" s="78">
        <f>INDEX('8_가정'!$E$47:$E$88,MATCH($B111&amp;"|P6",'8_가정'!$A$47:$A$88,0))</f>
        <v>0.02</v>
      </c>
      <c r="AE111" s="78">
        <f>INDEX('8_가정'!$F$47:$F$88,MATCH($B111&amp;"|P6",'8_가정'!$A$47:$A$88,0))</f>
        <v>0.02</v>
      </c>
      <c r="AF111" s="78">
        <f>INDEX('8_가정'!$G$47:$G$88,MATCH($B111&amp;"|P6",'8_가정'!$A$47:$A$88,0))</f>
        <v>0.02</v>
      </c>
    </row>
    <row r="112">
      <c r="A112" s="77" t="str">
        <f>'4_매출_거래처'!D42</f>
        <v>동남아 병원·요양그룹 확대(IHH·NTUC·SingHealth·Econ·ACG 전환)</v>
      </c>
      <c r="B112" s="77" t="str">
        <f>'4_매출_거래처'!I42</f>
        <v>COH</v>
      </c>
      <c r="C112" s="78">
        <f>INDEX('8_가정'!$C$47:$C$88,MATCH($B112&amp;"|P1",'8_가정'!$A$47:$A$88,0))</f>
        <v>0.66</v>
      </c>
      <c r="D112" s="78">
        <f>INDEX('8_가정'!$D$47:$D$88,MATCH($B112&amp;"|P1",'8_가정'!$A$47:$A$88,0))</f>
        <v>0.66</v>
      </c>
      <c r="E112" s="78">
        <f>INDEX('8_가정'!$E$47:$E$88,MATCH($B112&amp;"|P1",'8_가정'!$A$47:$A$88,0))</f>
        <v>0.66</v>
      </c>
      <c r="F112" s="78">
        <f>INDEX('8_가정'!$F$47:$F$88,MATCH($B112&amp;"|P1",'8_가정'!$A$47:$A$88,0))</f>
        <v>0.6</v>
      </c>
      <c r="G112" s="78">
        <f>INDEX('8_가정'!$G$47:$G$88,MATCH($B112&amp;"|P1",'8_가정'!$A$47:$A$88,0))</f>
        <v>0.56</v>
      </c>
      <c r="H112" s="78">
        <f>INDEX('8_가정'!$C$47:$C$88,MATCH($B112&amp;"|P2",'8_가정'!$A$47:$A$88,0))</f>
        <v>0.1</v>
      </c>
      <c r="I112" s="78">
        <f>INDEX('8_가정'!$D$47:$D$88,MATCH($B112&amp;"|P2",'8_가정'!$A$47:$A$88,0))</f>
        <v>0.1</v>
      </c>
      <c r="J112" s="78">
        <f>INDEX('8_가정'!$E$47:$E$88,MATCH($B112&amp;"|P2",'8_가정'!$A$47:$A$88,0))</f>
        <v>0.1</v>
      </c>
      <c r="K112" s="78">
        <f>INDEX('8_가정'!$F$47:$F$88,MATCH($B112&amp;"|P2",'8_가정'!$A$47:$A$88,0))</f>
        <v>0.11</v>
      </c>
      <c r="L112" s="78">
        <f>INDEX('8_가정'!$G$47:$G$88,MATCH($B112&amp;"|P2",'8_가정'!$A$47:$A$88,0))</f>
        <v>0.11</v>
      </c>
      <c r="M112" s="78">
        <f>INDEX('8_가정'!$C$47:$C$88,MATCH($B112&amp;"|P3",'8_가정'!$A$47:$A$88,0))</f>
        <v>0.12</v>
      </c>
      <c r="N112" s="78">
        <f>INDEX('8_가정'!$D$47:$D$88,MATCH($B112&amp;"|P3",'8_가정'!$A$47:$A$88,0))</f>
        <v>0.12</v>
      </c>
      <c r="O112" s="78">
        <f>INDEX('8_가정'!$E$47:$E$88,MATCH($B112&amp;"|P3",'8_가정'!$A$47:$A$88,0))</f>
        <v>0.12</v>
      </c>
      <c r="P112" s="78">
        <f>INDEX('8_가정'!$F$47:$F$88,MATCH($B112&amp;"|P3",'8_가정'!$A$47:$A$88,0))</f>
        <v>0.12</v>
      </c>
      <c r="Q112" s="78">
        <f>INDEX('8_가정'!$G$47:$G$88,MATCH($B112&amp;"|P3",'8_가정'!$A$47:$A$88,0))</f>
        <v>0.12</v>
      </c>
      <c r="R112" s="78">
        <f>INDEX('8_가정'!$C$47:$C$88,MATCH($B112&amp;"|P4",'8_가정'!$A$47:$A$88,0))</f>
        <v>0.08</v>
      </c>
      <c r="S112" s="78">
        <f>INDEX('8_가정'!$D$47:$D$88,MATCH($B112&amp;"|P4",'8_가정'!$A$47:$A$88,0))</f>
        <v>0.08</v>
      </c>
      <c r="T112" s="78">
        <f>INDEX('8_가정'!$E$47:$E$88,MATCH($B112&amp;"|P4",'8_가정'!$A$47:$A$88,0))</f>
        <v>0.08</v>
      </c>
      <c r="U112" s="78">
        <f>INDEX('8_가정'!$F$47:$F$88,MATCH($B112&amp;"|P4",'8_가정'!$A$47:$A$88,0))</f>
        <v>0.11</v>
      </c>
      <c r="V112" s="78">
        <f>INDEX('8_가정'!$G$47:$G$88,MATCH($B112&amp;"|P4",'8_가정'!$A$47:$A$88,0))</f>
        <v>0.13</v>
      </c>
      <c r="W112" s="78">
        <f>INDEX('8_가정'!$C$47:$C$88,MATCH($B112&amp;"|P5",'8_가정'!$A$47:$A$88,0))</f>
        <v>0.02</v>
      </c>
      <c r="X112" s="78">
        <f>INDEX('8_가정'!$D$47:$D$88,MATCH($B112&amp;"|P5",'8_가정'!$A$47:$A$88,0))</f>
        <v>0.02</v>
      </c>
      <c r="Y112" s="78">
        <f>INDEX('8_가정'!$E$47:$E$88,MATCH($B112&amp;"|P5",'8_가정'!$A$47:$A$88,0))</f>
        <v>0.02</v>
      </c>
      <c r="Z112" s="78">
        <f>INDEX('8_가정'!$F$47:$F$88,MATCH($B112&amp;"|P5",'8_가정'!$A$47:$A$88,0))</f>
        <v>0.04</v>
      </c>
      <c r="AA112" s="78">
        <f>INDEX('8_가정'!$G$47:$G$88,MATCH($B112&amp;"|P5",'8_가정'!$A$47:$A$88,0))</f>
        <v>0.06</v>
      </c>
      <c r="AB112" s="78">
        <f>INDEX('8_가정'!$C$47:$C$88,MATCH($B112&amp;"|P6",'8_가정'!$A$47:$A$88,0))</f>
        <v>0.02</v>
      </c>
      <c r="AC112" s="78">
        <f>INDEX('8_가정'!$D$47:$D$88,MATCH($B112&amp;"|P6",'8_가정'!$A$47:$A$88,0))</f>
        <v>0.02</v>
      </c>
      <c r="AD112" s="78">
        <f>INDEX('8_가정'!$E$47:$E$88,MATCH($B112&amp;"|P6",'8_가정'!$A$47:$A$88,0))</f>
        <v>0.02</v>
      </c>
      <c r="AE112" s="78">
        <f>INDEX('8_가정'!$F$47:$F$88,MATCH($B112&amp;"|P6",'8_가정'!$A$47:$A$88,0))</f>
        <v>0.02</v>
      </c>
      <c r="AF112" s="78">
        <f>INDEX('8_가정'!$G$47:$G$88,MATCH($B112&amp;"|P6",'8_가정'!$A$47:$A$88,0))</f>
        <v>0.02</v>
      </c>
    </row>
    <row r="113">
      <c r="A113" s="77" t="str">
        <f>'4_매출_거래처'!D43</f>
        <v>유럽 총판 확대(NL·DE·PL·PT·북유럽)</v>
      </c>
      <c r="B113" s="77" t="str">
        <f>'4_매출_거래처'!I43</f>
        <v>COH</v>
      </c>
      <c r="C113" s="78">
        <f>INDEX('8_가정'!$C$47:$C$88,MATCH($B113&amp;"|P1",'8_가정'!$A$47:$A$88,0))</f>
        <v>0.66</v>
      </c>
      <c r="D113" s="78">
        <f>INDEX('8_가정'!$D$47:$D$88,MATCH($B113&amp;"|P1",'8_가정'!$A$47:$A$88,0))</f>
        <v>0.66</v>
      </c>
      <c r="E113" s="78">
        <f>INDEX('8_가정'!$E$47:$E$88,MATCH($B113&amp;"|P1",'8_가정'!$A$47:$A$88,0))</f>
        <v>0.66</v>
      </c>
      <c r="F113" s="78">
        <f>INDEX('8_가정'!$F$47:$F$88,MATCH($B113&amp;"|P1",'8_가정'!$A$47:$A$88,0))</f>
        <v>0.6</v>
      </c>
      <c r="G113" s="78">
        <f>INDEX('8_가정'!$G$47:$G$88,MATCH($B113&amp;"|P1",'8_가정'!$A$47:$A$88,0))</f>
        <v>0.56</v>
      </c>
      <c r="H113" s="78">
        <f>INDEX('8_가정'!$C$47:$C$88,MATCH($B113&amp;"|P2",'8_가정'!$A$47:$A$88,0))</f>
        <v>0.1</v>
      </c>
      <c r="I113" s="78">
        <f>INDEX('8_가정'!$D$47:$D$88,MATCH($B113&amp;"|P2",'8_가정'!$A$47:$A$88,0))</f>
        <v>0.1</v>
      </c>
      <c r="J113" s="78">
        <f>INDEX('8_가정'!$E$47:$E$88,MATCH($B113&amp;"|P2",'8_가정'!$A$47:$A$88,0))</f>
        <v>0.1</v>
      </c>
      <c r="K113" s="78">
        <f>INDEX('8_가정'!$F$47:$F$88,MATCH($B113&amp;"|P2",'8_가정'!$A$47:$A$88,0))</f>
        <v>0.11</v>
      </c>
      <c r="L113" s="78">
        <f>INDEX('8_가정'!$G$47:$G$88,MATCH($B113&amp;"|P2",'8_가정'!$A$47:$A$88,0))</f>
        <v>0.11</v>
      </c>
      <c r="M113" s="78">
        <f>INDEX('8_가정'!$C$47:$C$88,MATCH($B113&amp;"|P3",'8_가정'!$A$47:$A$88,0))</f>
        <v>0.12</v>
      </c>
      <c r="N113" s="78">
        <f>INDEX('8_가정'!$D$47:$D$88,MATCH($B113&amp;"|P3",'8_가정'!$A$47:$A$88,0))</f>
        <v>0.12</v>
      </c>
      <c r="O113" s="78">
        <f>INDEX('8_가정'!$E$47:$E$88,MATCH($B113&amp;"|P3",'8_가정'!$A$47:$A$88,0))</f>
        <v>0.12</v>
      </c>
      <c r="P113" s="78">
        <f>INDEX('8_가정'!$F$47:$F$88,MATCH($B113&amp;"|P3",'8_가정'!$A$47:$A$88,0))</f>
        <v>0.12</v>
      </c>
      <c r="Q113" s="78">
        <f>INDEX('8_가정'!$G$47:$G$88,MATCH($B113&amp;"|P3",'8_가정'!$A$47:$A$88,0))</f>
        <v>0.12</v>
      </c>
      <c r="R113" s="78">
        <f>INDEX('8_가정'!$C$47:$C$88,MATCH($B113&amp;"|P4",'8_가정'!$A$47:$A$88,0))</f>
        <v>0.08</v>
      </c>
      <c r="S113" s="78">
        <f>INDEX('8_가정'!$D$47:$D$88,MATCH($B113&amp;"|P4",'8_가정'!$A$47:$A$88,0))</f>
        <v>0.08</v>
      </c>
      <c r="T113" s="78">
        <f>INDEX('8_가정'!$E$47:$E$88,MATCH($B113&amp;"|P4",'8_가정'!$A$47:$A$88,0))</f>
        <v>0.08</v>
      </c>
      <c r="U113" s="78">
        <f>INDEX('8_가정'!$F$47:$F$88,MATCH($B113&amp;"|P4",'8_가정'!$A$47:$A$88,0))</f>
        <v>0.11</v>
      </c>
      <c r="V113" s="78">
        <f>INDEX('8_가정'!$G$47:$G$88,MATCH($B113&amp;"|P4",'8_가정'!$A$47:$A$88,0))</f>
        <v>0.13</v>
      </c>
      <c r="W113" s="78">
        <f>INDEX('8_가정'!$C$47:$C$88,MATCH($B113&amp;"|P5",'8_가정'!$A$47:$A$88,0))</f>
        <v>0.02</v>
      </c>
      <c r="X113" s="78">
        <f>INDEX('8_가정'!$D$47:$D$88,MATCH($B113&amp;"|P5",'8_가정'!$A$47:$A$88,0))</f>
        <v>0.02</v>
      </c>
      <c r="Y113" s="78">
        <f>INDEX('8_가정'!$E$47:$E$88,MATCH($B113&amp;"|P5",'8_가정'!$A$47:$A$88,0))</f>
        <v>0.02</v>
      </c>
      <c r="Z113" s="78">
        <f>INDEX('8_가정'!$F$47:$F$88,MATCH($B113&amp;"|P5",'8_가정'!$A$47:$A$88,0))</f>
        <v>0.04</v>
      </c>
      <c r="AA113" s="78">
        <f>INDEX('8_가정'!$G$47:$G$88,MATCH($B113&amp;"|P5",'8_가정'!$A$47:$A$88,0))</f>
        <v>0.06</v>
      </c>
      <c r="AB113" s="78">
        <f>INDEX('8_가정'!$C$47:$C$88,MATCH($B113&amp;"|P6",'8_가정'!$A$47:$A$88,0))</f>
        <v>0.02</v>
      </c>
      <c r="AC113" s="78">
        <f>INDEX('8_가정'!$D$47:$D$88,MATCH($B113&amp;"|P6",'8_가정'!$A$47:$A$88,0))</f>
        <v>0.02</v>
      </c>
      <c r="AD113" s="78">
        <f>INDEX('8_가정'!$E$47:$E$88,MATCH($B113&amp;"|P6",'8_가정'!$A$47:$A$88,0))</f>
        <v>0.02</v>
      </c>
      <c r="AE113" s="78">
        <f>INDEX('8_가정'!$F$47:$F$88,MATCH($B113&amp;"|P6",'8_가정'!$A$47:$A$88,0))</f>
        <v>0.02</v>
      </c>
      <c r="AF113" s="78">
        <f>INDEX('8_가정'!$G$47:$G$88,MATCH($B113&amp;"|P6",'8_가정'!$A$47:$A$88,0))</f>
        <v>0.02</v>
      </c>
    </row>
    <row r="114">
      <c r="A114" s="77" t="str">
        <f>'4_매출_거래처'!D44</f>
        <v>미국 의료유통 채널(Shelter Device PoC → 2029 유통 진입)</v>
      </c>
      <c r="B114" s="77" t="str">
        <f>'4_매출_거래처'!I44</f>
        <v>COH</v>
      </c>
      <c r="C114" s="78">
        <f>INDEX('8_가정'!$C$47:$C$88,MATCH($B114&amp;"|P1",'8_가정'!$A$47:$A$88,0))</f>
        <v>0.66</v>
      </c>
      <c r="D114" s="78">
        <f>INDEX('8_가정'!$D$47:$D$88,MATCH($B114&amp;"|P1",'8_가정'!$A$47:$A$88,0))</f>
        <v>0.66</v>
      </c>
      <c r="E114" s="78">
        <f>INDEX('8_가정'!$E$47:$E$88,MATCH($B114&amp;"|P1",'8_가정'!$A$47:$A$88,0))</f>
        <v>0.66</v>
      </c>
      <c r="F114" s="78">
        <f>INDEX('8_가정'!$F$47:$F$88,MATCH($B114&amp;"|P1",'8_가정'!$A$47:$A$88,0))</f>
        <v>0.6</v>
      </c>
      <c r="G114" s="78">
        <f>INDEX('8_가정'!$G$47:$G$88,MATCH($B114&amp;"|P1",'8_가정'!$A$47:$A$88,0))</f>
        <v>0.56</v>
      </c>
      <c r="H114" s="78">
        <f>INDEX('8_가정'!$C$47:$C$88,MATCH($B114&amp;"|P2",'8_가정'!$A$47:$A$88,0))</f>
        <v>0.1</v>
      </c>
      <c r="I114" s="78">
        <f>INDEX('8_가정'!$D$47:$D$88,MATCH($B114&amp;"|P2",'8_가정'!$A$47:$A$88,0))</f>
        <v>0.1</v>
      </c>
      <c r="J114" s="78">
        <f>INDEX('8_가정'!$E$47:$E$88,MATCH($B114&amp;"|P2",'8_가정'!$A$47:$A$88,0))</f>
        <v>0.1</v>
      </c>
      <c r="K114" s="78">
        <f>INDEX('8_가정'!$F$47:$F$88,MATCH($B114&amp;"|P2",'8_가정'!$A$47:$A$88,0))</f>
        <v>0.11</v>
      </c>
      <c r="L114" s="78">
        <f>INDEX('8_가정'!$G$47:$G$88,MATCH($B114&amp;"|P2",'8_가정'!$A$47:$A$88,0))</f>
        <v>0.11</v>
      </c>
      <c r="M114" s="78">
        <f>INDEX('8_가정'!$C$47:$C$88,MATCH($B114&amp;"|P3",'8_가정'!$A$47:$A$88,0))</f>
        <v>0.12</v>
      </c>
      <c r="N114" s="78">
        <f>INDEX('8_가정'!$D$47:$D$88,MATCH($B114&amp;"|P3",'8_가정'!$A$47:$A$88,0))</f>
        <v>0.12</v>
      </c>
      <c r="O114" s="78">
        <f>INDEX('8_가정'!$E$47:$E$88,MATCH($B114&amp;"|P3",'8_가정'!$A$47:$A$88,0))</f>
        <v>0.12</v>
      </c>
      <c r="P114" s="78">
        <f>INDEX('8_가정'!$F$47:$F$88,MATCH($B114&amp;"|P3",'8_가정'!$A$47:$A$88,0))</f>
        <v>0.12</v>
      </c>
      <c r="Q114" s="78">
        <f>INDEX('8_가정'!$G$47:$G$88,MATCH($B114&amp;"|P3",'8_가정'!$A$47:$A$88,0))</f>
        <v>0.12</v>
      </c>
      <c r="R114" s="78">
        <f>INDEX('8_가정'!$C$47:$C$88,MATCH($B114&amp;"|P4",'8_가정'!$A$47:$A$88,0))</f>
        <v>0.08</v>
      </c>
      <c r="S114" s="78">
        <f>INDEX('8_가정'!$D$47:$D$88,MATCH($B114&amp;"|P4",'8_가정'!$A$47:$A$88,0))</f>
        <v>0.08</v>
      </c>
      <c r="T114" s="78">
        <f>INDEX('8_가정'!$E$47:$E$88,MATCH($B114&amp;"|P4",'8_가정'!$A$47:$A$88,0))</f>
        <v>0.08</v>
      </c>
      <c r="U114" s="78">
        <f>INDEX('8_가정'!$F$47:$F$88,MATCH($B114&amp;"|P4",'8_가정'!$A$47:$A$88,0))</f>
        <v>0.11</v>
      </c>
      <c r="V114" s="78">
        <f>INDEX('8_가정'!$G$47:$G$88,MATCH($B114&amp;"|P4",'8_가정'!$A$47:$A$88,0))</f>
        <v>0.13</v>
      </c>
      <c r="W114" s="78">
        <f>INDEX('8_가정'!$C$47:$C$88,MATCH($B114&amp;"|P5",'8_가정'!$A$47:$A$88,0))</f>
        <v>0.02</v>
      </c>
      <c r="X114" s="78">
        <f>INDEX('8_가정'!$D$47:$D$88,MATCH($B114&amp;"|P5",'8_가정'!$A$47:$A$88,0))</f>
        <v>0.02</v>
      </c>
      <c r="Y114" s="78">
        <f>INDEX('8_가정'!$E$47:$E$88,MATCH($B114&amp;"|P5",'8_가정'!$A$47:$A$88,0))</f>
        <v>0.02</v>
      </c>
      <c r="Z114" s="78">
        <f>INDEX('8_가정'!$F$47:$F$88,MATCH($B114&amp;"|P5",'8_가정'!$A$47:$A$88,0))</f>
        <v>0.04</v>
      </c>
      <c r="AA114" s="78">
        <f>INDEX('8_가정'!$G$47:$G$88,MATCH($B114&amp;"|P5",'8_가정'!$A$47:$A$88,0))</f>
        <v>0.06</v>
      </c>
      <c r="AB114" s="78">
        <f>INDEX('8_가정'!$C$47:$C$88,MATCH($B114&amp;"|P6",'8_가정'!$A$47:$A$88,0))</f>
        <v>0.02</v>
      </c>
      <c r="AC114" s="78">
        <f>INDEX('8_가정'!$D$47:$D$88,MATCH($B114&amp;"|P6",'8_가정'!$A$47:$A$88,0))</f>
        <v>0.02</v>
      </c>
      <c r="AD114" s="78">
        <f>INDEX('8_가정'!$E$47:$E$88,MATCH($B114&amp;"|P6",'8_가정'!$A$47:$A$88,0))</f>
        <v>0.02</v>
      </c>
      <c r="AE114" s="78">
        <f>INDEX('8_가정'!$F$47:$F$88,MATCH($B114&amp;"|P6",'8_가정'!$A$47:$A$88,0))</f>
        <v>0.02</v>
      </c>
      <c r="AF114" s="78">
        <f>INDEX('8_가정'!$G$47:$G$88,MATCH($B114&amp;"|P6",'8_가정'!$A$47:$A$88,0))</f>
        <v>0.02</v>
      </c>
    </row>
    <row r="115">
      <c r="A115" s="77" t="str">
        <f>'4_매출_거래처'!D45</f>
        <v>삼성 글로벌 채널(B2B 오퍼링 번들·시니어 모바일 앱)</v>
      </c>
      <c r="B115" s="77" t="str">
        <f>'4_매출_거래처'!I45</f>
        <v>COH</v>
      </c>
      <c r="C115" s="78">
        <f>INDEX('8_가정'!$C$47:$C$88,MATCH($B115&amp;"|P1",'8_가정'!$A$47:$A$88,0))</f>
        <v>0.66</v>
      </c>
      <c r="D115" s="78">
        <f>INDEX('8_가정'!$D$47:$D$88,MATCH($B115&amp;"|P1",'8_가정'!$A$47:$A$88,0))</f>
        <v>0.66</v>
      </c>
      <c r="E115" s="78">
        <f>INDEX('8_가정'!$E$47:$E$88,MATCH($B115&amp;"|P1",'8_가정'!$A$47:$A$88,0))</f>
        <v>0.66</v>
      </c>
      <c r="F115" s="78">
        <f>INDEX('8_가정'!$F$47:$F$88,MATCH($B115&amp;"|P1",'8_가정'!$A$47:$A$88,0))</f>
        <v>0.6</v>
      </c>
      <c r="G115" s="78">
        <f>INDEX('8_가정'!$G$47:$G$88,MATCH($B115&amp;"|P1",'8_가정'!$A$47:$A$88,0))</f>
        <v>0.56</v>
      </c>
      <c r="H115" s="78">
        <f>INDEX('8_가정'!$C$47:$C$88,MATCH($B115&amp;"|P2",'8_가정'!$A$47:$A$88,0))</f>
        <v>0.1</v>
      </c>
      <c r="I115" s="78">
        <f>INDEX('8_가정'!$D$47:$D$88,MATCH($B115&amp;"|P2",'8_가정'!$A$47:$A$88,0))</f>
        <v>0.1</v>
      </c>
      <c r="J115" s="78">
        <f>INDEX('8_가정'!$E$47:$E$88,MATCH($B115&amp;"|P2",'8_가정'!$A$47:$A$88,0))</f>
        <v>0.1</v>
      </c>
      <c r="K115" s="78">
        <f>INDEX('8_가정'!$F$47:$F$88,MATCH($B115&amp;"|P2",'8_가정'!$A$47:$A$88,0))</f>
        <v>0.11</v>
      </c>
      <c r="L115" s="78">
        <f>INDEX('8_가정'!$G$47:$G$88,MATCH($B115&amp;"|P2",'8_가정'!$A$47:$A$88,0))</f>
        <v>0.11</v>
      </c>
      <c r="M115" s="78">
        <f>INDEX('8_가정'!$C$47:$C$88,MATCH($B115&amp;"|P3",'8_가정'!$A$47:$A$88,0))</f>
        <v>0.12</v>
      </c>
      <c r="N115" s="78">
        <f>INDEX('8_가정'!$D$47:$D$88,MATCH($B115&amp;"|P3",'8_가정'!$A$47:$A$88,0))</f>
        <v>0.12</v>
      </c>
      <c r="O115" s="78">
        <f>INDEX('8_가정'!$E$47:$E$88,MATCH($B115&amp;"|P3",'8_가정'!$A$47:$A$88,0))</f>
        <v>0.12</v>
      </c>
      <c r="P115" s="78">
        <f>INDEX('8_가정'!$F$47:$F$88,MATCH($B115&amp;"|P3",'8_가정'!$A$47:$A$88,0))</f>
        <v>0.12</v>
      </c>
      <c r="Q115" s="78">
        <f>INDEX('8_가정'!$G$47:$G$88,MATCH($B115&amp;"|P3",'8_가정'!$A$47:$A$88,0))</f>
        <v>0.12</v>
      </c>
      <c r="R115" s="78">
        <f>INDEX('8_가정'!$C$47:$C$88,MATCH($B115&amp;"|P4",'8_가정'!$A$47:$A$88,0))</f>
        <v>0.08</v>
      </c>
      <c r="S115" s="78">
        <f>INDEX('8_가정'!$D$47:$D$88,MATCH($B115&amp;"|P4",'8_가정'!$A$47:$A$88,0))</f>
        <v>0.08</v>
      </c>
      <c r="T115" s="78">
        <f>INDEX('8_가정'!$E$47:$E$88,MATCH($B115&amp;"|P4",'8_가정'!$A$47:$A$88,0))</f>
        <v>0.08</v>
      </c>
      <c r="U115" s="78">
        <f>INDEX('8_가정'!$F$47:$F$88,MATCH($B115&amp;"|P4",'8_가정'!$A$47:$A$88,0))</f>
        <v>0.11</v>
      </c>
      <c r="V115" s="78">
        <f>INDEX('8_가정'!$G$47:$G$88,MATCH($B115&amp;"|P4",'8_가정'!$A$47:$A$88,0))</f>
        <v>0.13</v>
      </c>
      <c r="W115" s="78">
        <f>INDEX('8_가정'!$C$47:$C$88,MATCH($B115&amp;"|P5",'8_가정'!$A$47:$A$88,0))</f>
        <v>0.02</v>
      </c>
      <c r="X115" s="78">
        <f>INDEX('8_가정'!$D$47:$D$88,MATCH($B115&amp;"|P5",'8_가정'!$A$47:$A$88,0))</f>
        <v>0.02</v>
      </c>
      <c r="Y115" s="78">
        <f>INDEX('8_가정'!$E$47:$E$88,MATCH($B115&amp;"|P5",'8_가정'!$A$47:$A$88,0))</f>
        <v>0.02</v>
      </c>
      <c r="Z115" s="78">
        <f>INDEX('8_가정'!$F$47:$F$88,MATCH($B115&amp;"|P5",'8_가정'!$A$47:$A$88,0))</f>
        <v>0.04</v>
      </c>
      <c r="AA115" s="78">
        <f>INDEX('8_가정'!$G$47:$G$88,MATCH($B115&amp;"|P5",'8_가정'!$A$47:$A$88,0))</f>
        <v>0.06</v>
      </c>
      <c r="AB115" s="78">
        <f>INDEX('8_가정'!$C$47:$C$88,MATCH($B115&amp;"|P6",'8_가정'!$A$47:$A$88,0))</f>
        <v>0.02</v>
      </c>
      <c r="AC115" s="78">
        <f>INDEX('8_가정'!$D$47:$D$88,MATCH($B115&amp;"|P6",'8_가정'!$A$47:$A$88,0))</f>
        <v>0.02</v>
      </c>
      <c r="AD115" s="78">
        <f>INDEX('8_가정'!$E$47:$E$88,MATCH($B115&amp;"|P6",'8_가정'!$A$47:$A$88,0))</f>
        <v>0.02</v>
      </c>
      <c r="AE115" s="78">
        <f>INDEX('8_가정'!$F$47:$F$88,MATCH($B115&amp;"|P6",'8_가정'!$A$47:$A$88,0))</f>
        <v>0.02</v>
      </c>
      <c r="AF115" s="78">
        <f>INDEX('8_가정'!$G$47:$G$88,MATCH($B115&amp;"|P6",'8_가정'!$A$47:$A$88,0))</f>
        <v>0.02</v>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2F5597"/>
    <outlinePr summaryBelow="1" summaryRight="1"/>
    <pageSetUpPr fitToPage="1"/>
  </sheetPr>
  <dimension ref="A1:J4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34" customWidth="1" min="3" max="3"/>
    <col width="12" customWidth="1" min="4" max="4"/>
    <col width="11" customWidth="1" min="5" max="5"/>
    <col width="70" customWidth="1" min="6" max="6"/>
    <col width="12" customWidth="1" min="7" max="7"/>
    <col width="15" customWidth="1" min="8" max="8"/>
    <col width="24" customWidth="1" min="9" max="9"/>
    <col width="48" customWidth="1" min="10" max="10"/>
  </cols>
  <sheetData>
    <row r="1">
      <c r="A1" s="1" t="inlineStr">
        <is>
          <t>6_거래처현황 — 국내·해외 거래처 대장</t>
        </is>
      </c>
    </row>
    <row r="2">
      <c r="A2" s="2" t="inlineStr">
        <is>
          <t>출처: 거래처 매출표(2026-10-09) · IR 자료(2026-09-27판) · 입찰자료(KTPH-RFP-26-165-MJ) · 투자사 양식 회사연혁. 금액 미정 PoC는 매출에 반영하지 않고 신규 파이프라인 근거로만 표기.</t>
        </is>
      </c>
    </row>
    <row r="3"/>
    <row r="4">
      <c r="A4" s="11" t="inlineStr">
        <is>
          <t>구분</t>
        </is>
      </c>
      <c r="B4" s="11" t="inlineStr">
        <is>
          <t>국가</t>
        </is>
      </c>
      <c r="C4" s="11" t="inlineStr">
        <is>
          <t>거래처</t>
        </is>
      </c>
      <c r="D4" s="11" t="inlineStr">
        <is>
          <t>유형</t>
        </is>
      </c>
      <c r="E4" s="11" t="inlineStr">
        <is>
          <t>단계</t>
        </is>
      </c>
      <c r="F4" s="11" t="inlineStr">
        <is>
          <t>주요 내용 · 근거</t>
        </is>
      </c>
      <c r="G4" s="11" t="inlineStr">
        <is>
          <t>근거(IR 쪽·출처)</t>
        </is>
      </c>
      <c r="H4" s="11" t="inlineStr">
        <is>
          <t>2027 모델 매출(S1, 천원)</t>
        </is>
      </c>
      <c r="I4" s="11" t="inlineStr">
        <is>
          <t>모델 반영</t>
        </is>
      </c>
      <c r="J4" s="11" t="inlineStr">
        <is>
          <t>다음 마일스톤</t>
        </is>
      </c>
    </row>
    <row r="5" ht="36" customHeight="1">
      <c r="A5" s="79" t="inlineStr">
        <is>
          <t>국내</t>
        </is>
      </c>
      <c r="B5" s="79" t="inlineStr">
        <is>
          <t>한국</t>
        </is>
      </c>
      <c r="C5" s="80" t="inlineStr">
        <is>
          <t>네이버 스토어(베이비 Bebefit/Monit·위탁상품·엘더리)</t>
        </is>
      </c>
      <c r="D5" s="79" t="inlineStr">
        <is>
          <t>온라인 B2C</t>
        </is>
      </c>
      <c r="E5" s="79" t="inlineStr">
        <is>
          <t>기존</t>
        </is>
      </c>
      <c r="F5" s="80" t="inlineStr">
        <is>
          <t>네이버 온라인 판매(베이비·위탁·엘더리 상품). 2026-01~09 실적을 매출표 기준으로 반영</t>
        </is>
      </c>
      <c r="G5" s="79" t="inlineStr">
        <is>
          <t>매출표(2026-10-09)</t>
        </is>
      </c>
      <c r="H5" s="81">
        <f>'4_매출_거래처'!AW10+'4_매출_거래처'!AW11+'4_매출_거래처'!AW23</f>
        <v>510000</v>
      </c>
      <c r="I5" s="80" t="inlineStr">
        <is>
          <t>2026 0.92억 / 2027 5.10억(매출표 월 패턴)</t>
        </is>
      </c>
      <c r="J5" s="80" t="inlineStr">
        <is>
          <t>월별 실적 마감 반영</t>
        </is>
      </c>
    </row>
    <row r="6" ht="36" customHeight="1">
      <c r="A6" s="79" t="inlineStr">
        <is>
          <t>국내</t>
        </is>
      </c>
      <c r="B6" s="79" t="inlineStr">
        <is>
          <t>한국</t>
        </is>
      </c>
      <c r="C6" s="80" t="inlineStr">
        <is>
          <t>쿠팡(베이비·엘더리)</t>
        </is>
      </c>
      <c r="D6" s="79" t="inlineStr">
        <is>
          <t>온라인 B2C</t>
        </is>
      </c>
      <c r="E6" s="79" t="inlineStr">
        <is>
          <t>기존</t>
        </is>
      </c>
      <c r="F6" s="80" t="inlineStr">
        <is>
          <t>쿠팡 온라인 판매. 2026-01~09 실적 반영</t>
        </is>
      </c>
      <c r="G6" s="79" t="inlineStr">
        <is>
          <t>매출표(2026-10-09)</t>
        </is>
      </c>
      <c r="H6" s="81">
        <f>'4_매출_거래처'!AW12+'4_매출_거래처'!AW24</f>
        <v>375000</v>
      </c>
      <c r="I6" s="80" t="inlineStr">
        <is>
          <t>2026 0.63억 / 2027 3.75억(매출표 월 패턴)</t>
        </is>
      </c>
      <c r="J6" s="80" t="inlineStr">
        <is>
          <t>월별 실적 마감 반영</t>
        </is>
      </c>
    </row>
    <row r="7" ht="36" customHeight="1">
      <c r="A7" s="79" t="inlineStr">
        <is>
          <t>국내</t>
        </is>
      </c>
      <c r="B7" s="79" t="inlineStr">
        <is>
          <t>한국</t>
        </is>
      </c>
      <c r="C7" s="80" t="inlineStr">
        <is>
          <t>기타 B2C(베이비)</t>
        </is>
      </c>
      <c r="D7" s="79" t="inlineStr">
        <is>
          <t>온라인 B2C</t>
        </is>
      </c>
      <c r="E7" s="79" t="inlineStr">
        <is>
          <t>기존</t>
        </is>
      </c>
      <c r="F7" s="80" t="inlineStr">
        <is>
          <t>자사몰·기타 온라인 판매</t>
        </is>
      </c>
      <c r="G7" s="79" t="inlineStr">
        <is>
          <t>매출표(2026-10-09)</t>
        </is>
      </c>
      <c r="H7" s="81">
        <f>'4_매출_거래처'!AW13</f>
        <v>171000</v>
      </c>
      <c r="I7" s="80" t="inlineStr">
        <is>
          <t>2026 0.29억 / 2027 1.71억(매출표 월 패턴)</t>
        </is>
      </c>
      <c r="J7" s="80" t="inlineStr"/>
    </row>
    <row r="8" ht="36" customHeight="1">
      <c r="A8" s="79" t="inlineStr">
        <is>
          <t>국내</t>
        </is>
      </c>
      <c r="B8" s="79" t="inlineStr">
        <is>
          <t>한국</t>
        </is>
      </c>
      <c r="C8" s="80" t="inlineStr">
        <is>
          <t>국내 B2B(베이비·기타)</t>
        </is>
      </c>
      <c r="D8" s="79" t="inlineStr">
        <is>
          <t>국내 B2B</t>
        </is>
      </c>
      <c r="E8" s="79" t="inlineStr">
        <is>
          <t>기존</t>
        </is>
      </c>
      <c r="F8" s="80" t="inlineStr">
        <is>
          <t>국내 기관·기업 대상 판매(베이비 B2B 2026-12 1,000만원 예상, 기타 B2B 2026-07~08 실적 + 2026-11 3,950천원 예상)</t>
        </is>
      </c>
      <c r="G8" s="79" t="inlineStr">
        <is>
          <t>매출표(2026-10-09)</t>
        </is>
      </c>
      <c r="H8" s="81">
        <f>'4_매출_거래처'!AW14+'4_매출_거래처'!AW26</f>
        <v>340000</v>
      </c>
      <c r="I8" s="80" t="inlineStr">
        <is>
          <t>2026 0.15억 / 2027 3.40억(베이비 2.20억 월별 성장곡선 배분 · 국내 B2B 기타 1.20억 매출표 월 패턴)</t>
        </is>
      </c>
      <c r="J8" s="80" t="inlineStr"/>
    </row>
    <row r="9" ht="36" customHeight="1">
      <c r="A9" s="79" t="inlineStr">
        <is>
          <t>국내</t>
        </is>
      </c>
      <c r="B9" s="79" t="inlineStr">
        <is>
          <t>한국</t>
        </is>
      </c>
      <c r="C9" s="80" t="inlineStr">
        <is>
          <t>국민건강보험공단(NHIS) 혁신 복지용구</t>
        </is>
      </c>
      <c r="D9" s="79" t="inlineStr">
        <is>
          <t>B2G·제도</t>
        </is>
      </c>
      <c r="E9" s="79" t="inlineStr">
        <is>
          <t>등록 완료</t>
        </is>
      </c>
      <c r="F9" s="80" t="inlineStr">
        <is>
          <t>국내 최초 IT 제품으로 혁신 복지용구 선정(정부 보조금 85%), 전국 약 2,000개 매장 유통 확대. 지속 사용성 64%·편의성 71%·안전성 100%(설문)</t>
        </is>
      </c>
      <c r="G9" s="79" t="inlineStr">
        <is>
          <t>p.9·25</t>
        </is>
      </c>
      <c r="H9" s="81">
        <f>'4_매출_거래처'!AW25</f>
        <v>300000</v>
      </c>
      <c r="I9" s="80" t="inlineStr">
        <is>
          <t>2026 0.16억 / 2027 3.00억(매출표 월 패턴) · 2027-03 이후 월 3,000만원</t>
        </is>
      </c>
      <c r="J9" s="80" t="inlineStr">
        <is>
          <t>복지용구 매장 입점·실구매 개시</t>
        </is>
      </c>
    </row>
    <row r="10" ht="36" customHeight="1">
      <c r="A10" s="79" t="inlineStr">
        <is>
          <t>국내</t>
        </is>
      </c>
      <c r="B10" s="79" t="inlineStr">
        <is>
          <t>한국</t>
        </is>
      </c>
      <c r="C10" s="80" t="inlineStr">
        <is>
          <t>노인요양병원·시설(국내 1위 요양시설 기저귀 유통사 경유)</t>
        </is>
      </c>
      <c r="D10" s="79" t="inlineStr">
        <is>
          <t>총판·기관</t>
        </is>
      </c>
      <c r="E10" s="79" t="inlineStr">
        <is>
          <t>진행 중</t>
        </is>
      </c>
      <c r="F10" s="80" t="inlineStr">
        <is>
          <t>KB골든라이프케어·화이트하우스 요양원·가톨릭대 성빈센트병원 등 프리미엄 요양(삼성노블카운티는 별도 직접 계약 행으로 집계). 중장기 목표(IR SOM): 도입 시설 1,000곳·구독자 2만 명. 2027 계획 19.86억은 연 구독자 약 1,650명 수준</t>
        </is>
      </c>
      <c r="G10" s="79" t="inlineStr">
        <is>
          <t>p.10·25</t>
        </is>
      </c>
      <c r="H10" s="81">
        <f>'4_매출_거래처'!AW21</f>
        <v>1986200</v>
      </c>
      <c r="I10" s="80" t="inlineStr">
        <is>
          <t>2026 0.63억 / 2027 19.86억(매출표 월 패턴) · 2027은 IR p.25 표 금액</t>
        </is>
      </c>
      <c r="J10" s="80" t="inlineStr">
        <is>
          <t>유통사 계약 체결·도입 시설 수 확대</t>
        </is>
      </c>
    </row>
    <row r="11" ht="36" customHeight="1">
      <c r="A11" s="79" t="inlineStr">
        <is>
          <t>국내</t>
        </is>
      </c>
      <c r="B11" s="79" t="inlineStr">
        <is>
          <t>한국</t>
        </is>
      </c>
      <c r="C11" s="80" t="inlineStr">
        <is>
          <t>삼성노블카운티</t>
        </is>
      </c>
      <c r="D11" s="79" t="inlineStr">
        <is>
          <t>기관(직접)</t>
        </is>
      </c>
      <c r="E11" s="79" t="inlineStr">
        <is>
          <t>계약</t>
        </is>
      </c>
      <c r="F11" s="80" t="inlineStr">
        <is>
          <t>요양시설 레퍼런스(IR p.10). 2026-11~12 월 790만원 예상, 2027 월 790만원(연 9,480만원)</t>
        </is>
      </c>
      <c r="G11" s="79" t="inlineStr">
        <is>
          <t>p.10</t>
        </is>
      </c>
      <c r="H11" s="81">
        <f>'4_매출_거래처'!AW20</f>
        <v>94800</v>
      </c>
      <c r="I11" s="80" t="inlineStr">
        <is>
          <t>2026 0.16억 / 2027 0.95억(매출표 월 패턴)</t>
        </is>
      </c>
      <c r="J11" s="80" t="inlineStr">
        <is>
          <t>정기 발주 개시</t>
        </is>
      </c>
    </row>
    <row r="12" ht="36" customHeight="1">
      <c r="A12" s="79" t="inlineStr">
        <is>
          <t>국내</t>
        </is>
      </c>
      <c r="B12" s="79" t="inlineStr">
        <is>
          <t>한국</t>
        </is>
      </c>
      <c r="C12" s="80" t="inlineStr">
        <is>
          <t>피플앤테크놀로지 실증사업</t>
        </is>
      </c>
      <c r="D12" s="79" t="inlineStr">
        <is>
          <t>기관(직접)</t>
        </is>
      </c>
      <c r="E12" s="79" t="inlineStr">
        <is>
          <t>계약</t>
        </is>
      </c>
      <c r="F12" s="80" t="inlineStr">
        <is>
          <t>실증사업: 2026-11 4,000천원, 2027 연 1,600만원</t>
        </is>
      </c>
      <c r="G12" s="79" t="inlineStr">
        <is>
          <t>매출표(2026-10-09)</t>
        </is>
      </c>
      <c r="H12" s="81">
        <f>'4_매출_거래처'!AW22</f>
        <v>16000</v>
      </c>
      <c r="I12" s="80" t="inlineStr">
        <is>
          <t>2026 0.04억 / 2027 0.16억(월별 성장곡선 배분)</t>
        </is>
      </c>
      <c r="J12" s="80" t="inlineStr">
        <is>
          <t>실증사업 정산·후속 계약</t>
        </is>
      </c>
    </row>
    <row r="13" ht="36" customHeight="1">
      <c r="A13" s="79" t="inlineStr">
        <is>
          <t>국내</t>
        </is>
      </c>
      <c r="B13" s="79" t="inlineStr">
        <is>
          <t>한국</t>
        </is>
      </c>
      <c r="C13" s="80" t="inlineStr">
        <is>
          <t>APP(Asia Pulp &amp; Paper / Sinarmas) — 키퍼스 시니어 팬티형</t>
        </is>
      </c>
      <c r="D13" s="79" t="inlineStr">
        <is>
          <t>파트너</t>
        </is>
      </c>
      <c r="E13" s="79" t="inlineStr">
        <is>
          <t>계약</t>
        </is>
      </c>
      <c r="F13" s="80" t="inlineStr">
        <is>
          <t>스마트 팬티형 기저귀 연 구독 모델(공급+센서+서비스). B2C 기저귀 판매의 70% 이상이 팬티형</t>
        </is>
      </c>
      <c r="G13" s="79" t="inlineStr">
        <is>
          <t>p.11·25</t>
        </is>
      </c>
      <c r="H13" s="81">
        <f>'4_매출_거래처'!AW27</f>
        <v>1440000</v>
      </c>
      <c r="I13" s="80" t="inlineStr">
        <is>
          <t>2026 3.60억 / 2027 14.40억(매출표 월 패턴)</t>
        </is>
      </c>
      <c r="J13" s="80" t="inlineStr">
        <is>
          <t>제품 출시·초도 발주</t>
        </is>
      </c>
    </row>
    <row r="14" ht="36" customHeight="1">
      <c r="A14" s="79" t="inlineStr">
        <is>
          <t>국내</t>
        </is>
      </c>
      <c r="B14" s="79" t="inlineStr">
        <is>
          <t>한국</t>
        </is>
      </c>
      <c r="C14" s="80" t="inlineStr">
        <is>
          <t>APP — 스마트 베이비 기저귀(Beffys)</t>
        </is>
      </c>
      <c r="D14" s="79" t="inlineStr">
        <is>
          <t>파트너</t>
        </is>
      </c>
      <c r="E14" s="79" t="inlineStr">
        <is>
          <t>계약</t>
        </is>
      </c>
      <c r="F14" s="80" t="inlineStr">
        <is>
          <t>프리미엄 베이비 구독, 배변·수면 패턴 AI 분석</t>
        </is>
      </c>
      <c r="G14" s="79" t="inlineStr">
        <is>
          <t>p.12·25</t>
        </is>
      </c>
      <c r="H14" s="81">
        <f>'4_매출_거래처'!AW15</f>
        <v>1200000</v>
      </c>
      <c r="I14" s="80" t="inlineStr">
        <is>
          <t>2026 0.00억 / 2027 12.00억(매출표 월 패턴)</t>
        </is>
      </c>
      <c r="J14" s="80" t="inlineStr">
        <is>
          <t>제품 출시·초도 발주</t>
        </is>
      </c>
    </row>
    <row r="15" ht="36" customHeight="1">
      <c r="A15" s="79" t="inlineStr">
        <is>
          <t>해외</t>
        </is>
      </c>
      <c r="B15" s="79" t="inlineStr">
        <is>
          <t>일본</t>
        </is>
      </c>
      <c r="C15" s="80" t="inlineStr">
        <is>
          <t>HeartKium(HEARTCARE 오사카 요양시설) 총판</t>
        </is>
      </c>
      <c r="D15" s="79" t="inlineStr">
        <is>
          <t>총판</t>
        </is>
      </c>
      <c r="E15" s="79" t="inlineStr">
        <is>
          <t>계약</t>
        </is>
      </c>
      <c r="F15" s="80" t="inlineStr">
        <is>
          <t>오사카 요양시설 14곳 계약(→ 23곳), 기저귀 100만개·센싱 시스템 2,000대 공급</t>
        </is>
      </c>
      <c r="G15" s="79" t="inlineStr">
        <is>
          <t>p.13·23·25</t>
        </is>
      </c>
      <c r="H15" s="81">
        <f>'4_매출_거래처'!AW28</f>
        <v>360000</v>
      </c>
      <c r="I15" s="80" t="inlineStr">
        <is>
          <t>2026 0.00억 / 2027 3.60억(월별 성장곡선 배분)</t>
        </is>
      </c>
      <c r="J15" s="80" t="inlineStr">
        <is>
          <t>오사카 시설 23곳 확대·정기 발주</t>
        </is>
      </c>
    </row>
    <row r="16" ht="36" customHeight="1">
      <c r="A16" s="79" t="inlineStr">
        <is>
          <t>해외</t>
        </is>
      </c>
      <c r="B16" s="79" t="inlineStr">
        <is>
          <t>일본</t>
        </is>
      </c>
      <c r="C16" s="80" t="inlineStr">
        <is>
          <t>TAIS(Technical Aids Information System) by JAIS</t>
        </is>
      </c>
      <c r="D16" s="79" t="inlineStr">
        <is>
          <t>제도 등록</t>
        </is>
      </c>
      <c r="E16" s="79" t="inlineStr">
        <is>
          <t>등록 완료</t>
        </is>
      </c>
      <c r="F16" s="80" t="inlineStr">
        <is>
          <t>일본 복지용구 정보시스템 등록 완료</t>
        </is>
      </c>
      <c r="G16" s="79" t="inlineStr">
        <is>
          <t>p.13·25</t>
        </is>
      </c>
      <c r="H16" s="81">
        <f>'4_매출_거래처'!AW29</f>
        <v>120000</v>
      </c>
      <c r="I16" s="80" t="inlineStr">
        <is>
          <t>2026 0.00억 / 2027 1.20억(월별 성장곡선 배분)</t>
        </is>
      </c>
      <c r="J16" s="80" t="inlineStr">
        <is>
          <t>TAIS 채널 도입(시설·재가) 개시</t>
        </is>
      </c>
    </row>
    <row r="17" ht="36" customHeight="1">
      <c r="A17" s="79" t="inlineStr">
        <is>
          <t>해외</t>
        </is>
      </c>
      <c r="B17" s="79" t="inlineStr">
        <is>
          <t>인도</t>
        </is>
      </c>
      <c r="C17" s="80" t="inlineStr">
        <is>
          <t>케랄라 주정부(인도)</t>
        </is>
      </c>
      <c r="D17" s="79" t="inlineStr">
        <is>
          <t>정부</t>
        </is>
      </c>
      <c r="E17" s="79" t="inlineStr">
        <is>
          <t>기존</t>
        </is>
      </c>
      <c r="F17" s="80" t="inlineStr">
        <is>
          <t>매출표 인도 행. 2027 연 6,000만원(8월 개시)</t>
        </is>
      </c>
      <c r="G17" s="79" t="inlineStr">
        <is>
          <t>매출표(2026-10-09)</t>
        </is>
      </c>
      <c r="H17" s="81">
        <f>'4_매출_거래처'!AW30</f>
        <v>60000</v>
      </c>
      <c r="I17" s="80" t="inlineStr">
        <is>
          <t>2026 0.00억 / 2027 0.60억(월별 성장곡선 배분)</t>
        </is>
      </c>
      <c r="J17" s="80" t="inlineStr">
        <is>
          <t>발주 이행</t>
        </is>
      </c>
    </row>
    <row r="18" ht="36" customHeight="1">
      <c r="A18" s="79" t="inlineStr">
        <is>
          <t>해외</t>
        </is>
      </c>
      <c r="B18" s="79" t="inlineStr">
        <is>
          <t>인도</t>
        </is>
      </c>
      <c r="C18" s="80" t="inlineStr">
        <is>
          <t>인도 뉴델리 디스트리뷰터</t>
        </is>
      </c>
      <c r="D18" s="79" t="inlineStr">
        <is>
          <t>총판</t>
        </is>
      </c>
      <c r="E18" s="79" t="inlineStr">
        <is>
          <t>진행 중</t>
        </is>
      </c>
      <c r="F18" s="80" t="inlineStr">
        <is>
          <t>2026-12 초도 2,000만원, 2027 연 6,000만원, 2028~30 연간 입력(2.0억·6.0억·10억)</t>
        </is>
      </c>
      <c r="G18" s="79" t="inlineStr">
        <is>
          <t>매출표(2026-10-09)</t>
        </is>
      </c>
      <c r="H18" s="81">
        <f>'4_매출_거래처'!AW31</f>
        <v>60000</v>
      </c>
      <c r="I18" s="80" t="inlineStr">
        <is>
          <t>2026 0.20억 / 2027 0.60억(월별 성장곡선 배분) · 2028~30 연간 입력</t>
        </is>
      </c>
      <c r="J18" s="80" t="inlineStr">
        <is>
          <t>디스트리뷰터 계약 체결·초도 발주</t>
        </is>
      </c>
    </row>
    <row r="19" ht="36" customHeight="1">
      <c r="A19" s="79" t="inlineStr">
        <is>
          <t>해외</t>
        </is>
      </c>
      <c r="B19" s="79" t="inlineStr">
        <is>
          <t>인도</t>
        </is>
      </c>
      <c r="C19" s="80" t="inlineStr">
        <is>
          <t>인도 뭄바이 디스트리뷰터</t>
        </is>
      </c>
      <c r="D19" s="79" t="inlineStr">
        <is>
          <t>총판</t>
        </is>
      </c>
      <c r="E19" s="79" t="inlineStr">
        <is>
          <t>진행 중</t>
        </is>
      </c>
      <c r="F19" s="80" t="inlineStr">
        <is>
          <t>2027 연 8,000만원, 2028~30 연간 입력(2.0억·6.0억·10억)</t>
        </is>
      </c>
      <c r="G19" s="79" t="inlineStr">
        <is>
          <t>매출표(2026-10-09)</t>
        </is>
      </c>
      <c r="H19" s="81">
        <f>'4_매출_거래처'!AW32</f>
        <v>80000</v>
      </c>
      <c r="I19" s="80" t="inlineStr">
        <is>
          <t>2026 0.00억 / 2027 0.80억(월별 성장곡선 배분) · 2028~30 연간 입력</t>
        </is>
      </c>
      <c r="J19" s="80" t="inlineStr">
        <is>
          <t>디스트리뷰터 계약 체결·초도 발주</t>
        </is>
      </c>
    </row>
    <row r="20" ht="36" customHeight="1">
      <c r="A20" s="79" t="inlineStr">
        <is>
          <t>해외</t>
        </is>
      </c>
      <c r="B20" s="79" t="inlineStr">
        <is>
          <t>싱가포르</t>
        </is>
      </c>
      <c r="C20" s="80" t="inlineStr">
        <is>
          <t>Intega Healthcare(싱가포르·말레이시아·태국 총판)</t>
        </is>
      </c>
      <c r="D20" s="79" t="inlineStr">
        <is>
          <t>총판</t>
        </is>
      </c>
      <c r="E20" s="79" t="inlineStr">
        <is>
          <t>계약</t>
        </is>
      </c>
      <c r="F20" s="80" t="inlineStr">
        <is>
          <t>싱가포르 총판. 회사연혁: 2026-01 첫 수출(USD 17,440). 매출표 2026 실적은 1·3월 12,879·13,042천원, 11월 23,625천원(SGD 22,500) 예상</t>
        </is>
      </c>
      <c r="G20" s="79" t="inlineStr">
        <is>
          <t>p.23·25</t>
        </is>
      </c>
      <c r="H20" s="81">
        <f>'4_매출_거래처'!AW36</f>
        <v>300000</v>
      </c>
      <c r="I20" s="80" t="inlineStr">
        <is>
          <t>2026 0.50억 / 2027 3.00억(월별 성장곡선 배분)</t>
        </is>
      </c>
      <c r="J20" s="80" t="inlineStr">
        <is>
          <t>정기 발주 이행</t>
        </is>
      </c>
    </row>
    <row r="21" ht="36" customHeight="1">
      <c r="A21" s="79" t="inlineStr">
        <is>
          <t>해외</t>
        </is>
      </c>
      <c r="B21" s="79" t="inlineStr">
        <is>
          <t>싱가포르</t>
        </is>
      </c>
      <c r="C21" s="80" t="inlineStr">
        <is>
          <t>NHG(KTPH·TTSH·Woodlands Health) 스마트 병동</t>
        </is>
      </c>
      <c r="D21" s="79" t="inlineStr">
        <is>
          <t>공공병원</t>
        </is>
      </c>
      <c r="E21" s="79" t="inlineStr">
        <is>
          <t>단독입찰 제안(LOA 대기)</t>
        </is>
      </c>
      <c r="F21" s="80" t="inlineStr">
        <is>
          <t>단독입찰 제안(LOA 대기). RFP KTPH-RFP-26-165-MJ(ALPS 대행) 2026-09 제안서 제출, 센서 135·게이트웨이 40~53대, 병동별 최종검수 후 청구, 대금 60일. SGD 180,000은 RFP 초안 기준 금액</t>
        </is>
      </c>
      <c r="G21" s="79" t="inlineStr">
        <is>
          <t>p.14~17</t>
        </is>
      </c>
      <c r="H21" s="81">
        <f>'4_매출_거래처'!AW38</f>
        <v>400000</v>
      </c>
      <c r="I21" s="80" t="inlineStr">
        <is>
          <t>2026 1.89억 / 2027 4.00억(매출표 월 패턴) · 단독입찰 제안(LOA 대기)</t>
        </is>
      </c>
      <c r="J21" s="80" t="inlineStr">
        <is>
          <t>LOA 수령(입찰 결과) 후 병동별 납품·검수</t>
        </is>
      </c>
    </row>
    <row r="22" ht="36" customHeight="1">
      <c r="A22" s="79" t="inlineStr">
        <is>
          <t>해외</t>
        </is>
      </c>
      <c r="B22" s="79" t="inlineStr">
        <is>
          <t>싱가포르</t>
        </is>
      </c>
      <c r="C22" s="80" t="inlineStr">
        <is>
          <t>IMH(국립정신건강원)</t>
        </is>
      </c>
      <c r="D22" s="79" t="inlineStr">
        <is>
          <t>공공(R&amp;D)</t>
        </is>
      </c>
      <c r="E22" s="79" t="inlineStr">
        <is>
          <t>계약</t>
        </is>
      </c>
      <c r="F22" s="80" t="inlineStr">
        <is>
          <t>스마트 욕창 케어 솔루션 R&amp;D 프로젝트(SGD 45,000을 2026-10·11월 50%씩, 각 23,625천원)</t>
        </is>
      </c>
      <c r="G22" s="79" t="inlineStr">
        <is>
          <t>p.20·25</t>
        </is>
      </c>
      <c r="H22" s="81">
        <f>'4_매출_거래처'!AW39</f>
        <v>180000</v>
      </c>
      <c r="I22" s="80" t="inlineStr">
        <is>
          <t>2026 0.47억 / 2027 1.80억(월별 성장곡선 배분) · 2026-10·11월 각 23,625천원</t>
        </is>
      </c>
      <c r="J22" s="80" t="inlineStr">
        <is>
          <t>R&amp;D 프로젝트 수행·상용 전환 협의</t>
        </is>
      </c>
    </row>
    <row r="23" ht="36" customHeight="1">
      <c r="A23" s="79" t="inlineStr">
        <is>
          <t>해외</t>
        </is>
      </c>
      <c r="B23" s="79" t="inlineStr">
        <is>
          <t>싱가포르</t>
        </is>
      </c>
      <c r="C23" s="80" t="inlineStr">
        <is>
          <t>Vanguard Healthcare</t>
        </is>
      </c>
      <c r="D23" s="79" t="inlineStr">
        <is>
          <t>기관</t>
        </is>
      </c>
      <c r="E23" s="79" t="inlineStr">
        <is>
          <t>계약</t>
        </is>
      </c>
      <c r="F23" s="80" t="inlineStr">
        <is>
          <t>요양원 5곳·병상 1,200+, 입소자 300명 구독 계약 확정(연 USD 285,840)</t>
        </is>
      </c>
      <c r="G23" s="79" t="inlineStr">
        <is>
          <t>p.18·25</t>
        </is>
      </c>
      <c r="H23" s="82" t="inlineStr">
        <is>
          <t>-</t>
        </is>
      </c>
      <c r="I23" s="80" t="inlineStr">
        <is>
          <t>거래처 매출표에 없음 → 미반영</t>
        </is>
      </c>
      <c r="J23" s="80" t="inlineStr">
        <is>
          <t>계약 개시 후 매출 반영</t>
        </is>
      </c>
    </row>
    <row r="24" ht="36" customHeight="1">
      <c r="A24" s="79" t="inlineStr">
        <is>
          <t>해외</t>
        </is>
      </c>
      <c r="B24" s="79" t="inlineStr">
        <is>
          <t>싱가포르</t>
        </is>
      </c>
      <c r="C24" s="80" t="inlineStr">
        <is>
          <t>SingHealth Polyclinics</t>
        </is>
      </c>
      <c r="D24" s="79" t="inlineStr">
        <is>
          <t>PoC</t>
        </is>
      </c>
      <c r="E24" s="79" t="inlineStr">
        <is>
          <t>PoC</t>
        </is>
      </c>
      <c r="F24" s="80" t="inlineStr">
        <is>
          <t>원격의료 PoC(참여자 30명, 논문 발표 예정). 매출 금액 미정</t>
        </is>
      </c>
      <c r="G24" s="79" t="inlineStr">
        <is>
          <t>p.19</t>
        </is>
      </c>
      <c r="H24" s="82" t="inlineStr">
        <is>
          <t>-</t>
        </is>
      </c>
      <c r="I24" s="80" t="inlineStr">
        <is>
          <t>미반영(신규 파이프라인 근거)</t>
        </is>
      </c>
      <c r="J24" s="80" t="inlineStr">
        <is>
          <t>PoC 종료·상용 전환</t>
        </is>
      </c>
    </row>
    <row r="25" ht="36" customHeight="1">
      <c r="A25" s="79" t="inlineStr">
        <is>
          <t>해외</t>
        </is>
      </c>
      <c r="B25" s="79" t="inlineStr">
        <is>
          <t>싱가포르</t>
        </is>
      </c>
      <c r="C25" s="80" t="inlineStr">
        <is>
          <t>NTUC Health</t>
        </is>
      </c>
      <c r="D25" s="79" t="inlineStr">
        <is>
          <t>PoC</t>
        </is>
      </c>
      <c r="E25" s="79" t="inlineStr">
        <is>
          <t>PoC</t>
        </is>
      </c>
      <c r="F25" s="80" t="inlineStr">
        <is>
          <t>요양원 6·주간보호 26·재가 5,000명 규모. 방문 케어 센터와 PoC 진행 중</t>
        </is>
      </c>
      <c r="G25" s="79" t="inlineStr">
        <is>
          <t>p.29</t>
        </is>
      </c>
      <c r="H25" s="82" t="inlineStr">
        <is>
          <t>-</t>
        </is>
      </c>
      <c r="I25" s="80" t="inlineStr">
        <is>
          <t>미반영(신규 파이프라인 근거)</t>
        </is>
      </c>
      <c r="J25" s="80" t="inlineStr">
        <is>
          <t>PoC 진행·구매 절차</t>
        </is>
      </c>
    </row>
    <row r="26" ht="36" customHeight="1">
      <c r="A26" s="79" t="inlineStr">
        <is>
          <t>해외</t>
        </is>
      </c>
      <c r="B26" s="79" t="inlineStr">
        <is>
          <t>말레이시아</t>
        </is>
      </c>
      <c r="C26" s="80" t="inlineStr">
        <is>
          <t>Sunway Sanctuary</t>
        </is>
      </c>
      <c r="D26" s="79" t="inlineStr">
        <is>
          <t>PoC/R&amp;D</t>
        </is>
      </c>
      <c r="E26" s="79" t="inlineStr">
        <is>
          <t>PoC / R&amp;D</t>
        </is>
      </c>
      <c r="F26" s="80" t="inlineStr">
        <is>
          <t>병원 연계형 시니어 레지던스. PoC 및 R&amp;D 협업 → 상용 전환 가정</t>
        </is>
      </c>
      <c r="G26" s="79" t="inlineStr">
        <is>
          <t>p.31·25</t>
        </is>
      </c>
      <c r="H26" s="81">
        <f>'4_매출_거래처'!AW37</f>
        <v>50000</v>
      </c>
      <c r="I26" s="80" t="inlineStr">
        <is>
          <t>2026 0.00억 / 2027 0.50억(월별 성장곡선 배분) · PoC 단계(매출 불확실)</t>
        </is>
      </c>
      <c r="J26" s="80" t="inlineStr">
        <is>
          <t>PoC 결과·상용 계약 협의</t>
        </is>
      </c>
    </row>
    <row r="27" ht="36" customHeight="1">
      <c r="A27" s="79" t="inlineStr">
        <is>
          <t>해외</t>
        </is>
      </c>
      <c r="B27" s="79" t="inlineStr">
        <is>
          <t>말레이시아</t>
        </is>
      </c>
      <c r="C27" s="80" t="inlineStr">
        <is>
          <t>IHH Healthcare</t>
        </is>
      </c>
      <c r="D27" s="79" t="inlineStr">
        <is>
          <t>PoC</t>
        </is>
      </c>
      <c r="E27" s="79" t="inlineStr">
        <is>
          <t>PoC</t>
        </is>
      </c>
      <c r="F27" s="80" t="inlineStr">
        <is>
          <t>최대 민간 케어 그룹. PoC 및 구매 절차 준비 완료(SG·MY 병원 22곳)</t>
        </is>
      </c>
      <c r="G27" s="79" t="inlineStr">
        <is>
          <t>p.30</t>
        </is>
      </c>
      <c r="H27" s="82" t="inlineStr">
        <is>
          <t>-</t>
        </is>
      </c>
      <c r="I27" s="80" t="inlineStr">
        <is>
          <t>미반영(신규 파이프라인 근거)</t>
        </is>
      </c>
      <c r="J27" s="80" t="inlineStr">
        <is>
          <t>구매 절차 완료·발주</t>
        </is>
      </c>
    </row>
    <row r="28" ht="36" customHeight="1">
      <c r="A28" s="79" t="inlineStr">
        <is>
          <t>해외</t>
        </is>
      </c>
      <c r="B28" s="79" t="inlineStr">
        <is>
          <t>말레이시아</t>
        </is>
      </c>
      <c r="C28" s="80" t="inlineStr">
        <is>
          <t>Econ Healthcare</t>
        </is>
      </c>
      <c r="D28" s="79" t="inlineStr">
        <is>
          <t>PoC</t>
        </is>
      </c>
      <c r="E28" s="79" t="inlineStr">
        <is>
          <t>PoC</t>
        </is>
      </c>
      <c r="F28" s="80" t="inlineStr">
        <is>
          <t>요양원 10곳(SG 8·MY 2), PoC 및 사업 논의 중</t>
        </is>
      </c>
      <c r="G28" s="79" t="inlineStr">
        <is>
          <t>p.32·25</t>
        </is>
      </c>
      <c r="H28" s="82" t="inlineStr">
        <is>
          <t>-</t>
        </is>
      </c>
      <c r="I28" s="80" t="inlineStr">
        <is>
          <t>미반영(금액 미정)</t>
        </is>
      </c>
      <c r="J28" s="80" t="inlineStr">
        <is>
          <t>사업 논의 진행</t>
        </is>
      </c>
    </row>
    <row r="29" ht="36" customHeight="1">
      <c r="A29" s="79" t="inlineStr">
        <is>
          <t>해외</t>
        </is>
      </c>
      <c r="B29" s="79" t="inlineStr">
        <is>
          <t>말레이시아</t>
        </is>
      </c>
      <c r="C29" s="80" t="inlineStr">
        <is>
          <t>ACG</t>
        </is>
      </c>
      <c r="D29" s="79" t="inlineStr">
        <is>
          <t>협의</t>
        </is>
      </c>
      <c r="E29" s="79" t="inlineStr">
        <is>
          <t>진행 중</t>
        </is>
      </c>
      <c r="F29" s="80" t="inlineStr">
        <is>
          <t>IR 표에 금액 미정으로 표기</t>
        </is>
      </c>
      <c r="G29" s="79" t="inlineStr">
        <is>
          <t>p.25</t>
        </is>
      </c>
      <c r="H29" s="82" t="inlineStr">
        <is>
          <t>-</t>
        </is>
      </c>
      <c r="I29" s="80" t="inlineStr">
        <is>
          <t>미반영(금액 미정)</t>
        </is>
      </c>
      <c r="J29" s="80" t="inlineStr">
        <is>
          <t>협의 진행</t>
        </is>
      </c>
    </row>
    <row r="30" ht="36" customHeight="1">
      <c r="A30" s="79" t="inlineStr">
        <is>
          <t>해외</t>
        </is>
      </c>
      <c r="B30" s="79" t="inlineStr">
        <is>
          <t>태국</t>
        </is>
      </c>
      <c r="C30" s="80" t="inlineStr">
        <is>
          <t>Punnita House(베이비)</t>
        </is>
      </c>
      <c r="D30" s="79" t="inlineStr">
        <is>
          <t>총판(베이비)</t>
        </is>
      </c>
      <c r="E30" s="79" t="inlineStr">
        <is>
          <t>계약</t>
        </is>
      </c>
      <c r="F30" s="80" t="inlineStr">
        <is>
          <t>베이비 스마트 기저귀 총판. 2026-03·06 실적. USD 30,000 발주: 2026-12 선금 50%(2,000만원) + 잔금 50%(2,000만원)는 2027-01에 반영</t>
        </is>
      </c>
      <c r="G30" s="79" t="inlineStr">
        <is>
          <t>p.23·25</t>
        </is>
      </c>
      <c r="H30" s="81">
        <f>'4_매출_거래처'!AW17</f>
        <v>120000</v>
      </c>
      <c r="I30" s="80" t="inlineStr">
        <is>
          <t>2026 0.66억 / 2027 1.20억(월별 성장곡선 배분) · 2027-01 잔금 2,000만원 포함</t>
        </is>
      </c>
      <c r="J30" s="80" t="inlineStr">
        <is>
          <t>잔금 수령(2027-01 예정)</t>
        </is>
      </c>
    </row>
    <row r="31" ht="36" customHeight="1">
      <c r="A31" s="79" t="inlineStr">
        <is>
          <t>해외</t>
        </is>
      </c>
      <c r="B31" s="79" t="inlineStr">
        <is>
          <t>대만</t>
        </is>
      </c>
      <c r="C31" s="80" t="inlineStr">
        <is>
          <t>Little Loft(베이비)</t>
        </is>
      </c>
      <c r="D31" s="79" t="inlineStr">
        <is>
          <t>총판(베이비)</t>
        </is>
      </c>
      <c r="E31" s="79" t="inlineStr">
        <is>
          <t>계약</t>
        </is>
      </c>
      <c r="F31" s="80" t="inlineStr">
        <is>
          <t>베이비 스마트 기저귀 총판. 2026-05·06 실적 + 11월 2,000만원 예상</t>
        </is>
      </c>
      <c r="G31" s="79" t="inlineStr">
        <is>
          <t>p.23·25</t>
        </is>
      </c>
      <c r="H31" s="81">
        <f>'4_매출_거래처'!AW16</f>
        <v>100000</v>
      </c>
      <c r="I31" s="80" t="inlineStr">
        <is>
          <t>2026 0.51억 / 2027 1.00억(월별 성장곡선 배분)</t>
        </is>
      </c>
      <c r="J31" s="80" t="inlineStr">
        <is>
          <t>11월 발주·2027 격월 발주</t>
        </is>
      </c>
    </row>
    <row r="32" ht="36" customHeight="1">
      <c r="A32" s="79" t="inlineStr">
        <is>
          <t>해외</t>
        </is>
      </c>
      <c r="B32" s="79" t="inlineStr">
        <is>
          <t>동남아</t>
        </is>
      </c>
      <c r="C32" s="80" t="inlineStr">
        <is>
          <t>신규 거래선-1 Swara Baby / 신규 거래선-2(베이비)</t>
        </is>
      </c>
      <c r="D32" s="79" t="inlineStr">
        <is>
          <t>총판(베이비)</t>
        </is>
      </c>
      <c r="E32" s="79" t="inlineStr">
        <is>
          <t>진행 중</t>
        </is>
      </c>
      <c r="F32" s="80" t="inlineStr">
        <is>
          <t>2027 신규 베이비 총판(매출표 기재)</t>
        </is>
      </c>
      <c r="G32" s="79" t="inlineStr">
        <is>
          <t>매출표(2026-10-09)</t>
        </is>
      </c>
      <c r="H32" s="81">
        <f>'4_매출_거래처'!AW18+'4_매출_거래처'!AW19</f>
        <v>180000</v>
      </c>
      <c r="I32" s="80" t="inlineStr">
        <is>
          <t>2026 0.00억 / 2027 1.80억(월별 성장곡선 배분)</t>
        </is>
      </c>
      <c r="J32" s="80" t="inlineStr">
        <is>
          <t>계약 체결·초도 발주</t>
        </is>
      </c>
    </row>
    <row r="33" ht="36" customHeight="1">
      <c r="A33" s="79" t="inlineStr">
        <is>
          <t>해외</t>
        </is>
      </c>
      <c r="B33" s="79" t="inlineStr">
        <is>
          <t>네덜란드</t>
        </is>
      </c>
      <c r="C33" s="80" t="inlineStr">
        <is>
          <t>GISI Distribution(IR p.25 표기 GIV)</t>
        </is>
      </c>
      <c r="D33" s="79" t="inlineStr">
        <is>
          <t>총판</t>
        </is>
      </c>
      <c r="E33" s="79" t="inlineStr">
        <is>
          <t>계약</t>
        </is>
      </c>
      <c r="F33" s="80" t="inlineStr">
        <is>
          <t>유럽 총판(네덜란드·룩셈부르크·독일·폴란드). 2026-09 €24,000(매출표 환산 31,303천원) 반영</t>
        </is>
      </c>
      <c r="G33" s="79" t="inlineStr">
        <is>
          <t>p.23·25</t>
        </is>
      </c>
      <c r="H33" s="81">
        <f>'4_매출_거래처'!AW33</f>
        <v>150000</v>
      </c>
      <c r="I33" s="80" t="inlineStr">
        <is>
          <t>2026 0.70억 / 2027 1.50억(월별 성장곡선 배분)</t>
        </is>
      </c>
      <c r="J33" s="80" t="inlineStr">
        <is>
          <t>정기 발주 이행</t>
        </is>
      </c>
    </row>
    <row r="34" ht="36" customHeight="1">
      <c r="A34" s="79" t="inlineStr">
        <is>
          <t>해외</t>
        </is>
      </c>
      <c r="B34" s="79" t="inlineStr">
        <is>
          <t>폴란드</t>
        </is>
      </c>
      <c r="C34" s="80" t="inlineStr">
        <is>
          <t>NEUCA(폴란드 총판)</t>
        </is>
      </c>
      <c r="D34" s="79" t="inlineStr">
        <is>
          <t>총판</t>
        </is>
      </c>
      <c r="E34" s="79" t="inlineStr">
        <is>
          <t>접촉</t>
        </is>
      </c>
      <c r="F34" s="80" t="inlineStr">
        <is>
          <t>폴란드 총판. 초기 접촉 단계</t>
        </is>
      </c>
      <c r="G34" s="79" t="inlineStr">
        <is>
          <t>p.25</t>
        </is>
      </c>
      <c r="H34" s="81">
        <f>'4_매출_거래처'!AW34</f>
        <v>150000</v>
      </c>
      <c r="I34" s="80" t="inlineStr">
        <is>
          <t>2026 0.00억 / 2027 1.50억(월별 성장곡선 배분)</t>
        </is>
      </c>
      <c r="J34" s="80" t="inlineStr">
        <is>
          <t>계약 체결·초도 발주</t>
        </is>
      </c>
    </row>
    <row r="35" ht="36" customHeight="1">
      <c r="A35" s="79" t="inlineStr">
        <is>
          <t>해외</t>
        </is>
      </c>
      <c r="B35" s="79" t="inlineStr">
        <is>
          <t>독일</t>
        </is>
      </c>
      <c r="C35" s="80" t="inlineStr">
        <is>
          <t>Armedion(독일 총판)</t>
        </is>
      </c>
      <c r="D35" s="79" t="inlineStr">
        <is>
          <t>총판</t>
        </is>
      </c>
      <c r="E35" s="79" t="inlineStr">
        <is>
          <t>진행 중</t>
        </is>
      </c>
      <c r="F35" s="80" t="inlineStr">
        <is>
          <t>2026-12 5,000만원 발주 예상(매출표), 2027 입력</t>
        </is>
      </c>
      <c r="G35" s="79" t="inlineStr">
        <is>
          <t>매출표(2026-10-09)</t>
        </is>
      </c>
      <c r="H35" s="81">
        <f>'4_매출_거래처'!AW35</f>
        <v>150000</v>
      </c>
      <c r="I35" s="80" t="inlineStr">
        <is>
          <t>2026 0.50억 / 2027 1.50억(월별 성장곡선 배분)</t>
        </is>
      </c>
      <c r="J35" s="80" t="inlineStr">
        <is>
          <t>발주 이행</t>
        </is>
      </c>
    </row>
    <row r="36" ht="36" customHeight="1">
      <c r="A36" s="79" t="inlineStr">
        <is>
          <t>해외</t>
        </is>
      </c>
      <c r="B36" s="79" t="inlineStr">
        <is>
          <t>호주·뉴질랜드</t>
        </is>
      </c>
      <c r="C36" s="80" t="inlineStr">
        <is>
          <t>Healthbeats(호주·뉴질랜드 총판)</t>
        </is>
      </c>
      <c r="D36" s="79" t="inlineStr">
        <is>
          <t>총판</t>
        </is>
      </c>
      <c r="E36" s="79" t="inlineStr">
        <is>
          <t>계약</t>
        </is>
      </c>
      <c r="F36" s="80" t="inlineStr">
        <is>
          <t>호주·뉴질랜드 해외 총판(IR 지도)</t>
        </is>
      </c>
      <c r="G36" s="79" t="inlineStr">
        <is>
          <t>p.23·25</t>
        </is>
      </c>
      <c r="H36" s="81">
        <f>'4_매출_거래처'!AW40</f>
        <v>300000</v>
      </c>
      <c r="I36" s="80" t="inlineStr">
        <is>
          <t>2026 0.02억 / 2027 3.00억(월별 성장곡선 배분)</t>
        </is>
      </c>
      <c r="J36" s="80" t="inlineStr"/>
    </row>
    <row r="37" ht="36" customHeight="1">
      <c r="A37" s="79" t="inlineStr">
        <is>
          <t>해외</t>
        </is>
      </c>
      <c r="B37" s="79" t="inlineStr">
        <is>
          <t>포르투갈</t>
        </is>
      </c>
      <c r="C37" s="80" t="inlineStr">
        <is>
          <t>HITecosystem</t>
        </is>
      </c>
      <c r="D37" s="79" t="inlineStr">
        <is>
          <t>협의</t>
        </is>
      </c>
      <c r="E37" s="79" t="inlineStr">
        <is>
          <t>진행 중</t>
        </is>
      </c>
      <c r="F37" s="80" t="inlineStr">
        <is>
          <t>IR 표에 금액 미정으로 표기</t>
        </is>
      </c>
      <c r="G37" s="79" t="inlineStr">
        <is>
          <t>p.25</t>
        </is>
      </c>
      <c r="H37" s="82" t="inlineStr">
        <is>
          <t>-</t>
        </is>
      </c>
      <c r="I37" s="80" t="inlineStr">
        <is>
          <t>미반영(금액 미정)</t>
        </is>
      </c>
      <c r="J37" s="80" t="inlineStr"/>
    </row>
    <row r="38" ht="36" customHeight="1">
      <c r="A38" s="79" t="inlineStr">
        <is>
          <t>해외</t>
        </is>
      </c>
      <c r="B38" s="79" t="inlineStr">
        <is>
          <t>미국</t>
        </is>
      </c>
      <c r="C38" s="80" t="inlineStr">
        <is>
          <t>Shelter Device</t>
        </is>
      </c>
      <c r="D38" s="79" t="inlineStr">
        <is>
          <t>협의</t>
        </is>
      </c>
      <c r="E38" s="79" t="inlineStr">
        <is>
          <t>진행 중</t>
        </is>
      </c>
      <c r="F38" s="80" t="inlineStr">
        <is>
          <t>금액 미정. 2029 미국 의료 유통 채널 진입의 출발점(PoC·초기 공급은 4_매출_거래처 미국 파이프라인 행의 2027~28 입력으로 가정 반영)</t>
        </is>
      </c>
      <c r="G38" s="79" t="inlineStr">
        <is>
          <t>p.24·25</t>
        </is>
      </c>
      <c r="H38" s="82" t="inlineStr">
        <is>
          <t>-</t>
        </is>
      </c>
      <c r="I38" s="80" t="inlineStr">
        <is>
          <t>미반영(신규 파이프라인 근거)</t>
        </is>
      </c>
      <c r="J38" s="80" t="inlineStr">
        <is>
          <t>FDA 등 인허가 진행</t>
        </is>
      </c>
    </row>
    <row r="39" ht="36" customHeight="1">
      <c r="A39" s="79" t="inlineStr">
        <is>
          <t>해외</t>
        </is>
      </c>
      <c r="B39" s="79" t="inlineStr">
        <is>
          <t>중국</t>
        </is>
      </c>
      <c r="C39" s="80" t="inlineStr">
        <is>
          <t>Hansoms(Xiamen)</t>
        </is>
      </c>
      <c r="D39" s="79" t="inlineStr">
        <is>
          <t>공급·전략투자</t>
        </is>
      </c>
      <c r="E39" s="79" t="inlineStr">
        <is>
          <t>계약</t>
        </is>
      </c>
      <c r="F39" s="80" t="inlineStr">
        <is>
          <t>전략적 현물출자 계약(2026-08 효력): 보통주 최대 3,102주(주당 USD 144.42), 제품 납품·검수 후 회차별 발행. 약 2,500만원 상당 제품 납품 완료. 매출 거래처가 아닌 기저귀 공급 파트너</t>
        </is>
      </c>
      <c r="G39" s="79" t="inlineStr">
        <is>
          <t>회사연혁</t>
        </is>
      </c>
      <c r="H39" s="82" t="inlineStr">
        <is>
          <t>-</t>
        </is>
      </c>
      <c r="I39" s="80" t="inlineStr">
        <is>
          <t>매출 아님. 현물출자 재고는 공정가치로 자산·자본 인식 후 판매 시 매출원가 → 손익 영향 없음(현금 지출 절감)</t>
        </is>
      </c>
      <c r="J39" s="80" t="inlineStr">
        <is>
          <t>잔여 물량 납품·검수 후 회차별 지분 발행</t>
        </is>
      </c>
    </row>
    <row r="40" ht="28" customHeight="1">
      <c r="C40" s="83" t="inlineStr">
        <is>
          <t>2027 모델 매출 합계(S1) — 신규 파이프라인 코호트·삼성 글로벌 채널 제외</t>
        </is>
      </c>
      <c r="H40" s="28">
        <f>SUM(H5:H39)</f>
        <v>9193000</v>
      </c>
    </row>
    <row r="41">
      <c r="C41" s="53" t="inlineStr">
        <is>
          <t>신규 파이프라인 코호트(2027) + 삼성 글로벌 채널(2027)</t>
        </is>
      </c>
      <c r="H41" s="84">
        <f>'4_매출_거래처'!AW41+'4_매출_거래처'!AW42+'4_매출_거래처'!AW43+'4_매출_거래처'!AW44+'4_매출_거래처'!AW45</f>
        <v>812000</v>
      </c>
    </row>
    <row r="42">
      <c r="C42" s="12" t="inlineStr">
        <is>
          <t>2027 거래처 매출 전체 합계(= 4_매출_거래처 A블록)</t>
        </is>
      </c>
      <c r="H42" s="85">
        <f>H40+H41</f>
        <v>10005000</v>
      </c>
    </row>
    <row r="43">
      <c r="C43" s="2" t="inlineStr">
        <is>
          <t>검증: 위 합계 − 4_매출_거래처 A합계(0이어야 함)</t>
        </is>
      </c>
      <c r="H43" s="60">
        <f>H42-'4_매출_거래처'!AW46</f>
        <v>0</v>
      </c>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2F5597"/>
    <outlinePr summaryBelow="1" summaryRight="1"/>
    <pageSetUpPr fitToPage="1"/>
  </sheetPr>
  <dimension ref="A1:AF61"/>
  <sheetViews>
    <sheetView zoomScale="85" workbookViewId="0">
      <pane xSplit="2" ySplit="6" topLeftCell="C7" activePane="bottomRight" state="frozen"/>
      <selection pane="topRight"/>
      <selection pane="bottomLeft"/>
      <selection pane="bottomRight" activeCell="A1" sqref="A1"/>
    </sheetView>
  </sheetViews>
  <sheetFormatPr baseColWidth="8" defaultRowHeight="15"/>
  <cols>
    <col width="42" customWidth="1" min="1" max="1"/>
    <col width="26" customWidth="1" min="2" max="2"/>
    <col outlineLevel="1" width="10.5" customWidth="1" min="3" max="14"/>
    <col width="10.5" customWidth="1" min="15" max="15"/>
    <col outlineLevel="1" width="10.5" customWidth="1" min="16" max="27"/>
    <col width="10.5" customWidth="1" min="28" max="28"/>
    <col width="10.5" customWidth="1" min="29" max="29"/>
    <col width="10.5" customWidth="1" min="30" max="30"/>
    <col width="10.5" customWidth="1" min="31" max="31"/>
    <col width="10.5" customWidth="1" min="32" max="32"/>
  </cols>
  <sheetData>
    <row r="1">
      <c r="A1" s="1" t="inlineStr">
        <is>
          <t>7_비용인력 — 인원 · 판매비와관리비 · 영업외 · 법인세</t>
        </is>
      </c>
    </row>
    <row r="2">
      <c r="A2" s="2" t="inlineStr">
        <is>
          <t>단위: 천원. 인원 계획(S1)은 파란색 입력, 선택 시나리오에서는 매출 달성률에 따라 탄력 조정됩니다.</t>
        </is>
      </c>
    </row>
    <row r="5">
      <c r="A5" s="21" t="inlineStr">
        <is>
          <t>계정</t>
        </is>
      </c>
      <c r="B5" s="21" t="inlineStr">
        <is>
          <t>비고</t>
        </is>
      </c>
      <c r="C5" s="11" t="inlineStr">
        <is>
          <t>2026-01</t>
        </is>
      </c>
      <c r="D5" s="11" t="inlineStr">
        <is>
          <t>2026-02</t>
        </is>
      </c>
      <c r="E5" s="11" t="inlineStr">
        <is>
          <t>2026-03</t>
        </is>
      </c>
      <c r="F5" s="11" t="inlineStr">
        <is>
          <t>2026-04</t>
        </is>
      </c>
      <c r="G5" s="11" t="inlineStr">
        <is>
          <t>2026-05</t>
        </is>
      </c>
      <c r="H5" s="11" t="inlineStr">
        <is>
          <t>2026-06</t>
        </is>
      </c>
      <c r="I5" s="11" t="inlineStr">
        <is>
          <t>2026-07</t>
        </is>
      </c>
      <c r="J5" s="11" t="inlineStr">
        <is>
          <t>2026-08</t>
        </is>
      </c>
      <c r="K5" s="11" t="inlineStr">
        <is>
          <t>2026-09</t>
        </is>
      </c>
      <c r="L5" s="11" t="inlineStr">
        <is>
          <t>2026-10</t>
        </is>
      </c>
      <c r="M5" s="11" t="inlineStr">
        <is>
          <t>2026-11</t>
        </is>
      </c>
      <c r="N5" s="11" t="inlineStr">
        <is>
          <t>2026-12</t>
        </is>
      </c>
      <c r="O5" s="11" t="inlineStr">
        <is>
          <t>FY2026</t>
        </is>
      </c>
      <c r="P5" s="11" t="inlineStr">
        <is>
          <t>2027-01</t>
        </is>
      </c>
      <c r="Q5" s="11" t="inlineStr">
        <is>
          <t>2027-02</t>
        </is>
      </c>
      <c r="R5" s="11" t="inlineStr">
        <is>
          <t>2027-03</t>
        </is>
      </c>
      <c r="S5" s="11" t="inlineStr">
        <is>
          <t>2027-04</t>
        </is>
      </c>
      <c r="T5" s="11" t="inlineStr">
        <is>
          <t>2027-05</t>
        </is>
      </c>
      <c r="U5" s="11" t="inlineStr">
        <is>
          <t>2027-06</t>
        </is>
      </c>
      <c r="V5" s="11" t="inlineStr">
        <is>
          <t>2027-07</t>
        </is>
      </c>
      <c r="W5" s="11" t="inlineStr">
        <is>
          <t>2027-08</t>
        </is>
      </c>
      <c r="X5" s="11" t="inlineStr">
        <is>
          <t>2027-09</t>
        </is>
      </c>
      <c r="Y5" s="11" t="inlineStr">
        <is>
          <t>2027-10</t>
        </is>
      </c>
      <c r="Z5" s="11" t="inlineStr">
        <is>
          <t>2027-11</t>
        </is>
      </c>
      <c r="AA5" s="11" t="inlineStr">
        <is>
          <t>2027-12</t>
        </is>
      </c>
      <c r="AB5" s="11" t="inlineStr">
        <is>
          <t>FY2027</t>
        </is>
      </c>
      <c r="AC5" s="11" t="inlineStr">
        <is>
          <t>2028E</t>
        </is>
      </c>
      <c r="AD5" s="11" t="inlineStr">
        <is>
          <t>2029E</t>
        </is>
      </c>
      <c r="AE5" s="11" t="inlineStr">
        <is>
          <t>2030E</t>
        </is>
      </c>
      <c r="AF5" s="11" t="inlineStr">
        <is>
          <t>5개년 합계</t>
        </is>
      </c>
    </row>
    <row r="6">
      <c r="A6" s="22" t="inlineStr"/>
      <c r="B6" s="22" t="inlineStr"/>
      <c r="C6" s="22" t="inlineStr">
        <is>
          <t>잠정</t>
        </is>
      </c>
      <c r="D6" s="22" t="inlineStr">
        <is>
          <t>잠정</t>
        </is>
      </c>
      <c r="E6" s="22" t="inlineStr">
        <is>
          <t>잠정</t>
        </is>
      </c>
      <c r="F6" s="22" t="inlineStr">
        <is>
          <t>잠정</t>
        </is>
      </c>
      <c r="G6" s="22" t="inlineStr">
        <is>
          <t>잠정</t>
        </is>
      </c>
      <c r="H6" s="22" t="inlineStr">
        <is>
          <t>잠정</t>
        </is>
      </c>
      <c r="I6" s="22" t="inlineStr">
        <is>
          <t>잠정</t>
        </is>
      </c>
      <c r="J6" s="22" t="inlineStr">
        <is>
          <t>잠정</t>
        </is>
      </c>
      <c r="K6" s="22" t="inlineStr">
        <is>
          <t>잠정</t>
        </is>
      </c>
      <c r="L6" s="22" t="inlineStr">
        <is>
          <t>계획</t>
        </is>
      </c>
      <c r="M6" s="22" t="inlineStr">
        <is>
          <t>계획</t>
        </is>
      </c>
      <c r="N6" s="22" t="inlineStr">
        <is>
          <t>계획</t>
        </is>
      </c>
      <c r="O6" s="22" t="inlineStr">
        <is>
          <t>FY합계</t>
        </is>
      </c>
      <c r="P6" s="22" t="inlineStr">
        <is>
          <t>계획</t>
        </is>
      </c>
      <c r="Q6" s="22" t="inlineStr">
        <is>
          <t>계획</t>
        </is>
      </c>
      <c r="R6" s="22" t="inlineStr">
        <is>
          <t>계획</t>
        </is>
      </c>
      <c r="S6" s="22" t="inlineStr">
        <is>
          <t>계획</t>
        </is>
      </c>
      <c r="T6" s="22" t="inlineStr">
        <is>
          <t>계획</t>
        </is>
      </c>
      <c r="U6" s="22" t="inlineStr">
        <is>
          <t>계획</t>
        </is>
      </c>
      <c r="V6" s="22" t="inlineStr">
        <is>
          <t>계획</t>
        </is>
      </c>
      <c r="W6" s="22" t="inlineStr">
        <is>
          <t>계획</t>
        </is>
      </c>
      <c r="X6" s="22" t="inlineStr">
        <is>
          <t>계획</t>
        </is>
      </c>
      <c r="Y6" s="22" t="inlineStr">
        <is>
          <t>계획</t>
        </is>
      </c>
      <c r="Z6" s="22" t="inlineStr">
        <is>
          <t>계획</t>
        </is>
      </c>
      <c r="AA6" s="22" t="inlineStr">
        <is>
          <t>계획</t>
        </is>
      </c>
      <c r="AB6" s="22" t="inlineStr">
        <is>
          <t>FY합계</t>
        </is>
      </c>
      <c r="AC6" s="22" t="inlineStr">
        <is>
          <t>계획(연)</t>
        </is>
      </c>
      <c r="AD6" s="22" t="inlineStr">
        <is>
          <t>계획(연)</t>
        </is>
      </c>
      <c r="AE6" s="22" t="inlineStr">
        <is>
          <t>계획(연)</t>
        </is>
      </c>
      <c r="AF6" s="22" t="inlineStr">
        <is>
          <t>합계</t>
        </is>
      </c>
    </row>
    <row r="7">
      <c r="A7" s="3" t="inlineStr">
        <is>
          <t>A. 매출 연동 계수</t>
        </is>
      </c>
    </row>
    <row r="8">
      <c r="A8" s="15" t="inlineStr">
        <is>
          <t>매출(선택 시나리오)</t>
        </is>
      </c>
      <c r="B8" s="7" t="inlineStr">
        <is>
          <t>손익계산서 연동</t>
        </is>
      </c>
      <c r="C8" s="69">
        <f>'2_손익계산서'!C19</f>
        <v>47067</v>
      </c>
      <c r="D8" s="69">
        <f>'2_손익계산서'!D19</f>
        <v>36140</v>
      </c>
      <c r="E8" s="69">
        <f>'2_손익계산서'!E19</f>
        <v>56454</v>
      </c>
      <c r="F8" s="69">
        <f>'2_손익계산서'!F19</f>
        <v>10935</v>
      </c>
      <c r="G8" s="69">
        <f>'2_손익계산서'!G19</f>
        <v>22317</v>
      </c>
      <c r="H8" s="69">
        <f>'2_손익계산서'!H19</f>
        <v>51453</v>
      </c>
      <c r="I8" s="69">
        <f>'2_손익계산서'!I19</f>
        <v>13314</v>
      </c>
      <c r="J8" s="69">
        <f>'2_손익계산서'!J19</f>
        <v>7926</v>
      </c>
      <c r="K8" s="69">
        <f>'2_손익계산서'!K19</f>
        <v>40729</v>
      </c>
      <c r="L8" s="69">
        <f>'2_손익계산서'!L19</f>
        <v>178325</v>
      </c>
      <c r="M8" s="69">
        <f>'2_손익계산서'!M19</f>
        <v>243920</v>
      </c>
      <c r="N8" s="69">
        <f>'2_손익계산서'!N19</f>
        <v>492637</v>
      </c>
      <c r="O8" s="76">
        <f>'2_손익계산서'!O19</f>
        <v>1201217</v>
      </c>
      <c r="P8" s="69">
        <f>'2_손익계산서'!P19</f>
        <v>488011</v>
      </c>
      <c r="Q8" s="69">
        <f>'2_손익계산서'!Q19</f>
        <v>518130</v>
      </c>
      <c r="R8" s="69">
        <f>'2_손익계산서'!R19</f>
        <v>642594</v>
      </c>
      <c r="S8" s="69">
        <f>'2_손익계산서'!S19</f>
        <v>721010</v>
      </c>
      <c r="T8" s="69">
        <f>'2_손익계산서'!T19</f>
        <v>776441</v>
      </c>
      <c r="U8" s="69">
        <f>'2_손익계산서'!U19</f>
        <v>815573</v>
      </c>
      <c r="V8" s="69">
        <f>'2_손익계산서'!V19</f>
        <v>883990</v>
      </c>
      <c r="W8" s="69">
        <f>'2_손익계산서'!W19</f>
        <v>915762</v>
      </c>
      <c r="X8" s="69">
        <f>'2_손익계산서'!X19</f>
        <v>967402</v>
      </c>
      <c r="Y8" s="69">
        <f>'2_손익계산서'!Y19</f>
        <v>1037299</v>
      </c>
      <c r="Z8" s="69">
        <f>'2_손익계산서'!Z19</f>
        <v>1097733</v>
      </c>
      <c r="AA8" s="69">
        <f>'2_손익계산서'!AA19</f>
        <v>1141055</v>
      </c>
      <c r="AB8" s="76">
        <f>'2_손익계산서'!AB19</f>
        <v>10005000</v>
      </c>
      <c r="AC8" s="68">
        <f>'2_손익계산서'!AC19</f>
        <v>33000000</v>
      </c>
      <c r="AD8" s="68">
        <f>'2_손익계산서'!AD19</f>
        <v>70000000</v>
      </c>
      <c r="AE8" s="68">
        <f>'2_손익계산서'!AE19</f>
        <v>156000000</v>
      </c>
      <c r="AF8" s="69">
        <f>'2_손익계산서'!AF19</f>
        <v>270206217</v>
      </c>
    </row>
    <row r="9">
      <c r="A9" s="15" t="inlineStr">
        <is>
          <t>매출(S1 기준)</t>
        </is>
      </c>
      <c r="B9" s="7" t="inlineStr">
        <is>
          <t>4_매출_거래처 A블록</t>
        </is>
      </c>
      <c r="C9" s="69">
        <f>'4_매출_거래처'!X46</f>
        <v>47067</v>
      </c>
      <c r="D9" s="69">
        <f>'4_매출_거래처'!Y46</f>
        <v>36140</v>
      </c>
      <c r="E9" s="69">
        <f>'4_매출_거래처'!Z46</f>
        <v>56454</v>
      </c>
      <c r="F9" s="69">
        <f>'4_매출_거래처'!AA46</f>
        <v>10935</v>
      </c>
      <c r="G9" s="69">
        <f>'4_매출_거래처'!AB46</f>
        <v>22317</v>
      </c>
      <c r="H9" s="69">
        <f>'4_매출_거래처'!AC46</f>
        <v>51453</v>
      </c>
      <c r="I9" s="69">
        <f>'4_매출_거래처'!AD46</f>
        <v>13314</v>
      </c>
      <c r="J9" s="69">
        <f>'4_매출_거래처'!AE46</f>
        <v>7926</v>
      </c>
      <c r="K9" s="69">
        <f>'4_매출_거래처'!AF46</f>
        <v>40729</v>
      </c>
      <c r="L9" s="69">
        <f>'4_매출_거래처'!AG46</f>
        <v>178325</v>
      </c>
      <c r="M9" s="69">
        <f>'4_매출_거래처'!AH46</f>
        <v>243920</v>
      </c>
      <c r="N9" s="69">
        <f>'4_매출_거래처'!AI46</f>
        <v>492637</v>
      </c>
      <c r="O9" s="76">
        <f>'4_매출_거래처'!AV46</f>
        <v>1201217</v>
      </c>
      <c r="P9" s="69">
        <f>'4_매출_거래처'!AJ46</f>
        <v>488011</v>
      </c>
      <c r="Q9" s="69">
        <f>'4_매출_거래처'!AK46</f>
        <v>518130</v>
      </c>
      <c r="R9" s="69">
        <f>'4_매출_거래처'!AL46</f>
        <v>642594</v>
      </c>
      <c r="S9" s="69">
        <f>'4_매출_거래처'!AM46</f>
        <v>721010</v>
      </c>
      <c r="T9" s="69">
        <f>'4_매출_거래처'!AN46</f>
        <v>776441</v>
      </c>
      <c r="U9" s="69">
        <f>'4_매출_거래처'!AO46</f>
        <v>815573</v>
      </c>
      <c r="V9" s="69">
        <f>'4_매출_거래처'!AP46</f>
        <v>883990</v>
      </c>
      <c r="W9" s="69">
        <f>'4_매출_거래처'!AQ46</f>
        <v>915762</v>
      </c>
      <c r="X9" s="69">
        <f>'4_매출_거래처'!AR46</f>
        <v>967402</v>
      </c>
      <c r="Y9" s="69">
        <f>'4_매출_거래처'!AS46</f>
        <v>1037299</v>
      </c>
      <c r="Z9" s="69">
        <f>'4_매출_거래처'!AT46</f>
        <v>1097733</v>
      </c>
      <c r="AA9" s="69">
        <f>'4_매출_거래처'!AU46</f>
        <v>1141055</v>
      </c>
      <c r="AB9" s="76">
        <f>'4_매출_거래처'!AW46</f>
        <v>10005000</v>
      </c>
      <c r="AC9" s="68">
        <f>'4_매출_거래처'!AX46</f>
        <v>33000000</v>
      </c>
      <c r="AD9" s="68">
        <f>'4_매출_거래처'!AY46</f>
        <v>70000000</v>
      </c>
      <c r="AE9" s="68">
        <f>'4_매출_거래처'!AZ46</f>
        <v>156000000</v>
      </c>
      <c r="AF9" s="69">
        <f>'4_매출_거래처'!BA46</f>
        <v>270206217</v>
      </c>
    </row>
    <row r="10">
      <c r="A10" s="15" t="inlineStr">
        <is>
          <t>매출 달성률 = 선택/S1(월별)</t>
        </is>
      </c>
      <c r="B10" s="7" t="inlineStr">
        <is>
          <t>인원 탄력 계산에 사용(2026-01~09 실적월은 100%)</t>
        </is>
      </c>
      <c r="C10" s="58">
        <f>IFERROR(C8/C9,1)</f>
        <v>1</v>
      </c>
      <c r="D10" s="58">
        <f>IFERROR(D8/D9,1)</f>
        <v>1</v>
      </c>
      <c r="E10" s="58">
        <f>IFERROR(E8/E9,1)</f>
        <v>1</v>
      </c>
      <c r="F10" s="58">
        <f>IFERROR(F8/F9,1)</f>
        <v>1</v>
      </c>
      <c r="G10" s="58">
        <f>IFERROR(G8/G9,1)</f>
        <v>1</v>
      </c>
      <c r="H10" s="58">
        <f>IFERROR(H8/H9,1)</f>
        <v>1</v>
      </c>
      <c r="I10" s="58">
        <f>IFERROR(I8/I9,1)</f>
        <v>1</v>
      </c>
      <c r="J10" s="58">
        <f>IFERROR(J8/J9,1)</f>
        <v>1</v>
      </c>
      <c r="K10" s="58">
        <f>IFERROR(K8/K9,1)</f>
        <v>1</v>
      </c>
      <c r="L10" s="58">
        <f>IFERROR(L8/L9,1)</f>
        <v>1</v>
      </c>
      <c r="M10" s="58">
        <f>IFERROR(M8/M9,1)</f>
        <v>1</v>
      </c>
      <c r="N10" s="58">
        <f>IFERROR(N8/N9,1)</f>
        <v>1</v>
      </c>
      <c r="O10" s="50">
        <f>IFERROR(O8/O9,1)</f>
        <v>1</v>
      </c>
      <c r="P10" s="58">
        <f>IFERROR(P8/P9,1)</f>
        <v>1</v>
      </c>
      <c r="Q10" s="58">
        <f>IFERROR(Q8/Q9,1)</f>
        <v>1</v>
      </c>
      <c r="R10" s="58">
        <f>IFERROR(R8/R9,1)</f>
        <v>1</v>
      </c>
      <c r="S10" s="58">
        <f>IFERROR(S8/S9,1)</f>
        <v>1</v>
      </c>
      <c r="T10" s="58">
        <f>IFERROR(T8/T9,1)</f>
        <v>1</v>
      </c>
      <c r="U10" s="58">
        <f>IFERROR(U8/U9,1)</f>
        <v>1</v>
      </c>
      <c r="V10" s="58">
        <f>IFERROR(V8/V9,1)</f>
        <v>1</v>
      </c>
      <c r="W10" s="58">
        <f>IFERROR(W8/W9,1)</f>
        <v>1</v>
      </c>
      <c r="X10" s="58">
        <f>IFERROR(X8/X9,1)</f>
        <v>1</v>
      </c>
      <c r="Y10" s="58">
        <f>IFERROR(Y8/Y9,1)</f>
        <v>1</v>
      </c>
      <c r="Z10" s="58">
        <f>IFERROR(Z8/Z9,1)</f>
        <v>1</v>
      </c>
      <c r="AA10" s="58">
        <f>IFERROR(AA8/AA9,1)</f>
        <v>1</v>
      </c>
      <c r="AB10" s="50">
        <f>IFERROR(AB8/AB9,1)</f>
        <v>1</v>
      </c>
      <c r="AC10" s="51">
        <f>IFERROR(AC8/AC9,1)</f>
        <v>1</v>
      </c>
      <c r="AD10" s="51">
        <f>IFERROR(AD8/AD9,1)</f>
        <v>1</v>
      </c>
      <c r="AE10" s="51">
        <f>IFERROR(AE8/AE9,1)</f>
        <v>1</v>
      </c>
      <c r="AF10" s="58">
        <f>IFERROR(AF8/AF9,1)</f>
        <v>1</v>
      </c>
    </row>
    <row r="11">
      <c r="A11" s="15" t="inlineStr">
        <is>
          <t>개발비 자본화율(급여·퇴직·복리 대비)</t>
        </is>
      </c>
      <c r="B11" s="7" t="inlineStr">
        <is>
          <t>8_가정</t>
        </is>
      </c>
      <c r="C11" s="86">
        <f>'8_가정'!$C$99</f>
        <v>0.4</v>
      </c>
      <c r="D11" s="86">
        <f>'8_가정'!$C$99</f>
        <v>0.4</v>
      </c>
      <c r="E11" s="86">
        <f>'8_가정'!$C$99</f>
        <v>0.4</v>
      </c>
      <c r="F11" s="86">
        <f>'8_가정'!$C$99</f>
        <v>0.4</v>
      </c>
      <c r="G11" s="86">
        <f>'8_가정'!$C$99</f>
        <v>0.4</v>
      </c>
      <c r="H11" s="86">
        <f>'8_가정'!$C$99</f>
        <v>0.4</v>
      </c>
      <c r="I11" s="86">
        <f>'8_가정'!$C$99</f>
        <v>0.4</v>
      </c>
      <c r="J11" s="86">
        <f>'8_가정'!$C$99</f>
        <v>0.4</v>
      </c>
      <c r="K11" s="86">
        <f>'8_가정'!$C$99</f>
        <v>0.4</v>
      </c>
      <c r="L11" s="86">
        <f>'8_가정'!$C$99</f>
        <v>0.4</v>
      </c>
      <c r="M11" s="86">
        <f>'8_가정'!$C$99</f>
        <v>0.4</v>
      </c>
      <c r="N11" s="86">
        <f>'8_가정'!$C$99</f>
        <v>0.4</v>
      </c>
      <c r="O11" s="87">
        <f>'8_가정'!$C$99</f>
        <v>0.4</v>
      </c>
      <c r="P11" s="86">
        <f>'8_가정'!$D$99</f>
        <v>0.2</v>
      </c>
      <c r="Q11" s="86">
        <f>'8_가정'!$D$99</f>
        <v>0.2</v>
      </c>
      <c r="R11" s="86">
        <f>'8_가정'!$D$99</f>
        <v>0.2</v>
      </c>
      <c r="S11" s="86">
        <f>'8_가정'!$D$99</f>
        <v>0.2</v>
      </c>
      <c r="T11" s="86">
        <f>'8_가정'!$D$99</f>
        <v>0.2</v>
      </c>
      <c r="U11" s="86">
        <f>'8_가정'!$D$99</f>
        <v>0.2</v>
      </c>
      <c r="V11" s="86">
        <f>'8_가정'!$D$99</f>
        <v>0.2</v>
      </c>
      <c r="W11" s="86">
        <f>'8_가정'!$D$99</f>
        <v>0.2</v>
      </c>
      <c r="X11" s="86">
        <f>'8_가정'!$D$99</f>
        <v>0.2</v>
      </c>
      <c r="Y11" s="86">
        <f>'8_가정'!$D$99</f>
        <v>0.2</v>
      </c>
      <c r="Z11" s="86">
        <f>'8_가정'!$D$99</f>
        <v>0.2</v>
      </c>
      <c r="AA11" s="86">
        <f>'8_가정'!$D$99</f>
        <v>0.2</v>
      </c>
      <c r="AB11" s="87">
        <f>'8_가정'!$D$99</f>
        <v>0.2</v>
      </c>
      <c r="AC11" s="88">
        <f>'8_가정'!$E$99</f>
        <v>0.1</v>
      </c>
      <c r="AD11" s="88">
        <f>'8_가정'!$F$99</f>
        <v>0.05</v>
      </c>
      <c r="AE11" s="88">
        <f>'8_가정'!$G$99</f>
        <v>0.05</v>
      </c>
    </row>
    <row r="12">
      <c r="A12" s="3" t="inlineStr">
        <is>
          <t>B. 인원</t>
        </is>
      </c>
    </row>
    <row r="13">
      <c r="A13" s="15" t="inlineStr">
        <is>
          <t>인원 계획 — S1(기말, 명)</t>
        </is>
      </c>
      <c r="B13" s="7" t="inlineStr">
        <is>
          <t>입력(파란색)</t>
        </is>
      </c>
      <c r="C13" s="56" t="n">
        <v>7</v>
      </c>
      <c r="D13" s="56" t="n">
        <v>7</v>
      </c>
      <c r="E13" s="56" t="n">
        <v>7</v>
      </c>
      <c r="F13" s="56" t="n">
        <v>7</v>
      </c>
      <c r="G13" s="56" t="n">
        <v>7</v>
      </c>
      <c r="H13" s="56" t="n">
        <v>7</v>
      </c>
      <c r="I13" s="56" t="n">
        <v>7</v>
      </c>
      <c r="J13" s="56" t="n">
        <v>7</v>
      </c>
      <c r="K13" s="56" t="n">
        <v>7</v>
      </c>
      <c r="L13" s="56" t="n">
        <v>7</v>
      </c>
      <c r="M13" s="56" t="n">
        <v>7</v>
      </c>
      <c r="N13" s="56" t="n">
        <v>7</v>
      </c>
      <c r="O13" s="45">
        <f>N13</f>
        <v>7</v>
      </c>
      <c r="P13" s="56" t="n">
        <v>8</v>
      </c>
      <c r="Q13" s="56" t="n">
        <v>9</v>
      </c>
      <c r="R13" s="56" t="n">
        <v>10</v>
      </c>
      <c r="S13" s="56" t="n">
        <v>11</v>
      </c>
      <c r="T13" s="56" t="n">
        <v>12</v>
      </c>
      <c r="U13" s="56" t="n">
        <v>13</v>
      </c>
      <c r="V13" s="56" t="n">
        <v>14</v>
      </c>
      <c r="W13" s="56" t="n">
        <v>15</v>
      </c>
      <c r="X13" s="56" t="n">
        <v>16</v>
      </c>
      <c r="Y13" s="56" t="n">
        <v>18</v>
      </c>
      <c r="Z13" s="56" t="n">
        <v>20</v>
      </c>
      <c r="AA13" s="56" t="n">
        <v>22</v>
      </c>
      <c r="AB13" s="45">
        <f>AA13</f>
        <v>22</v>
      </c>
      <c r="AC13" s="56" t="n">
        <v>85</v>
      </c>
      <c r="AD13" s="56" t="n">
        <v>130</v>
      </c>
      <c r="AE13" s="56" t="n">
        <v>260</v>
      </c>
    </row>
    <row r="14">
      <c r="A14" s="15" t="inlineStr">
        <is>
          <t>인원 — 선택 시나리오(기말, 명)</t>
        </is>
      </c>
      <c r="B14" s="7" t="inlineStr">
        <is>
          <t>S1×(1−탄력+탄력×달성률), 하한 = 기존 인력 7명, 2026은 현 인력 유지</t>
        </is>
      </c>
      <c r="C14" s="89">
        <f>C13</f>
        <v>7</v>
      </c>
      <c r="D14" s="89">
        <f>D13</f>
        <v>7</v>
      </c>
      <c r="E14" s="89">
        <f>E13</f>
        <v>7</v>
      </c>
      <c r="F14" s="89">
        <f>F13</f>
        <v>7</v>
      </c>
      <c r="G14" s="89">
        <f>G13</f>
        <v>7</v>
      </c>
      <c r="H14" s="89">
        <f>H13</f>
        <v>7</v>
      </c>
      <c r="I14" s="89">
        <f>I13</f>
        <v>7</v>
      </c>
      <c r="J14" s="89">
        <f>J13</f>
        <v>7</v>
      </c>
      <c r="K14" s="89">
        <f>K13</f>
        <v>7</v>
      </c>
      <c r="L14" s="89">
        <f>L13</f>
        <v>7</v>
      </c>
      <c r="M14" s="89">
        <f>M13</f>
        <v>7</v>
      </c>
      <c r="N14" s="89">
        <f>N13</f>
        <v>7</v>
      </c>
      <c r="O14" s="90">
        <f>N14</f>
        <v>7</v>
      </c>
      <c r="P14" s="91">
        <f>MAX('8_가정'!$C$97,P13*(1-'8_가정'!$C$24+'8_가정'!$C$24*P10))</f>
        <v>8</v>
      </c>
      <c r="Q14" s="91">
        <f>MAX('8_가정'!$C$97,Q13*(1-'8_가정'!$C$24+'8_가정'!$C$24*Q10))</f>
        <v>9</v>
      </c>
      <c r="R14" s="91">
        <f>MAX('8_가정'!$C$97,R13*(1-'8_가정'!$C$24+'8_가정'!$C$24*R10))</f>
        <v>10</v>
      </c>
      <c r="S14" s="91">
        <f>MAX('8_가정'!$C$97,S13*(1-'8_가정'!$C$24+'8_가정'!$C$24*S10))</f>
        <v>11</v>
      </c>
      <c r="T14" s="91">
        <f>MAX('8_가정'!$C$97,T13*(1-'8_가정'!$C$24+'8_가정'!$C$24*T10))</f>
        <v>12</v>
      </c>
      <c r="U14" s="91">
        <f>MAX('8_가정'!$C$97,U13*(1-'8_가정'!$C$24+'8_가정'!$C$24*U10))</f>
        <v>13</v>
      </c>
      <c r="V14" s="91">
        <f>MAX('8_가정'!$C$97,V13*(1-'8_가정'!$C$24+'8_가정'!$C$24*V10))</f>
        <v>14</v>
      </c>
      <c r="W14" s="91">
        <f>MAX('8_가정'!$C$97,W13*(1-'8_가정'!$C$24+'8_가정'!$C$24*W10))</f>
        <v>15</v>
      </c>
      <c r="X14" s="91">
        <f>MAX('8_가정'!$C$97,X13*(1-'8_가정'!$C$24+'8_가정'!$C$24*X10))</f>
        <v>16</v>
      </c>
      <c r="Y14" s="91">
        <f>MAX('8_가정'!$C$97,Y13*(1-'8_가정'!$C$24+'8_가정'!$C$24*Y10))</f>
        <v>18</v>
      </c>
      <c r="Z14" s="91">
        <f>MAX('8_가정'!$C$97,Z13*(1-'8_가정'!$C$24+'8_가정'!$C$24*Z10))</f>
        <v>20</v>
      </c>
      <c r="AA14" s="91">
        <f>MAX('8_가정'!$C$97,AA13*(1-'8_가정'!$C$24+'8_가정'!$C$24*AA10))</f>
        <v>22</v>
      </c>
      <c r="AB14" s="90">
        <f>AA14</f>
        <v>22</v>
      </c>
      <c r="AC14" s="92">
        <f>MAX('8_가정'!$C$97,AC13*(1-'8_가정'!$C$24+'8_가정'!$C$24*AC10))</f>
        <v>85</v>
      </c>
      <c r="AD14" s="92">
        <f>MAX('8_가정'!$C$97,AD13*(1-'8_가정'!$C$24+'8_가정'!$C$24*AD10))</f>
        <v>130</v>
      </c>
      <c r="AE14" s="92">
        <f>MAX('8_가정'!$C$97,AE13*(1-'8_가정'!$C$24+'8_가정'!$C$24*AE10))</f>
        <v>260</v>
      </c>
    </row>
    <row r="15">
      <c r="A15" s="15" t="inlineStr">
        <is>
          <t>비용 산정 인원(월: 당월말, 연: 평균)</t>
        </is>
      </c>
      <c r="B15" s="7" t="inlineStr"/>
      <c r="C15" s="89">
        <f>C14</f>
        <v>7</v>
      </c>
      <c r="D15" s="89">
        <f>D14</f>
        <v>7</v>
      </c>
      <c r="E15" s="89">
        <f>E14</f>
        <v>7</v>
      </c>
      <c r="F15" s="89">
        <f>F14</f>
        <v>7</v>
      </c>
      <c r="G15" s="89">
        <f>G14</f>
        <v>7</v>
      </c>
      <c r="H15" s="89">
        <f>H14</f>
        <v>7</v>
      </c>
      <c r="I15" s="89">
        <f>I14</f>
        <v>7</v>
      </c>
      <c r="J15" s="89">
        <f>J14</f>
        <v>7</v>
      </c>
      <c r="K15" s="89">
        <f>K14</f>
        <v>7</v>
      </c>
      <c r="L15" s="89">
        <f>L14</f>
        <v>7</v>
      </c>
      <c r="M15" s="89">
        <f>M14</f>
        <v>7</v>
      </c>
      <c r="N15" s="89">
        <f>N14</f>
        <v>7</v>
      </c>
      <c r="O15" s="90">
        <f>AVERAGE(C14:N14)</f>
        <v>7</v>
      </c>
      <c r="P15" s="89">
        <f>P14</f>
        <v>8</v>
      </c>
      <c r="Q15" s="89">
        <f>Q14</f>
        <v>9</v>
      </c>
      <c r="R15" s="89">
        <f>R14</f>
        <v>10</v>
      </c>
      <c r="S15" s="89">
        <f>S14</f>
        <v>11</v>
      </c>
      <c r="T15" s="89">
        <f>T14</f>
        <v>12</v>
      </c>
      <c r="U15" s="89">
        <f>U14</f>
        <v>13</v>
      </c>
      <c r="V15" s="89">
        <f>V14</f>
        <v>14</v>
      </c>
      <c r="W15" s="89">
        <f>W14</f>
        <v>15</v>
      </c>
      <c r="X15" s="89">
        <f>X14</f>
        <v>16</v>
      </c>
      <c r="Y15" s="89">
        <f>Y14</f>
        <v>18</v>
      </c>
      <c r="Z15" s="89">
        <f>Z14</f>
        <v>20</v>
      </c>
      <c r="AA15" s="89">
        <f>AA14</f>
        <v>22</v>
      </c>
      <c r="AB15" s="90">
        <f>AVERAGE(P14:AA14)</f>
        <v>14</v>
      </c>
      <c r="AC15" s="93">
        <f>AVERAGE(AB14,AC14)</f>
        <v>53.5</v>
      </c>
      <c r="AD15" s="93">
        <f>AVERAGE(AC14,AD14)</f>
        <v>107.5</v>
      </c>
      <c r="AE15" s="93">
        <f>AVERAGE(AD14,AE14)</f>
        <v>195</v>
      </c>
    </row>
    <row r="16">
      <c r="A16" s="15" t="inlineStr">
        <is>
          <t>기존 인력 1인당 월 평균급여(천원)</t>
        </is>
      </c>
      <c r="B16" s="7" t="inlineStr">
        <is>
          <t>2026 회사 지정값, 2027~ × (1+인상률)</t>
        </is>
      </c>
      <c r="C16" s="69">
        <f>'8_가정'!$C$94</f>
        <v>4339</v>
      </c>
      <c r="D16" s="69">
        <f>'8_가정'!$C$94</f>
        <v>4339</v>
      </c>
      <c r="E16" s="69">
        <f>'8_가정'!$C$94</f>
        <v>4339</v>
      </c>
      <c r="F16" s="69">
        <f>'8_가정'!$C$94</f>
        <v>4339</v>
      </c>
      <c r="G16" s="69">
        <f>'8_가정'!$C$94</f>
        <v>4339</v>
      </c>
      <c r="H16" s="69">
        <f>'8_가정'!$C$94</f>
        <v>4339</v>
      </c>
      <c r="I16" s="69">
        <f>'8_가정'!$C$94</f>
        <v>4339</v>
      </c>
      <c r="J16" s="69">
        <f>'8_가정'!$C$94</f>
        <v>4339</v>
      </c>
      <c r="K16" s="69">
        <f>'8_가정'!$C$94</f>
        <v>4339</v>
      </c>
      <c r="L16" s="69">
        <f>'8_가정'!$C$94</f>
        <v>4339</v>
      </c>
      <c r="M16" s="69">
        <f>'8_가정'!$C$94</f>
        <v>4339</v>
      </c>
      <c r="N16" s="69">
        <f>'8_가정'!$C$94</f>
        <v>4339</v>
      </c>
      <c r="O16" s="76">
        <f>'8_가정'!$C$94</f>
        <v>4339</v>
      </c>
      <c r="P16" s="69">
        <f>'8_가정'!$D$94</f>
        <v>4642.73</v>
      </c>
      <c r="Q16" s="69">
        <f>'8_가정'!$D$94</f>
        <v>4642.73</v>
      </c>
      <c r="R16" s="69">
        <f>'8_가정'!$D$94</f>
        <v>4642.73</v>
      </c>
      <c r="S16" s="69">
        <f>'8_가정'!$D$94</f>
        <v>4642.73</v>
      </c>
      <c r="T16" s="69">
        <f>'8_가정'!$D$94</f>
        <v>4642.73</v>
      </c>
      <c r="U16" s="69">
        <f>'8_가정'!$D$94</f>
        <v>4642.73</v>
      </c>
      <c r="V16" s="69">
        <f>'8_가정'!$D$94</f>
        <v>4642.73</v>
      </c>
      <c r="W16" s="69">
        <f>'8_가정'!$D$94</f>
        <v>4642.73</v>
      </c>
      <c r="X16" s="69">
        <f>'8_가정'!$D$94</f>
        <v>4642.73</v>
      </c>
      <c r="Y16" s="69">
        <f>'8_가정'!$D$94</f>
        <v>4642.73</v>
      </c>
      <c r="Z16" s="69">
        <f>'8_가정'!$D$94</f>
        <v>4642.73</v>
      </c>
      <c r="AA16" s="69">
        <f>'8_가정'!$D$94</f>
        <v>4642.73</v>
      </c>
      <c r="AB16" s="76">
        <f>'8_가정'!$D$94</f>
        <v>4642.73</v>
      </c>
      <c r="AC16" s="68">
        <f>'8_가정'!$E$94</f>
        <v>4967.7211</v>
      </c>
      <c r="AD16" s="68">
        <f>'8_가정'!$F$94</f>
        <v>5315.461577</v>
      </c>
      <c r="AE16" s="68">
        <f>'8_가정'!$G$94</f>
        <v>5687.54388739</v>
      </c>
    </row>
    <row r="17">
      <c r="A17" s="15" t="inlineStr">
        <is>
          <t>신규 채용 1인당 월 급여(천원)</t>
        </is>
      </c>
      <c r="B17" s="7" t="inlineStr">
        <is>
          <t>고정(인상률 미적용)</t>
        </is>
      </c>
      <c r="C17" s="69">
        <f>'8_가정'!$C$96</f>
        <v>4339</v>
      </c>
      <c r="D17" s="69">
        <f>'8_가정'!$C$96</f>
        <v>4339</v>
      </c>
      <c r="E17" s="69">
        <f>'8_가정'!$C$96</f>
        <v>4339</v>
      </c>
      <c r="F17" s="69">
        <f>'8_가정'!$C$96</f>
        <v>4339</v>
      </c>
      <c r="G17" s="69">
        <f>'8_가정'!$C$96</f>
        <v>4339</v>
      </c>
      <c r="H17" s="69">
        <f>'8_가정'!$C$96</f>
        <v>4339</v>
      </c>
      <c r="I17" s="69">
        <f>'8_가정'!$C$96</f>
        <v>4339</v>
      </c>
      <c r="J17" s="69">
        <f>'8_가정'!$C$96</f>
        <v>4339</v>
      </c>
      <c r="K17" s="69">
        <f>'8_가정'!$C$96</f>
        <v>4339</v>
      </c>
      <c r="L17" s="69">
        <f>'8_가정'!$C$96</f>
        <v>4339</v>
      </c>
      <c r="M17" s="69">
        <f>'8_가정'!$C$96</f>
        <v>4339</v>
      </c>
      <c r="N17" s="69">
        <f>'8_가정'!$C$96</f>
        <v>4339</v>
      </c>
      <c r="O17" s="76">
        <f>'8_가정'!$C$96</f>
        <v>4339</v>
      </c>
      <c r="P17" s="69">
        <f>'8_가정'!$C$96</f>
        <v>4339</v>
      </c>
      <c r="Q17" s="69">
        <f>'8_가정'!$C$96</f>
        <v>4339</v>
      </c>
      <c r="R17" s="69">
        <f>'8_가정'!$C$96</f>
        <v>4339</v>
      </c>
      <c r="S17" s="69">
        <f>'8_가정'!$C$96</f>
        <v>4339</v>
      </c>
      <c r="T17" s="69">
        <f>'8_가정'!$C$96</f>
        <v>4339</v>
      </c>
      <c r="U17" s="69">
        <f>'8_가정'!$C$96</f>
        <v>4339</v>
      </c>
      <c r="V17" s="69">
        <f>'8_가정'!$C$96</f>
        <v>4339</v>
      </c>
      <c r="W17" s="69">
        <f>'8_가정'!$C$96</f>
        <v>4339</v>
      </c>
      <c r="X17" s="69">
        <f>'8_가정'!$C$96</f>
        <v>4339</v>
      </c>
      <c r="Y17" s="69">
        <f>'8_가정'!$C$96</f>
        <v>4339</v>
      </c>
      <c r="Z17" s="69">
        <f>'8_가정'!$C$96</f>
        <v>4339</v>
      </c>
      <c r="AA17" s="69">
        <f>'8_가정'!$C$96</f>
        <v>4339</v>
      </c>
      <c r="AB17" s="76">
        <f>'8_가정'!$C$96</f>
        <v>4339</v>
      </c>
      <c r="AC17" s="68">
        <f>'8_가정'!$C$96</f>
        <v>4339</v>
      </c>
      <c r="AD17" s="68">
        <f>'8_가정'!$C$96</f>
        <v>4339</v>
      </c>
      <c r="AE17" s="68">
        <f>'8_가정'!$C$96</f>
        <v>4339</v>
      </c>
    </row>
    <row r="18">
      <c r="A18" s="3" t="inlineStr">
        <is>
          <t>C. 판매비와관리비</t>
        </is>
      </c>
    </row>
    <row r="19">
      <c r="A19" s="15" t="inlineStr">
        <is>
          <t>급여</t>
        </is>
      </c>
      <c r="B19" s="7" t="inlineStr">
        <is>
          <t>급여 총액(61행) × (1−자본화율) — 자본화분은 31행</t>
        </is>
      </c>
      <c r="C19" s="44">
        <f>C61*(1-C11)</f>
        <v>23833.8</v>
      </c>
      <c r="D19" s="44">
        <f>D61*(1-D11)</f>
        <v>23833.8</v>
      </c>
      <c r="E19" s="44">
        <f>E61*(1-E11)</f>
        <v>23833.8</v>
      </c>
      <c r="F19" s="44">
        <f>F61*(1-F11)</f>
        <v>23833.8</v>
      </c>
      <c r="G19" s="44">
        <f>G61*(1-G11)</f>
        <v>23833.8</v>
      </c>
      <c r="H19" s="44">
        <f>H61*(1-H11)</f>
        <v>23833.8</v>
      </c>
      <c r="I19" s="44">
        <f>I61*(1-I11)</f>
        <v>23833.8</v>
      </c>
      <c r="J19" s="44">
        <f>J61*(1-J11)</f>
        <v>23833.8</v>
      </c>
      <c r="K19" s="44">
        <f>K61*(1-K11)</f>
        <v>23833.8</v>
      </c>
      <c r="L19" s="44">
        <f>L61*(1-L11)</f>
        <v>23833.8</v>
      </c>
      <c r="M19" s="44">
        <f>M61*(1-M11)</f>
        <v>23833.8</v>
      </c>
      <c r="N19" s="44">
        <f>N61*(1-N11)</f>
        <v>23833.8</v>
      </c>
      <c r="O19" s="25">
        <f>SUM(C19:N19)</f>
        <v>286005.6</v>
      </c>
      <c r="P19" s="44">
        <f>P61*(1-P11)</f>
        <v>36707.504</v>
      </c>
      <c r="Q19" s="44">
        <f>Q61*(1-Q11)</f>
        <v>40178.704</v>
      </c>
      <c r="R19" s="44">
        <f>R61*(1-R11)</f>
        <v>43649.904</v>
      </c>
      <c r="S19" s="44">
        <f>S61*(1-S11)</f>
        <v>47121.104</v>
      </c>
      <c r="T19" s="44">
        <f>T61*(1-T11)</f>
        <v>50592.304</v>
      </c>
      <c r="U19" s="44">
        <f>U61*(1-U11)</f>
        <v>54063.504</v>
      </c>
      <c r="V19" s="44">
        <f>V61*(1-V11)</f>
        <v>57534.704</v>
      </c>
      <c r="W19" s="44">
        <f>W61*(1-W11)</f>
        <v>61005.904</v>
      </c>
      <c r="X19" s="44">
        <f>X61*(1-X11)</f>
        <v>64477.104</v>
      </c>
      <c r="Y19" s="44">
        <f>Y61*(1-Y11)</f>
        <v>71419.504</v>
      </c>
      <c r="Z19" s="44">
        <f>Z61*(1-Z11)</f>
        <v>78361.904</v>
      </c>
      <c r="AA19" s="44">
        <f>AA61*(1-AA11)</f>
        <v>85304.304</v>
      </c>
      <c r="AB19" s="25">
        <f>SUM(P19:AA19)</f>
        <v>690416.448</v>
      </c>
      <c r="AC19" s="46">
        <f>AC61*(1-AC11)</f>
        <v>2648795.32728</v>
      </c>
      <c r="AD19" s="46">
        <f>AD61*(1-AD11)</f>
        <v>5490824.4718668</v>
      </c>
      <c r="AE19" s="46">
        <f>AE61*(1-AE11)</f>
        <v>9844427.40189748</v>
      </c>
      <c r="AF19" s="24">
        <f>O19+AB19+AC19+AD19+AE19</f>
        <v>18960469.2490443</v>
      </c>
    </row>
    <row r="20">
      <c r="A20" s="15" t="inlineStr">
        <is>
          <t>퇴직급여·4대보험·복리후생</t>
        </is>
      </c>
      <c r="B20" s="7" t="inlineStr">
        <is>
          <t>급여 총액 × 비율 × (1−자본화율)</t>
        </is>
      </c>
      <c r="C20" s="69">
        <f>C61*'8_가정'!$C$98*(1-C11)</f>
        <v>5243.436</v>
      </c>
      <c r="D20" s="69">
        <f>D61*'8_가정'!$C$98*(1-D11)</f>
        <v>5243.436</v>
      </c>
      <c r="E20" s="69">
        <f>E61*'8_가정'!$C$98*(1-E11)</f>
        <v>5243.436</v>
      </c>
      <c r="F20" s="69">
        <f>F61*'8_가정'!$C$98*(1-F11)</f>
        <v>5243.436</v>
      </c>
      <c r="G20" s="69">
        <f>G61*'8_가정'!$C$98*(1-G11)</f>
        <v>5243.436</v>
      </c>
      <c r="H20" s="69">
        <f>H61*'8_가정'!$C$98*(1-H11)</f>
        <v>5243.436</v>
      </c>
      <c r="I20" s="69">
        <f>I61*'8_가정'!$C$98*(1-I11)</f>
        <v>5243.436</v>
      </c>
      <c r="J20" s="69">
        <f>J61*'8_가정'!$C$98*(1-J11)</f>
        <v>5243.436</v>
      </c>
      <c r="K20" s="69">
        <f>K61*'8_가정'!$C$98*(1-K11)</f>
        <v>5243.436</v>
      </c>
      <c r="L20" s="69">
        <f>L61*'8_가정'!$C$98*(1-L11)</f>
        <v>5243.436</v>
      </c>
      <c r="M20" s="69">
        <f>M61*'8_가정'!$C$98*(1-M11)</f>
        <v>5243.436</v>
      </c>
      <c r="N20" s="69">
        <f>N61*'8_가정'!$C$98*(1-N11)</f>
        <v>5243.436</v>
      </c>
      <c r="O20" s="25">
        <f>SUM(C20:N20)</f>
        <v>62921.232</v>
      </c>
      <c r="P20" s="69">
        <f>P61*'8_가정'!$C$98*(1-P11)</f>
        <v>8075.65088</v>
      </c>
      <c r="Q20" s="69">
        <f>Q61*'8_가정'!$C$98*(1-Q11)</f>
        <v>8839.31488</v>
      </c>
      <c r="R20" s="69">
        <f>R61*'8_가정'!$C$98*(1-R11)</f>
        <v>9602.97888</v>
      </c>
      <c r="S20" s="69">
        <f>S61*'8_가정'!$C$98*(1-S11)</f>
        <v>10366.64288</v>
      </c>
      <c r="T20" s="69">
        <f>T61*'8_가정'!$C$98*(1-T11)</f>
        <v>11130.30688</v>
      </c>
      <c r="U20" s="69">
        <f>U61*'8_가정'!$C$98*(1-U11)</f>
        <v>11893.97088</v>
      </c>
      <c r="V20" s="69">
        <f>V61*'8_가정'!$C$98*(1-V11)</f>
        <v>12657.63488</v>
      </c>
      <c r="W20" s="69">
        <f>W61*'8_가정'!$C$98*(1-W11)</f>
        <v>13421.29888</v>
      </c>
      <c r="X20" s="69">
        <f>X61*'8_가정'!$C$98*(1-X11)</f>
        <v>14184.96288</v>
      </c>
      <c r="Y20" s="69">
        <f>Y61*'8_가정'!$C$98*(1-Y11)</f>
        <v>15712.29088</v>
      </c>
      <c r="Z20" s="69">
        <f>Z61*'8_가정'!$C$98*(1-Z11)</f>
        <v>17239.61888</v>
      </c>
      <c r="AA20" s="69">
        <f>AA61*'8_가정'!$C$98*(1-AA11)</f>
        <v>18766.94688</v>
      </c>
      <c r="AB20" s="25">
        <f>SUM(P20:AA20)</f>
        <v>151891.61856</v>
      </c>
      <c r="AC20" s="68">
        <f>AC61*'8_가정'!$C$98*(1-AC11)</f>
        <v>582734.9720016</v>
      </c>
      <c r="AD20" s="68">
        <f>AD61*'8_가정'!$C$98*(1-AD11)</f>
        <v>1207981.3838107</v>
      </c>
      <c r="AE20" s="68">
        <f>AE61*'8_가정'!$C$98*(1-AE11)</f>
        <v>2165774.02841745</v>
      </c>
      <c r="AF20" s="24">
        <f>O20+AB20+AC20+AD20+AE20</f>
        <v>4171303.23478974</v>
      </c>
    </row>
    <row r="21">
      <c r="A21" s="15" t="inlineStr">
        <is>
          <t>광고선전·마케팅비</t>
        </is>
      </c>
      <c r="B21" s="7" t="inlineStr">
        <is>
          <t>매출 %</t>
        </is>
      </c>
      <c r="C21" s="69">
        <f>C8*'8_가정'!$C$100</f>
        <v>564.804</v>
      </c>
      <c r="D21" s="69">
        <f>D8*'8_가정'!$C$100</f>
        <v>433.68</v>
      </c>
      <c r="E21" s="69">
        <f>E8*'8_가정'!$C$100</f>
        <v>677.448</v>
      </c>
      <c r="F21" s="69">
        <f>F8*'8_가정'!$C$100</f>
        <v>131.22</v>
      </c>
      <c r="G21" s="69">
        <f>G8*'8_가정'!$C$100</f>
        <v>267.804</v>
      </c>
      <c r="H21" s="69">
        <f>H8*'8_가정'!$C$100</f>
        <v>617.436</v>
      </c>
      <c r="I21" s="69">
        <f>I8*'8_가정'!$C$100</f>
        <v>159.768</v>
      </c>
      <c r="J21" s="69">
        <f>J8*'8_가정'!$C$100</f>
        <v>95.112</v>
      </c>
      <c r="K21" s="69">
        <f>K8*'8_가정'!$C$100</f>
        <v>488.748</v>
      </c>
      <c r="L21" s="69">
        <f>L8*'8_가정'!$C$100</f>
        <v>2139.9</v>
      </c>
      <c r="M21" s="69">
        <f>M8*'8_가정'!$C$100</f>
        <v>2927.04</v>
      </c>
      <c r="N21" s="69">
        <f>N8*'8_가정'!$C$100</f>
        <v>5911.644</v>
      </c>
      <c r="O21" s="25">
        <f>SUM(C21:N21)</f>
        <v>14414.604</v>
      </c>
      <c r="P21" s="69">
        <f>P8*'8_가정'!$D$100</f>
        <v>12200.275</v>
      </c>
      <c r="Q21" s="69">
        <f>Q8*'8_가정'!$D$100</f>
        <v>12953.25</v>
      </c>
      <c r="R21" s="69">
        <f>R8*'8_가정'!$D$100</f>
        <v>16064.85</v>
      </c>
      <c r="S21" s="69">
        <f>S8*'8_가정'!$D$100</f>
        <v>18025.25</v>
      </c>
      <c r="T21" s="69">
        <f>T8*'8_가정'!$D$100</f>
        <v>19411.025</v>
      </c>
      <c r="U21" s="69">
        <f>U8*'8_가정'!$D$100</f>
        <v>20389.325</v>
      </c>
      <c r="V21" s="69">
        <f>V8*'8_가정'!$D$100</f>
        <v>22099.75</v>
      </c>
      <c r="W21" s="69">
        <f>W8*'8_가정'!$D$100</f>
        <v>22894.05</v>
      </c>
      <c r="X21" s="69">
        <f>X8*'8_가정'!$D$100</f>
        <v>24185.05</v>
      </c>
      <c r="Y21" s="69">
        <f>Y8*'8_가정'!$D$100</f>
        <v>25932.475</v>
      </c>
      <c r="Z21" s="69">
        <f>Z8*'8_가정'!$D$100</f>
        <v>27443.325</v>
      </c>
      <c r="AA21" s="69">
        <f>AA8*'8_가정'!$D$100</f>
        <v>28526.375</v>
      </c>
      <c r="AB21" s="25">
        <f>SUM(P21:AA21)</f>
        <v>250125</v>
      </c>
      <c r="AC21" s="68">
        <f>AC8*'8_가정'!$E$100</f>
        <v>924000</v>
      </c>
      <c r="AD21" s="68">
        <f>AD8*'8_가정'!$F$100</f>
        <v>1820000</v>
      </c>
      <c r="AE21" s="68">
        <f>AE8*'8_가정'!$G$100</f>
        <v>4680000</v>
      </c>
      <c r="AF21" s="24">
        <f>O21+AB21+AC21+AD21+AE21</f>
        <v>7688539.604</v>
      </c>
    </row>
    <row r="22">
      <c r="A22" s="15" t="inlineStr">
        <is>
          <t>지급수수료</t>
        </is>
      </c>
      <c r="B22" s="7" t="inlineStr">
        <is>
          <t>매출 %</t>
        </is>
      </c>
      <c r="C22" s="69">
        <f>C8*'8_가정'!$C$101</f>
        <v>564.804</v>
      </c>
      <c r="D22" s="69">
        <f>D8*'8_가정'!$C$101</f>
        <v>433.68</v>
      </c>
      <c r="E22" s="69">
        <f>E8*'8_가정'!$C$101</f>
        <v>677.448</v>
      </c>
      <c r="F22" s="69">
        <f>F8*'8_가정'!$C$101</f>
        <v>131.22</v>
      </c>
      <c r="G22" s="69">
        <f>G8*'8_가정'!$C$101</f>
        <v>267.804</v>
      </c>
      <c r="H22" s="69">
        <f>H8*'8_가정'!$C$101</f>
        <v>617.436</v>
      </c>
      <c r="I22" s="69">
        <f>I8*'8_가정'!$C$101</f>
        <v>159.768</v>
      </c>
      <c r="J22" s="69">
        <f>J8*'8_가정'!$C$101</f>
        <v>95.112</v>
      </c>
      <c r="K22" s="69">
        <f>K8*'8_가정'!$C$101</f>
        <v>488.748</v>
      </c>
      <c r="L22" s="69">
        <f>L8*'8_가정'!$C$101</f>
        <v>2139.9</v>
      </c>
      <c r="M22" s="69">
        <f>M8*'8_가정'!$C$101</f>
        <v>2927.04</v>
      </c>
      <c r="N22" s="69">
        <f>N8*'8_가정'!$C$101</f>
        <v>5911.644</v>
      </c>
      <c r="O22" s="25">
        <f>SUM(C22:N22)</f>
        <v>14414.604</v>
      </c>
      <c r="P22" s="69">
        <f>P8*'8_가정'!$D$101</f>
        <v>9760.22</v>
      </c>
      <c r="Q22" s="69">
        <f>Q8*'8_가정'!$D$101</f>
        <v>10362.6</v>
      </c>
      <c r="R22" s="69">
        <f>R8*'8_가정'!$D$101</f>
        <v>12851.88</v>
      </c>
      <c r="S22" s="69">
        <f>S8*'8_가정'!$D$101</f>
        <v>14420.2</v>
      </c>
      <c r="T22" s="69">
        <f>T8*'8_가정'!$D$101</f>
        <v>15528.82</v>
      </c>
      <c r="U22" s="69">
        <f>U8*'8_가정'!$D$101</f>
        <v>16311.46</v>
      </c>
      <c r="V22" s="69">
        <f>V8*'8_가정'!$D$101</f>
        <v>17679.8</v>
      </c>
      <c r="W22" s="69">
        <f>W8*'8_가정'!$D$101</f>
        <v>18315.24</v>
      </c>
      <c r="X22" s="69">
        <f>X8*'8_가정'!$D$101</f>
        <v>19348.04</v>
      </c>
      <c r="Y22" s="69">
        <f>Y8*'8_가정'!$D$101</f>
        <v>20745.98</v>
      </c>
      <c r="Z22" s="69">
        <f>Z8*'8_가정'!$D$101</f>
        <v>21954.66</v>
      </c>
      <c r="AA22" s="69">
        <f>AA8*'8_가정'!$D$101</f>
        <v>22821.1</v>
      </c>
      <c r="AB22" s="25">
        <f>SUM(P22:AA22)</f>
        <v>200100</v>
      </c>
      <c r="AC22" s="68">
        <f>AC8*'8_가정'!$E$101</f>
        <v>726000</v>
      </c>
      <c r="AD22" s="68">
        <f>AD8*'8_가정'!$F$101</f>
        <v>1540000</v>
      </c>
      <c r="AE22" s="68">
        <f>AE8*'8_가정'!$G$101</f>
        <v>3432000</v>
      </c>
      <c r="AF22" s="24">
        <f>O22+AB22+AC22+AD22+AE22</f>
        <v>5912514.604</v>
      </c>
    </row>
    <row r="23">
      <c r="A23" s="15" t="inlineStr">
        <is>
          <t>판매물류·CS비</t>
        </is>
      </c>
      <c r="B23" s="7" t="inlineStr">
        <is>
          <t>매출 %</t>
        </is>
      </c>
      <c r="C23" s="69">
        <f>C8*'8_가정'!$C$102</f>
        <v>1176.675</v>
      </c>
      <c r="D23" s="69">
        <f>D8*'8_가정'!$C$102</f>
        <v>903.5</v>
      </c>
      <c r="E23" s="69">
        <f>E8*'8_가정'!$C$102</f>
        <v>1411.35</v>
      </c>
      <c r="F23" s="69">
        <f>F8*'8_가정'!$C$102</f>
        <v>273.375</v>
      </c>
      <c r="G23" s="69">
        <f>G8*'8_가정'!$C$102</f>
        <v>557.925</v>
      </c>
      <c r="H23" s="69">
        <f>H8*'8_가정'!$C$102</f>
        <v>1286.325</v>
      </c>
      <c r="I23" s="69">
        <f>I8*'8_가정'!$C$102</f>
        <v>332.85</v>
      </c>
      <c r="J23" s="69">
        <f>J8*'8_가정'!$C$102</f>
        <v>198.15</v>
      </c>
      <c r="K23" s="69">
        <f>K8*'8_가정'!$C$102</f>
        <v>1018.225</v>
      </c>
      <c r="L23" s="69">
        <f>L8*'8_가정'!$C$102</f>
        <v>4458.125</v>
      </c>
      <c r="M23" s="69">
        <f>M8*'8_가정'!$C$102</f>
        <v>6098</v>
      </c>
      <c r="N23" s="69">
        <f>N8*'8_가정'!$C$102</f>
        <v>12315.925</v>
      </c>
      <c r="O23" s="25">
        <f>SUM(C23:N23)</f>
        <v>30030.425</v>
      </c>
      <c r="P23" s="69">
        <f>P8*'8_가정'!$D$102</f>
        <v>17080.385</v>
      </c>
      <c r="Q23" s="69">
        <f>Q8*'8_가정'!$D$102</f>
        <v>18134.55</v>
      </c>
      <c r="R23" s="69">
        <f>R8*'8_가정'!$D$102</f>
        <v>22490.79</v>
      </c>
      <c r="S23" s="69">
        <f>S8*'8_가정'!$D$102</f>
        <v>25235.35</v>
      </c>
      <c r="T23" s="69">
        <f>T8*'8_가정'!$D$102</f>
        <v>27175.435</v>
      </c>
      <c r="U23" s="69">
        <f>U8*'8_가정'!$D$102</f>
        <v>28545.055</v>
      </c>
      <c r="V23" s="69">
        <f>V8*'8_가정'!$D$102</f>
        <v>30939.65</v>
      </c>
      <c r="W23" s="69">
        <f>W8*'8_가정'!$D$102</f>
        <v>32051.67</v>
      </c>
      <c r="X23" s="69">
        <f>X8*'8_가정'!$D$102</f>
        <v>33859.07</v>
      </c>
      <c r="Y23" s="69">
        <f>Y8*'8_가정'!$D$102</f>
        <v>36305.465</v>
      </c>
      <c r="Z23" s="69">
        <f>Z8*'8_가정'!$D$102</f>
        <v>38420.655</v>
      </c>
      <c r="AA23" s="69">
        <f>AA8*'8_가정'!$D$102</f>
        <v>39936.925</v>
      </c>
      <c r="AB23" s="25">
        <f>SUM(P23:AA23)</f>
        <v>350175</v>
      </c>
      <c r="AC23" s="68">
        <f>AC8*'8_가정'!$E$102</f>
        <v>1155000</v>
      </c>
      <c r="AD23" s="68">
        <f>AD8*'8_가정'!$F$102</f>
        <v>2240000</v>
      </c>
      <c r="AE23" s="68">
        <f>AE8*'8_가정'!$G$102</f>
        <v>5460000</v>
      </c>
      <c r="AF23" s="24">
        <f>O23+AB23+AC23+AD23+AE23</f>
        <v>9235205.425</v>
      </c>
    </row>
    <row r="24">
      <c r="A24" s="15" t="inlineStr">
        <is>
          <t>연구개발비(경상)</t>
        </is>
      </c>
      <c r="B24" s="7" t="inlineStr">
        <is>
          <t>매출 %</t>
        </is>
      </c>
      <c r="C24" s="69">
        <f>C8*'8_가정'!$C$103</f>
        <v>1647.345</v>
      </c>
      <c r="D24" s="69">
        <f>D8*'8_가정'!$C$103</f>
        <v>1264.9</v>
      </c>
      <c r="E24" s="69">
        <f>E8*'8_가정'!$C$103</f>
        <v>1975.89</v>
      </c>
      <c r="F24" s="69">
        <f>F8*'8_가정'!$C$103</f>
        <v>382.725</v>
      </c>
      <c r="G24" s="69">
        <f>G8*'8_가정'!$C$103</f>
        <v>781.095</v>
      </c>
      <c r="H24" s="69">
        <f>H8*'8_가정'!$C$103</f>
        <v>1800.855</v>
      </c>
      <c r="I24" s="69">
        <f>I8*'8_가정'!$C$103</f>
        <v>465.99</v>
      </c>
      <c r="J24" s="69">
        <f>J8*'8_가정'!$C$103</f>
        <v>277.41</v>
      </c>
      <c r="K24" s="69">
        <f>K8*'8_가정'!$C$103</f>
        <v>1425.515</v>
      </c>
      <c r="L24" s="69">
        <f>L8*'8_가정'!$C$103</f>
        <v>6241.375</v>
      </c>
      <c r="M24" s="69">
        <f>M8*'8_가정'!$C$103</f>
        <v>8537.2</v>
      </c>
      <c r="N24" s="69">
        <f>N8*'8_가정'!$C$103</f>
        <v>17242.295</v>
      </c>
      <c r="O24" s="25">
        <f>SUM(C24:N24)</f>
        <v>42042.595</v>
      </c>
      <c r="P24" s="69">
        <f>P8*'8_가정'!$D$103</f>
        <v>17080.385</v>
      </c>
      <c r="Q24" s="69">
        <f>Q8*'8_가정'!$D$103</f>
        <v>18134.55</v>
      </c>
      <c r="R24" s="69">
        <f>R8*'8_가정'!$D$103</f>
        <v>22490.79</v>
      </c>
      <c r="S24" s="69">
        <f>S8*'8_가정'!$D$103</f>
        <v>25235.35</v>
      </c>
      <c r="T24" s="69">
        <f>T8*'8_가정'!$D$103</f>
        <v>27175.435</v>
      </c>
      <c r="U24" s="69">
        <f>U8*'8_가정'!$D$103</f>
        <v>28545.055</v>
      </c>
      <c r="V24" s="69">
        <f>V8*'8_가정'!$D$103</f>
        <v>30939.65</v>
      </c>
      <c r="W24" s="69">
        <f>W8*'8_가정'!$D$103</f>
        <v>32051.67</v>
      </c>
      <c r="X24" s="69">
        <f>X8*'8_가정'!$D$103</f>
        <v>33859.07</v>
      </c>
      <c r="Y24" s="69">
        <f>Y8*'8_가정'!$D$103</f>
        <v>36305.465</v>
      </c>
      <c r="Z24" s="69">
        <f>Z8*'8_가정'!$D$103</f>
        <v>38420.655</v>
      </c>
      <c r="AA24" s="69">
        <f>AA8*'8_가정'!$D$103</f>
        <v>39936.925</v>
      </c>
      <c r="AB24" s="25">
        <f>SUM(P24:AA24)</f>
        <v>350175</v>
      </c>
      <c r="AC24" s="68">
        <f>AC8*'8_가정'!$E$103</f>
        <v>1056000</v>
      </c>
      <c r="AD24" s="68">
        <f>AD8*'8_가정'!$F$103</f>
        <v>2030000</v>
      </c>
      <c r="AE24" s="68">
        <f>AE8*'8_가정'!$G$103</f>
        <v>4836000</v>
      </c>
      <c r="AF24" s="24">
        <f>O24+AB24+AC24+AD24+AE24</f>
        <v>8314217.595</v>
      </c>
    </row>
    <row r="25">
      <c r="A25" s="15" t="inlineStr">
        <is>
          <t>임차·운영비</t>
        </is>
      </c>
      <c r="B25" s="7" t="inlineStr">
        <is>
          <t>고정(연/12)</t>
        </is>
      </c>
      <c r="C25" s="69">
        <f>'8_가정'!$C$106/12</f>
        <v>3000</v>
      </c>
      <c r="D25" s="69">
        <f>'8_가정'!$C$106/12</f>
        <v>3000</v>
      </c>
      <c r="E25" s="69">
        <f>'8_가정'!$C$106/12</f>
        <v>3000</v>
      </c>
      <c r="F25" s="69">
        <f>'8_가정'!$C$106/12</f>
        <v>3000</v>
      </c>
      <c r="G25" s="69">
        <f>'8_가정'!$C$106/12</f>
        <v>3000</v>
      </c>
      <c r="H25" s="69">
        <f>'8_가정'!$C$106/12</f>
        <v>3000</v>
      </c>
      <c r="I25" s="69">
        <f>'8_가정'!$C$106/12</f>
        <v>3000</v>
      </c>
      <c r="J25" s="69">
        <f>'8_가정'!$C$106/12</f>
        <v>3000</v>
      </c>
      <c r="K25" s="69">
        <f>'8_가정'!$C$106/12</f>
        <v>3000</v>
      </c>
      <c r="L25" s="69">
        <f>'8_가정'!$C$106/12</f>
        <v>3000</v>
      </c>
      <c r="M25" s="69">
        <f>'8_가정'!$C$106/12</f>
        <v>3000</v>
      </c>
      <c r="N25" s="69">
        <f>'8_가정'!$C$106/12</f>
        <v>3000</v>
      </c>
      <c r="O25" s="25">
        <f>SUM(C25:N25)</f>
        <v>36000</v>
      </c>
      <c r="P25" s="69">
        <f>'8_가정'!$D$106/12</f>
        <v>12000</v>
      </c>
      <c r="Q25" s="69">
        <f>'8_가정'!$D$106/12</f>
        <v>12000</v>
      </c>
      <c r="R25" s="69">
        <f>'8_가정'!$D$106/12</f>
        <v>12000</v>
      </c>
      <c r="S25" s="69">
        <f>'8_가정'!$D$106/12</f>
        <v>12000</v>
      </c>
      <c r="T25" s="69">
        <f>'8_가정'!$D$106/12</f>
        <v>12000</v>
      </c>
      <c r="U25" s="69">
        <f>'8_가정'!$D$106/12</f>
        <v>12000</v>
      </c>
      <c r="V25" s="69">
        <f>'8_가정'!$D$106/12</f>
        <v>12000</v>
      </c>
      <c r="W25" s="69">
        <f>'8_가정'!$D$106/12</f>
        <v>12000</v>
      </c>
      <c r="X25" s="69">
        <f>'8_가정'!$D$106/12</f>
        <v>12000</v>
      </c>
      <c r="Y25" s="69">
        <f>'8_가정'!$D$106/12</f>
        <v>12000</v>
      </c>
      <c r="Z25" s="69">
        <f>'8_가정'!$D$106/12</f>
        <v>12000</v>
      </c>
      <c r="AA25" s="69">
        <f>'8_가정'!$D$106/12</f>
        <v>12000</v>
      </c>
      <c r="AB25" s="25">
        <f>SUM(P25:AA25)</f>
        <v>144000</v>
      </c>
      <c r="AC25" s="68">
        <f>'8_가정'!$E$106</f>
        <v>300000</v>
      </c>
      <c r="AD25" s="68">
        <f>'8_가정'!$F$106</f>
        <v>600000</v>
      </c>
      <c r="AE25" s="68">
        <f>'8_가정'!$G$106</f>
        <v>1000000</v>
      </c>
      <c r="AF25" s="24">
        <f>O25+AB25+AC25+AD25+AE25</f>
        <v>2080000</v>
      </c>
    </row>
    <row r="26">
      <c r="A26" s="15" t="inlineStr">
        <is>
          <t>해외영업·출장비</t>
        </is>
      </c>
      <c r="B26" s="7" t="inlineStr">
        <is>
          <t>고정(연/12)</t>
        </is>
      </c>
      <c r="C26" s="69">
        <f>'8_가정'!$C$107/12</f>
        <v>3750</v>
      </c>
      <c r="D26" s="69">
        <f>'8_가정'!$C$107/12</f>
        <v>3750</v>
      </c>
      <c r="E26" s="69">
        <f>'8_가정'!$C$107/12</f>
        <v>3750</v>
      </c>
      <c r="F26" s="69">
        <f>'8_가정'!$C$107/12</f>
        <v>3750</v>
      </c>
      <c r="G26" s="69">
        <f>'8_가정'!$C$107/12</f>
        <v>3750</v>
      </c>
      <c r="H26" s="69">
        <f>'8_가정'!$C$107/12</f>
        <v>3750</v>
      </c>
      <c r="I26" s="69">
        <f>'8_가정'!$C$107/12</f>
        <v>3750</v>
      </c>
      <c r="J26" s="69">
        <f>'8_가정'!$C$107/12</f>
        <v>3750</v>
      </c>
      <c r="K26" s="69">
        <f>'8_가정'!$C$107/12</f>
        <v>3750</v>
      </c>
      <c r="L26" s="69">
        <f>'8_가정'!$C$107/12</f>
        <v>3750</v>
      </c>
      <c r="M26" s="69">
        <f>'8_가정'!$C$107/12</f>
        <v>3750</v>
      </c>
      <c r="N26" s="69">
        <f>'8_가정'!$C$107/12</f>
        <v>3750</v>
      </c>
      <c r="O26" s="25">
        <f>SUM(C26:N26)</f>
        <v>45000</v>
      </c>
      <c r="P26" s="69">
        <f>'8_가정'!$D$107/12</f>
        <v>15000</v>
      </c>
      <c r="Q26" s="69">
        <f>'8_가정'!$D$107/12</f>
        <v>15000</v>
      </c>
      <c r="R26" s="69">
        <f>'8_가정'!$D$107/12</f>
        <v>15000</v>
      </c>
      <c r="S26" s="69">
        <f>'8_가정'!$D$107/12</f>
        <v>15000</v>
      </c>
      <c r="T26" s="69">
        <f>'8_가정'!$D$107/12</f>
        <v>15000</v>
      </c>
      <c r="U26" s="69">
        <f>'8_가정'!$D$107/12</f>
        <v>15000</v>
      </c>
      <c r="V26" s="69">
        <f>'8_가정'!$D$107/12</f>
        <v>15000</v>
      </c>
      <c r="W26" s="69">
        <f>'8_가정'!$D$107/12</f>
        <v>15000</v>
      </c>
      <c r="X26" s="69">
        <f>'8_가정'!$D$107/12</f>
        <v>15000</v>
      </c>
      <c r="Y26" s="69">
        <f>'8_가정'!$D$107/12</f>
        <v>15000</v>
      </c>
      <c r="Z26" s="69">
        <f>'8_가정'!$D$107/12</f>
        <v>15000</v>
      </c>
      <c r="AA26" s="69">
        <f>'8_가정'!$D$107/12</f>
        <v>15000</v>
      </c>
      <c r="AB26" s="25">
        <f>SUM(P26:AA26)</f>
        <v>180000</v>
      </c>
      <c r="AC26" s="68">
        <f>'8_가정'!$E$107</f>
        <v>400000</v>
      </c>
      <c r="AD26" s="68">
        <f>'8_가정'!$F$107</f>
        <v>800000</v>
      </c>
      <c r="AE26" s="68">
        <f>'8_가정'!$G$107</f>
        <v>1400000</v>
      </c>
      <c r="AF26" s="24">
        <f>O26+AB26+AC26+AD26+AE26</f>
        <v>2825000</v>
      </c>
    </row>
    <row r="27">
      <c r="A27" s="15" t="inlineStr">
        <is>
          <t>감가상각·무형자산상각비</t>
        </is>
      </c>
      <c r="B27" s="7" t="inlineStr">
        <is>
          <t>유형 + 개발비 상각</t>
        </is>
      </c>
      <c r="C27" s="69">
        <f>('8_가정'!$C$108+'8_가정'!$C$109)/12</f>
        <v>1500</v>
      </c>
      <c r="D27" s="69">
        <f>('8_가정'!$C$108+'8_가정'!$C$109)/12</f>
        <v>1500</v>
      </c>
      <c r="E27" s="69">
        <f>('8_가정'!$C$108+'8_가정'!$C$109)/12</f>
        <v>1500</v>
      </c>
      <c r="F27" s="69">
        <f>('8_가정'!$C$108+'8_가정'!$C$109)/12</f>
        <v>1500</v>
      </c>
      <c r="G27" s="69">
        <f>('8_가정'!$C$108+'8_가정'!$C$109)/12</f>
        <v>1500</v>
      </c>
      <c r="H27" s="69">
        <f>('8_가정'!$C$108+'8_가정'!$C$109)/12</f>
        <v>1500</v>
      </c>
      <c r="I27" s="69">
        <f>('8_가정'!$C$108+'8_가정'!$C$109)/12</f>
        <v>1500</v>
      </c>
      <c r="J27" s="69">
        <f>('8_가정'!$C$108+'8_가정'!$C$109)/12</f>
        <v>1500</v>
      </c>
      <c r="K27" s="69">
        <f>('8_가정'!$C$108+'8_가정'!$C$109)/12</f>
        <v>1500</v>
      </c>
      <c r="L27" s="69">
        <f>('8_가정'!$C$108+'8_가정'!$C$109)/12</f>
        <v>1500</v>
      </c>
      <c r="M27" s="69">
        <f>('8_가정'!$C$108+'8_가정'!$C$109)/12</f>
        <v>1500</v>
      </c>
      <c r="N27" s="69">
        <f>('8_가정'!$C$108+'8_가정'!$C$109)/12</f>
        <v>1500</v>
      </c>
      <c r="O27" s="25">
        <f>SUM(C27:N27)</f>
        <v>18000</v>
      </c>
      <c r="P27" s="69">
        <f>('8_가정'!$D$108+'8_가정'!$D$109)/12</f>
        <v>36329.4166666667</v>
      </c>
      <c r="Q27" s="69">
        <f>('8_가정'!$D$108+'8_가정'!$D$109)/12</f>
        <v>36329.4166666667</v>
      </c>
      <c r="R27" s="69">
        <f>('8_가정'!$D$108+'8_가정'!$D$109)/12</f>
        <v>36329.4166666667</v>
      </c>
      <c r="S27" s="69">
        <f>('8_가정'!$D$108+'8_가정'!$D$109)/12</f>
        <v>36329.4166666667</v>
      </c>
      <c r="T27" s="69">
        <f>('8_가정'!$D$108+'8_가정'!$D$109)/12</f>
        <v>36329.4166666667</v>
      </c>
      <c r="U27" s="69">
        <f>('8_가정'!$D$108+'8_가정'!$D$109)/12</f>
        <v>36329.4166666667</v>
      </c>
      <c r="V27" s="69">
        <f>('8_가정'!$D$108+'8_가정'!$D$109)/12</f>
        <v>36329.4166666667</v>
      </c>
      <c r="W27" s="69">
        <f>('8_가정'!$D$108+'8_가정'!$D$109)/12</f>
        <v>36329.4166666667</v>
      </c>
      <c r="X27" s="69">
        <f>('8_가정'!$D$108+'8_가정'!$D$109)/12</f>
        <v>36329.4166666667</v>
      </c>
      <c r="Y27" s="69">
        <f>('8_가정'!$D$108+'8_가정'!$D$109)/12</f>
        <v>36329.4166666667</v>
      </c>
      <c r="Z27" s="69">
        <f>('8_가정'!$D$108+'8_가정'!$D$109)/12</f>
        <v>36329.4166666667</v>
      </c>
      <c r="AA27" s="69">
        <f>('8_가정'!$D$108+'8_가정'!$D$109)/12</f>
        <v>36329.4166666667</v>
      </c>
      <c r="AB27" s="25">
        <f>SUM(P27:AA27)</f>
        <v>435953</v>
      </c>
      <c r="AC27" s="68">
        <f>('8_가정'!$E$108+'8_가정'!$E$109)</f>
        <v>528068.403328</v>
      </c>
      <c r="AD27" s="68">
        <f>('8_가정'!$F$108+'8_가정'!$F$109)</f>
        <v>689880.18775648</v>
      </c>
      <c r="AE27" s="68">
        <f>('8_가정'!$G$108+'8_가정'!$G$109)</f>
        <v>880393.933605717</v>
      </c>
      <c r="AF27" s="24">
        <f>O27+AB27+AC27+AD27+AE27</f>
        <v>2552295.5246902</v>
      </c>
    </row>
    <row r="28">
      <c r="A28" s="15" t="inlineStr">
        <is>
          <t>대손상각비</t>
        </is>
      </c>
      <c r="B28" s="7" t="inlineStr">
        <is>
          <t>매출 %</t>
        </is>
      </c>
      <c r="C28" s="69">
        <f>C8*'8_가정'!$C$104</f>
        <v>188.268</v>
      </c>
      <c r="D28" s="69">
        <f>D8*'8_가정'!$C$104</f>
        <v>144.56</v>
      </c>
      <c r="E28" s="69">
        <f>E8*'8_가정'!$C$104</f>
        <v>225.816</v>
      </c>
      <c r="F28" s="69">
        <f>F8*'8_가정'!$C$104</f>
        <v>43.74</v>
      </c>
      <c r="G28" s="69">
        <f>G8*'8_가정'!$C$104</f>
        <v>89.268</v>
      </c>
      <c r="H28" s="69">
        <f>H8*'8_가정'!$C$104</f>
        <v>205.812</v>
      </c>
      <c r="I28" s="69">
        <f>I8*'8_가정'!$C$104</f>
        <v>53.256</v>
      </c>
      <c r="J28" s="69">
        <f>J8*'8_가정'!$C$104</f>
        <v>31.704</v>
      </c>
      <c r="K28" s="69">
        <f>K8*'8_가정'!$C$104</f>
        <v>162.916</v>
      </c>
      <c r="L28" s="69">
        <f>L8*'8_가정'!$C$104</f>
        <v>713.3</v>
      </c>
      <c r="M28" s="69">
        <f>M8*'8_가정'!$C$104</f>
        <v>975.68</v>
      </c>
      <c r="N28" s="69">
        <f>N8*'8_가정'!$C$104</f>
        <v>1970.548</v>
      </c>
      <c r="O28" s="25">
        <f>SUM(C28:N28)</f>
        <v>4804.868</v>
      </c>
      <c r="P28" s="69">
        <f>P8*'8_가정'!$D$104</f>
        <v>2440.055</v>
      </c>
      <c r="Q28" s="69">
        <f>Q8*'8_가정'!$D$104</f>
        <v>2590.65</v>
      </c>
      <c r="R28" s="69">
        <f>R8*'8_가정'!$D$104</f>
        <v>3212.97</v>
      </c>
      <c r="S28" s="69">
        <f>S8*'8_가정'!$D$104</f>
        <v>3605.05</v>
      </c>
      <c r="T28" s="69">
        <f>T8*'8_가정'!$D$104</f>
        <v>3882.205</v>
      </c>
      <c r="U28" s="69">
        <f>U8*'8_가정'!$D$104</f>
        <v>4077.865</v>
      </c>
      <c r="V28" s="69">
        <f>V8*'8_가정'!$D$104</f>
        <v>4419.95</v>
      </c>
      <c r="W28" s="69">
        <f>W8*'8_가정'!$D$104</f>
        <v>4578.81</v>
      </c>
      <c r="X28" s="69">
        <f>X8*'8_가정'!$D$104</f>
        <v>4837.01</v>
      </c>
      <c r="Y28" s="69">
        <f>Y8*'8_가정'!$D$104</f>
        <v>5186.495</v>
      </c>
      <c r="Z28" s="69">
        <f>Z8*'8_가정'!$D$104</f>
        <v>5488.665</v>
      </c>
      <c r="AA28" s="69">
        <f>AA8*'8_가정'!$D$104</f>
        <v>5705.275</v>
      </c>
      <c r="AB28" s="25">
        <f>SUM(P28:AA28)</f>
        <v>50025</v>
      </c>
      <c r="AC28" s="68">
        <f>AC8*'8_가정'!$E$104</f>
        <v>165000</v>
      </c>
      <c r="AD28" s="68">
        <f>AD8*'8_가정'!$F$104</f>
        <v>350000</v>
      </c>
      <c r="AE28" s="68">
        <f>AE8*'8_가정'!$G$104</f>
        <v>780000</v>
      </c>
      <c r="AF28" s="24">
        <f>O28+AB28+AC28+AD28+AE28</f>
        <v>1349829.868</v>
      </c>
    </row>
    <row r="29">
      <c r="A29" s="15" t="inlineStr">
        <is>
          <t>기타 판관비</t>
        </is>
      </c>
      <c r="B29" s="7" t="inlineStr">
        <is>
          <t>매출 %</t>
        </is>
      </c>
      <c r="C29" s="69">
        <f>C8*'8_가정'!$C$105</f>
        <v>941.34</v>
      </c>
      <c r="D29" s="69">
        <f>D8*'8_가정'!$C$105</f>
        <v>722.8</v>
      </c>
      <c r="E29" s="69">
        <f>E8*'8_가정'!$C$105</f>
        <v>1129.08</v>
      </c>
      <c r="F29" s="69">
        <f>F8*'8_가정'!$C$105</f>
        <v>218.7</v>
      </c>
      <c r="G29" s="69">
        <f>G8*'8_가정'!$C$105</f>
        <v>446.34</v>
      </c>
      <c r="H29" s="69">
        <f>H8*'8_가정'!$C$105</f>
        <v>1029.06</v>
      </c>
      <c r="I29" s="69">
        <f>I8*'8_가정'!$C$105</f>
        <v>266.28</v>
      </c>
      <c r="J29" s="69">
        <f>J8*'8_가정'!$C$105</f>
        <v>158.52</v>
      </c>
      <c r="K29" s="69">
        <f>K8*'8_가정'!$C$105</f>
        <v>814.58</v>
      </c>
      <c r="L29" s="69">
        <f>L8*'8_가정'!$C$105</f>
        <v>3566.5</v>
      </c>
      <c r="M29" s="69">
        <f>M8*'8_가정'!$C$105</f>
        <v>4878.4</v>
      </c>
      <c r="N29" s="69">
        <f>N8*'8_가정'!$C$105</f>
        <v>9852.74</v>
      </c>
      <c r="O29" s="25">
        <f>SUM(C29:N29)</f>
        <v>24024.34</v>
      </c>
      <c r="P29" s="69">
        <f>P8*'8_가정'!$D$105</f>
        <v>14640.33</v>
      </c>
      <c r="Q29" s="69">
        <f>Q8*'8_가정'!$D$105</f>
        <v>15543.9</v>
      </c>
      <c r="R29" s="69">
        <f>R8*'8_가정'!$D$105</f>
        <v>19277.82</v>
      </c>
      <c r="S29" s="69">
        <f>S8*'8_가정'!$D$105</f>
        <v>21630.3</v>
      </c>
      <c r="T29" s="69">
        <f>T8*'8_가정'!$D$105</f>
        <v>23293.23</v>
      </c>
      <c r="U29" s="69">
        <f>U8*'8_가정'!$D$105</f>
        <v>24467.19</v>
      </c>
      <c r="V29" s="69">
        <f>V8*'8_가정'!$D$105</f>
        <v>26519.7</v>
      </c>
      <c r="W29" s="69">
        <f>W8*'8_가정'!$D$105</f>
        <v>27472.86</v>
      </c>
      <c r="X29" s="69">
        <f>X8*'8_가정'!$D$105</f>
        <v>29022.06</v>
      </c>
      <c r="Y29" s="69">
        <f>Y8*'8_가정'!$D$105</f>
        <v>31118.97</v>
      </c>
      <c r="Z29" s="69">
        <f>Z8*'8_가정'!$D$105</f>
        <v>32931.99</v>
      </c>
      <c r="AA29" s="69">
        <f>AA8*'8_가정'!$D$105</f>
        <v>34231.65</v>
      </c>
      <c r="AB29" s="25">
        <f>SUM(P29:AA29)</f>
        <v>300150</v>
      </c>
      <c r="AC29" s="68">
        <f>AC8*'8_가정'!$E$105</f>
        <v>858000</v>
      </c>
      <c r="AD29" s="68">
        <f>AD8*'8_가정'!$F$105</f>
        <v>1540000</v>
      </c>
      <c r="AE29" s="68">
        <f>AE8*'8_가정'!$G$105</f>
        <v>3744000</v>
      </c>
      <c r="AF29" s="24">
        <f>O29+AB29+AC29+AD29+AE29</f>
        <v>6466174.34</v>
      </c>
    </row>
    <row r="30">
      <c r="A30" s="12" t="inlineStr">
        <is>
          <t>판관비 합계</t>
        </is>
      </c>
      <c r="C30" s="28">
        <f>SUM(C19:C29)</f>
        <v>42410.472</v>
      </c>
      <c r="D30" s="28">
        <f>SUM(D19:D29)</f>
        <v>41230.356</v>
      </c>
      <c r="E30" s="28">
        <f>SUM(E19:E29)</f>
        <v>43424.268</v>
      </c>
      <c r="F30" s="28">
        <f>SUM(F19:F29)</f>
        <v>38508.216</v>
      </c>
      <c r="G30" s="28">
        <f>SUM(G19:G29)</f>
        <v>39737.472</v>
      </c>
      <c r="H30" s="28">
        <f>SUM(H19:H29)</f>
        <v>42884.16</v>
      </c>
      <c r="I30" s="28">
        <f>SUM(I19:I29)</f>
        <v>38765.148</v>
      </c>
      <c r="J30" s="28">
        <f>SUM(J19:J29)</f>
        <v>38183.244</v>
      </c>
      <c r="K30" s="28">
        <f>SUM(K19:K29)</f>
        <v>41725.968</v>
      </c>
      <c r="L30" s="28">
        <f>SUM(L19:L29)</f>
        <v>56586.336</v>
      </c>
      <c r="M30" s="28">
        <f>SUM(M19:M29)</f>
        <v>63670.596</v>
      </c>
      <c r="N30" s="28">
        <f>SUM(N19:N29)</f>
        <v>90532.032</v>
      </c>
      <c r="O30" s="29">
        <f>SUM(O19:O29)</f>
        <v>577658.268</v>
      </c>
      <c r="P30" s="28">
        <f>SUM(P19:P29)</f>
        <v>181314.221546667</v>
      </c>
      <c r="Q30" s="28">
        <f>SUM(Q19:Q29)</f>
        <v>190066.935546667</v>
      </c>
      <c r="R30" s="28">
        <f>SUM(R19:R29)</f>
        <v>212971.399546667</v>
      </c>
      <c r="S30" s="28">
        <f>SUM(S19:S29)</f>
        <v>228968.663546667</v>
      </c>
      <c r="T30" s="28">
        <f>SUM(T19:T29)</f>
        <v>241518.177546667</v>
      </c>
      <c r="U30" s="28">
        <f>SUM(U19:U29)</f>
        <v>251622.841546667</v>
      </c>
      <c r="V30" s="28">
        <f>SUM(V19:V29)</f>
        <v>266120.255546667</v>
      </c>
      <c r="W30" s="28">
        <f>SUM(W19:W29)</f>
        <v>275120.919546667</v>
      </c>
      <c r="X30" s="28">
        <f>SUM(X19:X29)</f>
        <v>287101.783546667</v>
      </c>
      <c r="Y30" s="28">
        <f>SUM(Y19:Y29)</f>
        <v>306056.061546667</v>
      </c>
      <c r="Z30" s="28">
        <f>SUM(Z19:Z29)</f>
        <v>323590.889546667</v>
      </c>
      <c r="AA30" s="28">
        <f>SUM(AA19:AA29)</f>
        <v>338558.917546667</v>
      </c>
      <c r="AB30" s="29">
        <f>SUM(AB19:AB29)</f>
        <v>3103011.06656</v>
      </c>
      <c r="AC30" s="30">
        <f>SUM(AC19:AC29)</f>
        <v>9343598.7026096</v>
      </c>
      <c r="AD30" s="30">
        <f>SUM(AD19:AD29)</f>
        <v>18308686.043434</v>
      </c>
      <c r="AE30" s="30">
        <f>SUM(AE19:AE29)</f>
        <v>38222595.3639206</v>
      </c>
      <c r="AF30" s="28">
        <f>SUM(AF19:AF29)</f>
        <v>69555549.4445242</v>
      </c>
    </row>
    <row r="31">
      <c r="A31" s="15" t="inlineStr">
        <is>
          <t>개발비 자본화액(판관비에서 제외, 무형자산 계상)</t>
        </is>
      </c>
      <c r="B31" s="7" t="inlineStr">
        <is>
          <t>급여·퇴직·복리 총액 × 자본화율</t>
        </is>
      </c>
      <c r="C31" s="69">
        <f>C61*(1+'8_가정'!$C$98)*C11</f>
        <v>19384.824</v>
      </c>
      <c r="D31" s="69">
        <f>D61*(1+'8_가정'!$C$98)*D11</f>
        <v>19384.824</v>
      </c>
      <c r="E31" s="69">
        <f>E61*(1+'8_가정'!$C$98)*E11</f>
        <v>19384.824</v>
      </c>
      <c r="F31" s="69">
        <f>F61*(1+'8_가정'!$C$98)*F11</f>
        <v>19384.824</v>
      </c>
      <c r="G31" s="69">
        <f>G61*(1+'8_가정'!$C$98)*G11</f>
        <v>19384.824</v>
      </c>
      <c r="H31" s="69">
        <f>H61*(1+'8_가정'!$C$98)*H11</f>
        <v>19384.824</v>
      </c>
      <c r="I31" s="69">
        <f>I61*(1+'8_가정'!$C$98)*I11</f>
        <v>19384.824</v>
      </c>
      <c r="J31" s="69">
        <f>J61*(1+'8_가정'!$C$98)*J11</f>
        <v>19384.824</v>
      </c>
      <c r="K31" s="69">
        <f>K61*(1+'8_가정'!$C$98)*K11</f>
        <v>19384.824</v>
      </c>
      <c r="L31" s="69">
        <f>L61*(1+'8_가정'!$C$98)*L11</f>
        <v>19384.824</v>
      </c>
      <c r="M31" s="69">
        <f>M61*(1+'8_가정'!$C$98)*M11</f>
        <v>19384.824</v>
      </c>
      <c r="N31" s="69">
        <f>N61*(1+'8_가정'!$C$98)*N11</f>
        <v>19384.824</v>
      </c>
      <c r="O31" s="25">
        <f>SUM(C31:N31)</f>
        <v>232617.888</v>
      </c>
      <c r="P31" s="69">
        <f>P61*(1+'8_가정'!$C$98)*P11</f>
        <v>11195.78872</v>
      </c>
      <c r="Q31" s="69">
        <f>Q61*(1+'8_가정'!$C$98)*Q11</f>
        <v>12254.50472</v>
      </c>
      <c r="R31" s="69">
        <f>R61*(1+'8_가정'!$C$98)*R11</f>
        <v>13313.22072</v>
      </c>
      <c r="S31" s="69">
        <f>S61*(1+'8_가정'!$C$98)*S11</f>
        <v>14371.93672</v>
      </c>
      <c r="T31" s="69">
        <f>T61*(1+'8_가정'!$C$98)*T11</f>
        <v>15430.65272</v>
      </c>
      <c r="U31" s="69">
        <f>U61*(1+'8_가정'!$C$98)*U11</f>
        <v>16489.36872</v>
      </c>
      <c r="V31" s="69">
        <f>V61*(1+'8_가정'!$C$98)*V11</f>
        <v>17548.08472</v>
      </c>
      <c r="W31" s="69">
        <f>W61*(1+'8_가정'!$C$98)*W11</f>
        <v>18606.80072</v>
      </c>
      <c r="X31" s="69">
        <f>X61*(1+'8_가정'!$C$98)*X11</f>
        <v>19665.51672</v>
      </c>
      <c r="Y31" s="69">
        <f>Y61*(1+'8_가정'!$C$98)*Y11</f>
        <v>21782.94872</v>
      </c>
      <c r="Z31" s="69">
        <f>Z61*(1+'8_가정'!$C$98)*Z11</f>
        <v>23900.38072</v>
      </c>
      <c r="AA31" s="69">
        <f>AA61*(1+'8_가정'!$C$98)*AA11</f>
        <v>26017.81272</v>
      </c>
      <c r="AB31" s="25">
        <f>SUM(P31:AA31)</f>
        <v>210577.01664</v>
      </c>
      <c r="AC31" s="68">
        <f>AC61*(1+'8_가정'!$C$98)*AC11</f>
        <v>359058.9221424</v>
      </c>
      <c r="AD31" s="68">
        <f>AD61*(1+'8_가정'!$C$98)*AD11</f>
        <v>352568.729246184</v>
      </c>
      <c r="AE31" s="68">
        <f>AE61*(1+'8_가정'!$C$98)*AE11</f>
        <v>632115.864753417</v>
      </c>
      <c r="AF31" s="24">
        <f>O31+AB31+AC31+AD31+AE31</f>
        <v>1786938.420782</v>
      </c>
    </row>
    <row r="32">
      <c r="A32" s="3" t="inlineStr">
        <is>
          <t>D. 영업외손익</t>
        </is>
      </c>
    </row>
    <row r="33">
      <c r="A33" s="15" t="inlineStr">
        <is>
          <t>정부보조금수익</t>
        </is>
      </c>
      <c r="B33" s="7" t="inlineStr">
        <is>
          <t>8_가정</t>
        </is>
      </c>
      <c r="C33" s="69">
        <f>IFERROR(C24*('8_가정'!$C$115-'8_가정'!$C$117)/O24,0)+'8_가정'!$C$117/12</f>
        <v>4564.01166666667</v>
      </c>
      <c r="D33" s="69">
        <f>IFERROR(D24*('8_가정'!$C$115-'8_가정'!$C$117)/O24,0)+'8_가정'!$C$117/12</f>
        <v>4181.56666666667</v>
      </c>
      <c r="E33" s="69">
        <f>IFERROR(E24*('8_가정'!$C$115-'8_가정'!$C$117)/O24,0)+'8_가정'!$C$117/12</f>
        <v>4892.55666666667</v>
      </c>
      <c r="F33" s="69">
        <f>IFERROR(F24*('8_가정'!$C$115-'8_가정'!$C$117)/O24,0)+'8_가정'!$C$117/12</f>
        <v>3299.39166666667</v>
      </c>
      <c r="G33" s="69">
        <f>IFERROR(G24*('8_가정'!$C$115-'8_가정'!$C$117)/O24,0)+'8_가정'!$C$117/12</f>
        <v>3697.76166666667</v>
      </c>
      <c r="H33" s="69">
        <f>IFERROR(H24*('8_가정'!$C$115-'8_가정'!$C$117)/O24,0)+'8_가정'!$C$117/12</f>
        <v>4717.52166666667</v>
      </c>
      <c r="I33" s="69">
        <f>IFERROR(I24*('8_가정'!$C$115-'8_가정'!$C$117)/O24,0)+'8_가정'!$C$117/12</f>
        <v>3382.65666666667</v>
      </c>
      <c r="J33" s="69">
        <f>IFERROR(J24*('8_가정'!$C$115-'8_가정'!$C$117)/O24,0)+'8_가정'!$C$117/12</f>
        <v>3194.07666666667</v>
      </c>
      <c r="K33" s="69">
        <f>IFERROR(K24*('8_가정'!$C$115-'8_가정'!$C$117)/O24,0)+'8_가정'!$C$117/12</f>
        <v>4342.18166666667</v>
      </c>
      <c r="L33" s="69">
        <f>IFERROR(L24*('8_가정'!$C$115-'8_가정'!$C$117)/O24,0)+'8_가정'!$C$117/12</f>
        <v>9158.04166666667</v>
      </c>
      <c r="M33" s="69">
        <f>IFERROR(M24*('8_가정'!$C$115-'8_가정'!$C$117)/O24,0)+'8_가정'!$C$117/12</f>
        <v>11453.8666666667</v>
      </c>
      <c r="N33" s="69">
        <f>IFERROR(N24*('8_가정'!$C$115-'8_가정'!$C$117)/O24,0)+'8_가정'!$C$117/12</f>
        <v>20158.9616666667</v>
      </c>
      <c r="O33" s="25">
        <f>SUM(C33:N33)</f>
        <v>77042.595</v>
      </c>
      <c r="P33" s="69">
        <f>'8_가정'!$D$115/12</f>
        <v>25000</v>
      </c>
      <c r="Q33" s="69">
        <f>'8_가정'!$D$115/12</f>
        <v>25000</v>
      </c>
      <c r="R33" s="69">
        <f>'8_가정'!$D$115/12</f>
        <v>25000</v>
      </c>
      <c r="S33" s="69">
        <f>'8_가정'!$D$115/12</f>
        <v>25000</v>
      </c>
      <c r="T33" s="69">
        <f>'8_가정'!$D$115/12</f>
        <v>25000</v>
      </c>
      <c r="U33" s="69">
        <f>'8_가정'!$D$115/12</f>
        <v>25000</v>
      </c>
      <c r="V33" s="69">
        <f>'8_가정'!$D$115/12</f>
        <v>25000</v>
      </c>
      <c r="W33" s="69">
        <f>'8_가정'!$D$115/12</f>
        <v>25000</v>
      </c>
      <c r="X33" s="69">
        <f>'8_가정'!$D$115/12</f>
        <v>25000</v>
      </c>
      <c r="Y33" s="69">
        <f>'8_가정'!$D$115/12</f>
        <v>25000</v>
      </c>
      <c r="Z33" s="69">
        <f>'8_가정'!$D$115/12</f>
        <v>25000</v>
      </c>
      <c r="AA33" s="69">
        <f>'8_가정'!$D$115/12</f>
        <v>25000</v>
      </c>
      <c r="AB33" s="25">
        <f>SUM(P33:AA33)</f>
        <v>300000</v>
      </c>
      <c r="AC33" s="68">
        <f>'8_가정'!$E$115</f>
        <v>100000</v>
      </c>
      <c r="AD33" s="68">
        <f>'8_가정'!$F$115</f>
        <v>100000</v>
      </c>
      <c r="AE33" s="68">
        <f>'8_가정'!$G$115</f>
        <v>100000</v>
      </c>
      <c r="AF33" s="24">
        <f>O33+AB33+AC33+AD33+AE33</f>
        <v>677042.595</v>
      </c>
    </row>
    <row r="34">
      <c r="A34" s="15" t="inlineStr">
        <is>
          <t>이자비용</t>
        </is>
      </c>
      <c r="B34" s="7" t="inlineStr">
        <is>
          <t>평균 차입금 × 이자율</t>
        </is>
      </c>
      <c r="C34" s="44">
        <f>O37/12</f>
        <v>4799.086</v>
      </c>
      <c r="D34" s="44">
        <f>O37/12</f>
        <v>4799.086</v>
      </c>
      <c r="E34" s="44">
        <f>O37/12</f>
        <v>4799.086</v>
      </c>
      <c r="F34" s="44">
        <f>O37/12</f>
        <v>4799.086</v>
      </c>
      <c r="G34" s="44">
        <f>O37/12</f>
        <v>4799.086</v>
      </c>
      <c r="H34" s="44">
        <f>O37/12</f>
        <v>4799.086</v>
      </c>
      <c r="I34" s="44">
        <f>O37/12</f>
        <v>4799.086</v>
      </c>
      <c r="J34" s="44">
        <f>O37/12</f>
        <v>4799.086</v>
      </c>
      <c r="K34" s="44">
        <f>O37/12</f>
        <v>4799.086</v>
      </c>
      <c r="L34" s="44">
        <f>O37/12</f>
        <v>4799.086</v>
      </c>
      <c r="M34" s="44">
        <f>O37/12</f>
        <v>4799.086</v>
      </c>
      <c r="N34" s="44">
        <f>O37/12</f>
        <v>4799.086</v>
      </c>
      <c r="O34" s="25">
        <f>SUM(C34:N34)</f>
        <v>57589.032</v>
      </c>
      <c r="P34" s="44">
        <f>AB37/12</f>
        <v>6400</v>
      </c>
      <c r="Q34" s="44">
        <f>AB37/12</f>
        <v>6400</v>
      </c>
      <c r="R34" s="44">
        <f>AB37/12</f>
        <v>6400</v>
      </c>
      <c r="S34" s="44">
        <f>AB37/12</f>
        <v>6400</v>
      </c>
      <c r="T34" s="44">
        <f>AB37/12</f>
        <v>6400</v>
      </c>
      <c r="U34" s="44">
        <f>AB37/12</f>
        <v>6400</v>
      </c>
      <c r="V34" s="44">
        <f>AB37/12</f>
        <v>6400</v>
      </c>
      <c r="W34" s="44">
        <f>AB37/12</f>
        <v>6400</v>
      </c>
      <c r="X34" s="44">
        <f>AB37/12</f>
        <v>6400</v>
      </c>
      <c r="Y34" s="44">
        <f>AB37/12</f>
        <v>6400</v>
      </c>
      <c r="Z34" s="44">
        <f>AB37/12</f>
        <v>6400</v>
      </c>
      <c r="AA34" s="44">
        <f>AB37/12</f>
        <v>6400</v>
      </c>
      <c r="AB34" s="25">
        <f>SUM(P34:AA34)</f>
        <v>76800</v>
      </c>
      <c r="AC34" s="46">
        <f>AC37</f>
        <v>192000</v>
      </c>
      <c r="AD34" s="46">
        <f>AD37</f>
        <v>384000</v>
      </c>
      <c r="AE34" s="46">
        <f>AE37</f>
        <v>528000</v>
      </c>
      <c r="AF34" s="24">
        <f>O34+AB34+AC34+AD34+AE34</f>
        <v>1238389.032</v>
      </c>
    </row>
    <row r="35">
      <c r="A35" s="15" t="inlineStr">
        <is>
          <t>차입금 기말 잔액(입력)</t>
        </is>
      </c>
      <c r="B35" s="7" t="inlineStr">
        <is>
          <t>파란색 입력</t>
        </is>
      </c>
      <c r="O35" s="67" t="n">
        <v>1200000</v>
      </c>
      <c r="AB35" s="67" t="n">
        <v>2000000</v>
      </c>
      <c r="AC35" s="67" t="n">
        <v>6000000</v>
      </c>
      <c r="AD35" s="67" t="n">
        <v>10000000</v>
      </c>
      <c r="AE35" s="67" t="n">
        <v>12000000</v>
      </c>
    </row>
    <row r="36">
      <c r="A36" s="15" t="inlineStr">
        <is>
          <t>평균 차입금</t>
        </is>
      </c>
      <c r="B36" s="7" t="inlineStr"/>
      <c r="O36" s="76">
        <f>AVERAGE('8_가정'!$C$113,O35)</f>
        <v>1199771.5</v>
      </c>
      <c r="AB36" s="45">
        <f>AVERAGE(O35,AB35)</f>
        <v>1600000</v>
      </c>
      <c r="AC36" s="46">
        <f>AVERAGE(AB35,AC35)</f>
        <v>4000000</v>
      </c>
      <c r="AD36" s="46">
        <f>AVERAGE(AC35,AD35)</f>
        <v>8000000</v>
      </c>
      <c r="AE36" s="46">
        <f>AVERAGE(AD35,AE35)</f>
        <v>11000000</v>
      </c>
    </row>
    <row r="37">
      <c r="A37" s="15" t="inlineStr">
        <is>
          <t>연 이자비용(산출)</t>
        </is>
      </c>
      <c r="B37" s="7" t="inlineStr"/>
      <c r="O37" s="76">
        <f>O36*'8_가정'!$C$114</f>
        <v>57589.032</v>
      </c>
      <c r="AB37" s="76">
        <f>AB36*'8_가정'!$D$114</f>
        <v>76800</v>
      </c>
      <c r="AC37" s="68">
        <f>AC36*'8_가정'!$E$114</f>
        <v>192000</v>
      </c>
      <c r="AD37" s="68">
        <f>AD36*'8_가정'!$F$114</f>
        <v>384000</v>
      </c>
      <c r="AE37" s="68">
        <f>AE36*'8_가정'!$G$114</f>
        <v>528000</v>
      </c>
    </row>
    <row r="39">
      <c r="A39" s="3" t="inlineStr">
        <is>
          <t>E. 법인세 산출(연간) 및 월 배분</t>
        </is>
      </c>
    </row>
    <row r="40">
      <c r="A40" s="15" t="inlineStr">
        <is>
          <t>법인세차감전순이익</t>
        </is>
      </c>
      <c r="O40" s="76">
        <f>'2_손익계산서'!O58</f>
        <v>41411.2421000001</v>
      </c>
      <c r="AB40" s="76">
        <f>'2_손익계산서'!AB58</f>
        <v>1099403.13344</v>
      </c>
      <c r="AC40" s="68">
        <f>'2_손익계산서'!AC58</f>
        <v>3653980.9753904</v>
      </c>
      <c r="AD40" s="68">
        <f>'2_손익계산서'!AD58</f>
        <v>9379698.66016603</v>
      </c>
      <c r="AE40" s="68">
        <f>'2_손익계산서'!AE58</f>
        <v>25184897.760481</v>
      </c>
    </row>
    <row r="41">
      <c r="A41" s="15" t="inlineStr">
        <is>
          <t>이월결손금 기초</t>
        </is>
      </c>
      <c r="O41" s="76">
        <f>'8_가정'!$C$119</f>
        <v>3032082</v>
      </c>
      <c r="AB41" s="45">
        <f>O44</f>
        <v>2990670.7579</v>
      </c>
      <c r="AC41" s="46">
        <f>AB44</f>
        <v>1891267.62446</v>
      </c>
      <c r="AD41" s="46">
        <f>AC44</f>
        <v>0</v>
      </c>
      <c r="AE41" s="46">
        <f>AD44</f>
        <v>0</v>
      </c>
    </row>
    <row r="42">
      <c r="A42" s="15" t="inlineStr">
        <is>
          <t>이월결손금 공제</t>
        </is>
      </c>
      <c r="O42" s="76">
        <f>MIN(O41,MAX(0,O40)*'8_가정'!$C$120)</f>
        <v>41411.2421000001</v>
      </c>
      <c r="AB42" s="76">
        <f>MIN(AB41,MAX(0,AB40)*'8_가정'!$C$120)</f>
        <v>1099403.13344</v>
      </c>
      <c r="AC42" s="68">
        <f>MIN(AC41,MAX(0,AC40)*'8_가정'!$C$120)</f>
        <v>1891267.62446</v>
      </c>
      <c r="AD42" s="68">
        <f>MIN(AD41,MAX(0,AD40)*'8_가정'!$C$120)</f>
        <v>0</v>
      </c>
      <c r="AE42" s="68">
        <f>MIN(AE41,MAX(0,AE40)*'8_가정'!$C$120)</f>
        <v>0</v>
      </c>
    </row>
    <row r="43">
      <c r="A43" s="15" t="inlineStr">
        <is>
          <t>당기 결손 발생(가산)</t>
        </is>
      </c>
      <c r="O43" s="45">
        <f>MAX(0,-O40)</f>
        <v>0</v>
      </c>
      <c r="AB43" s="45">
        <f>MAX(0,-AB40)</f>
        <v>0</v>
      </c>
      <c r="AC43" s="46">
        <f>MAX(0,-AC40)</f>
        <v>0</v>
      </c>
      <c r="AD43" s="46">
        <f>MAX(0,-AD40)</f>
        <v>0</v>
      </c>
      <c r="AE43" s="46">
        <f>MAX(0,-AE40)</f>
        <v>0</v>
      </c>
    </row>
    <row r="44">
      <c r="A44" s="15" t="inlineStr">
        <is>
          <t>이월결손금 기말</t>
        </is>
      </c>
      <c r="O44" s="45">
        <f>O41-O42+O43</f>
        <v>2990670.7579</v>
      </c>
      <c r="AB44" s="45">
        <f>AB41-AB42+AB43</f>
        <v>1891267.62446</v>
      </c>
      <c r="AC44" s="46">
        <f>AC41-AC42+AC43</f>
        <v>0</v>
      </c>
      <c r="AD44" s="46">
        <f>AD41-AD42+AD43</f>
        <v>0</v>
      </c>
      <c r="AE44" s="46">
        <f>AE41-AE42+AE43</f>
        <v>0</v>
      </c>
    </row>
    <row r="45">
      <c r="A45" s="15" t="inlineStr">
        <is>
          <t>과세표준</t>
        </is>
      </c>
      <c r="O45" s="45">
        <f>MAX(0,O40)-O42</f>
        <v>0</v>
      </c>
      <c r="AB45" s="45">
        <f>MAX(0,AB40)-AB42</f>
        <v>0</v>
      </c>
      <c r="AC45" s="46">
        <f>MAX(0,AC40)-AC42</f>
        <v>1762713.3509304</v>
      </c>
      <c r="AD45" s="46">
        <f>MAX(0,AD40)-AD42</f>
        <v>9379698.66016603</v>
      </c>
      <c r="AE45" s="46">
        <f>MAX(0,AE40)-AE42</f>
        <v>25184897.760481</v>
      </c>
    </row>
    <row r="46">
      <c r="A46" s="15" t="inlineStr">
        <is>
          <t>산출세액(누진세율)</t>
        </is>
      </c>
      <c r="O46" s="76">
        <f>MIN(O45,'8_가정'!$C$121)*'8_가정'!$C$122+MAX(0,MIN(O45,'8_가정'!$D$121)-'8_가정'!$C$121)*'8_가정'!$D$122+MAX(0,MIN(O45,'8_가정'!$E$121)-'8_가정'!$D$121)*'8_가정'!$E$122+MAX(0,O45-'8_가정'!$E$121)*'8_가정'!$F$122</f>
        <v>0</v>
      </c>
      <c r="AB46" s="76">
        <f>MIN(AB45,'8_가정'!$C$121)*'8_가정'!$C$122+MAX(0,MIN(AB45,'8_가정'!$D$121)-'8_가정'!$C$121)*'8_가정'!$D$122+MAX(0,MIN(AB45,'8_가정'!$E$121)-'8_가정'!$D$121)*'8_가정'!$E$122+MAX(0,AB45-'8_가정'!$E$121)*'8_가정'!$F$122</f>
        <v>0</v>
      </c>
      <c r="AC46" s="68">
        <f>MIN(AC45,'8_가정'!$C$121)*'8_가정'!$C$122+MAX(0,MIN(AC45,'8_가정'!$D$121)-'8_가정'!$C$121)*'8_가정'!$D$122+MAX(0,MIN(AC45,'8_가정'!$E$121)-'8_가정'!$D$121)*'8_가정'!$E$122+MAX(0,AC45-'8_가정'!$E$121)*'8_가정'!$F$122</f>
        <v>332542.67018608</v>
      </c>
      <c r="AD46" s="68">
        <f>MIN(AD45,'8_가정'!$C$121)*'8_가정'!$C$122+MAX(0,MIN(AD45,'8_가정'!$D$121)-'8_가정'!$C$121)*'8_가정'!$D$122+MAX(0,MIN(AD45,'8_가정'!$E$121)-'8_가정'!$D$121)*'8_가정'!$E$122+MAX(0,AD45-'8_가정'!$E$121)*'8_가정'!$F$122</f>
        <v>1855939.73203321</v>
      </c>
      <c r="AE46" s="68">
        <f>MIN(AE45,'8_가정'!$C$121)*'8_가정'!$C$122+MAX(0,MIN(AE45,'8_가정'!$D$121)-'8_가정'!$C$121)*'8_가정'!$D$122+MAX(0,MIN(AE45,'8_가정'!$E$121)-'8_가정'!$D$121)*'8_가정'!$E$122+MAX(0,AE45-'8_가정'!$E$121)*'8_가정'!$F$122</f>
        <v>5120677.50730581</v>
      </c>
    </row>
    <row r="47">
      <c r="A47" s="15" t="inlineStr">
        <is>
          <t>지방소득세</t>
        </is>
      </c>
      <c r="O47" s="76">
        <f>O46*'8_가정'!$C$123</f>
        <v>0</v>
      </c>
      <c r="AB47" s="76">
        <f>AB46*'8_가정'!$C$123</f>
        <v>0</v>
      </c>
      <c r="AC47" s="68">
        <f>AC46*'8_가정'!$C$123</f>
        <v>33254.267018608</v>
      </c>
      <c r="AD47" s="68">
        <f>AD46*'8_가정'!$C$123</f>
        <v>185593.973203321</v>
      </c>
      <c r="AE47" s="68">
        <f>AE46*'8_가정'!$C$123</f>
        <v>512067.750730581</v>
      </c>
    </row>
    <row r="48">
      <c r="A48" s="12" t="inlineStr">
        <is>
          <t>법인세등</t>
        </is>
      </c>
      <c r="O48" s="25">
        <f>O46+O47</f>
        <v>0</v>
      </c>
      <c r="AB48" s="25">
        <f>AB46+AB47</f>
        <v>0</v>
      </c>
      <c r="AC48" s="26">
        <f>AC46+AC47</f>
        <v>365796.937204688</v>
      </c>
      <c r="AD48" s="26">
        <f>AD46+AD47</f>
        <v>2041533.70523653</v>
      </c>
      <c r="AE48" s="26">
        <f>AE46+AE47</f>
        <v>5632745.25803639</v>
      </c>
    </row>
    <row r="49">
      <c r="A49" s="15" t="inlineStr">
        <is>
          <t>법인세등(월 배분: 매출 비중)</t>
        </is>
      </c>
      <c r="C49" s="69">
        <f>IFERROR(O48*'2_손익계산서'!C19/'2_손익계산서'!O19,0)</f>
        <v>0</v>
      </c>
      <c r="D49" s="69">
        <f>IFERROR(O48*'2_손익계산서'!D19/'2_손익계산서'!O19,0)</f>
        <v>0</v>
      </c>
      <c r="E49" s="69">
        <f>IFERROR(O48*'2_손익계산서'!E19/'2_손익계산서'!O19,0)</f>
        <v>0</v>
      </c>
      <c r="F49" s="69">
        <f>IFERROR(O48*'2_손익계산서'!F19/'2_손익계산서'!O19,0)</f>
        <v>0</v>
      </c>
      <c r="G49" s="69">
        <f>IFERROR(O48*'2_손익계산서'!G19/'2_손익계산서'!O19,0)</f>
        <v>0</v>
      </c>
      <c r="H49" s="69">
        <f>IFERROR(O48*'2_손익계산서'!H19/'2_손익계산서'!O19,0)</f>
        <v>0</v>
      </c>
      <c r="I49" s="69">
        <f>IFERROR(O48*'2_손익계산서'!I19/'2_손익계산서'!O19,0)</f>
        <v>0</v>
      </c>
      <c r="J49" s="69">
        <f>IFERROR(O48*'2_손익계산서'!J19/'2_손익계산서'!O19,0)</f>
        <v>0</v>
      </c>
      <c r="K49" s="69">
        <f>IFERROR(O48*'2_손익계산서'!K19/'2_손익계산서'!O19,0)</f>
        <v>0</v>
      </c>
      <c r="L49" s="69">
        <f>IFERROR(O48*'2_손익계산서'!L19/'2_손익계산서'!O19,0)</f>
        <v>0</v>
      </c>
      <c r="M49" s="69">
        <f>IFERROR(O48*'2_손익계산서'!M19/'2_손익계산서'!O19,0)</f>
        <v>0</v>
      </c>
      <c r="N49" s="69">
        <f>IFERROR(O48*'2_손익계산서'!N19/'2_손익계산서'!O19,0)</f>
        <v>0</v>
      </c>
      <c r="O49" s="25">
        <f>SUM(C49:N49)</f>
        <v>0</v>
      </c>
      <c r="P49" s="69">
        <f>IFERROR(AB48*'2_손익계산서'!P19/'2_손익계산서'!AB19,0)</f>
        <v>0</v>
      </c>
      <c r="Q49" s="69">
        <f>IFERROR(AB48*'2_손익계산서'!Q19/'2_손익계산서'!AB19,0)</f>
        <v>0</v>
      </c>
      <c r="R49" s="69">
        <f>IFERROR(AB48*'2_손익계산서'!R19/'2_손익계산서'!AB19,0)</f>
        <v>0</v>
      </c>
      <c r="S49" s="69">
        <f>IFERROR(AB48*'2_손익계산서'!S19/'2_손익계산서'!AB19,0)</f>
        <v>0</v>
      </c>
      <c r="T49" s="69">
        <f>IFERROR(AB48*'2_손익계산서'!T19/'2_손익계산서'!AB19,0)</f>
        <v>0</v>
      </c>
      <c r="U49" s="69">
        <f>IFERROR(AB48*'2_손익계산서'!U19/'2_손익계산서'!AB19,0)</f>
        <v>0</v>
      </c>
      <c r="V49" s="69">
        <f>IFERROR(AB48*'2_손익계산서'!V19/'2_손익계산서'!AB19,0)</f>
        <v>0</v>
      </c>
      <c r="W49" s="69">
        <f>IFERROR(AB48*'2_손익계산서'!W19/'2_손익계산서'!AB19,0)</f>
        <v>0</v>
      </c>
      <c r="X49" s="69">
        <f>IFERROR(AB48*'2_손익계산서'!X19/'2_손익계산서'!AB19,0)</f>
        <v>0</v>
      </c>
      <c r="Y49" s="69">
        <f>IFERROR(AB48*'2_손익계산서'!Y19/'2_손익계산서'!AB19,0)</f>
        <v>0</v>
      </c>
      <c r="Z49" s="69">
        <f>IFERROR(AB48*'2_손익계산서'!Z19/'2_손익계산서'!AB19,0)</f>
        <v>0</v>
      </c>
      <c r="AA49" s="69">
        <f>IFERROR(AB48*'2_손익계산서'!AA19/'2_손익계산서'!AB19,0)</f>
        <v>0</v>
      </c>
      <c r="AB49" s="25">
        <f>SUM(P49:AA49)</f>
        <v>0</v>
      </c>
      <c r="AC49" s="46">
        <f>AC48</f>
        <v>365796.937204688</v>
      </c>
      <c r="AD49" s="46">
        <f>AD48</f>
        <v>2041533.70523653</v>
      </c>
      <c r="AE49" s="46">
        <f>AE48</f>
        <v>5632745.25803639</v>
      </c>
      <c r="AF49" s="24">
        <f>O49+AB49+AC49+AD49+AE49</f>
        <v>8040075.90047761</v>
      </c>
    </row>
    <row r="50">
      <c r="A50" s="53" t="inlineStr">
        <is>
          <t>※ 법인세는 연간 세전이익 기준으로 산출하고(이월결손금 공제 후 누진세율 + 지방소득세) 월별로는 매출 비중으로 배분합니다. 세액공제·최저한세·이연법인세는 미반영.</t>
        </is>
      </c>
    </row>
    <row r="51">
      <c r="A51" s="3" t="inlineStr">
        <is>
          <t>F. 참고: 운전자본 소요(손익 외 추정) — 차입금·증자 필요성 가늠용</t>
        </is>
      </c>
    </row>
    <row r="52">
      <c r="A52" s="53" t="inlineStr">
        <is>
          <t>※ 운전자본은 손익계산서 범위 밖의 참고 추정입니다. 순운전자본 증가분은 영업이익·차입·증자로 조달하는 것으로 가정합니다(차입금 가정은 위 D절 참조).</t>
        </is>
      </c>
    </row>
    <row r="53">
      <c r="A53" s="15" t="inlineStr">
        <is>
          <t>매출채권(매출 × 회전일수/365)</t>
        </is>
      </c>
      <c r="O53" s="76">
        <f>O8*'8_가정'!$C$124/365</f>
        <v>197460.328767123</v>
      </c>
      <c r="AB53" s="76">
        <f>AB8*'8_가정'!$C$124/365</f>
        <v>1644657.53424658</v>
      </c>
      <c r="AC53" s="68">
        <f>AC8*'8_가정'!$C$124/365</f>
        <v>5424657.53424658</v>
      </c>
      <c r="AD53" s="68">
        <f>AD8*'8_가정'!$C$124/365</f>
        <v>11506849.3150685</v>
      </c>
      <c r="AE53" s="68">
        <f>AE8*'8_가정'!$C$124/365</f>
        <v>25643835.6164384</v>
      </c>
    </row>
    <row r="54">
      <c r="A54" s="15" t="inlineStr">
        <is>
          <t>재고자산(매출원가 × 회전일수/365)</t>
        </is>
      </c>
      <c r="O54" s="76">
        <f>'2_손익계산서'!O33*'8_가정'!$C$125/365</f>
        <v>98893.3237643836</v>
      </c>
      <c r="AB54" s="76">
        <f>'2_손익계산서'!AB33*'8_가정'!$C$125/365</f>
        <v>990540.131506849</v>
      </c>
      <c r="AC54" s="68">
        <f>'2_손익계산서'!AC33*'8_가정'!$C$125/365</f>
        <v>3272945.80635616</v>
      </c>
      <c r="AD54" s="68">
        <f>'2_손익계산서'!AD33*'8_가정'!$C$125/365</f>
        <v>6908649.08981918</v>
      </c>
      <c r="AE54" s="68">
        <f>'2_손익계산서'!AE33*'8_가정'!$C$125/365</f>
        <v>15150329.8973586</v>
      </c>
    </row>
    <row r="55">
      <c r="A55" s="15" t="inlineStr">
        <is>
          <t>매입채무(매출원가 × 회전일수/365)</t>
        </is>
      </c>
      <c r="O55" s="76">
        <f>'2_손익계산서'!O33*'8_가정'!$C$126/365</f>
        <v>74169.9928232877</v>
      </c>
      <c r="AB55" s="76">
        <f>'2_손익계산서'!AB33*'8_가정'!$C$126/365</f>
        <v>742905.098630137</v>
      </c>
      <c r="AC55" s="68">
        <f>'2_손익계산서'!AC33*'8_가정'!$C$126/365</f>
        <v>2454709.35476712</v>
      </c>
      <c r="AD55" s="68">
        <f>'2_손익계산서'!AD33*'8_가정'!$C$126/365</f>
        <v>5181486.81736438</v>
      </c>
      <c r="AE55" s="68">
        <f>'2_손익계산서'!AE33*'8_가정'!$C$126/365</f>
        <v>11362747.423019</v>
      </c>
    </row>
    <row r="56">
      <c r="A56" s="12" t="inlineStr">
        <is>
          <t>순운전자본(매출채권 + 재고 − 매입채무)</t>
        </is>
      </c>
      <c r="O56" s="29">
        <f>O53+O54-O55</f>
        <v>222183.659708219</v>
      </c>
      <c r="AB56" s="29">
        <f>AB53+AB54-AB55</f>
        <v>1892292.56712329</v>
      </c>
      <c r="AC56" s="30">
        <f>AC53+AC54-AC55</f>
        <v>6242893.98583562</v>
      </c>
      <c r="AD56" s="30">
        <f>AD53+AD54-AD55</f>
        <v>13234011.5875233</v>
      </c>
      <c r="AE56" s="30">
        <f>AE53+AE54-AE55</f>
        <v>29431418.090778</v>
      </c>
    </row>
    <row r="57">
      <c r="A57" s="15" t="inlineStr">
        <is>
          <t>순운전자본 증가(현금 유출)</t>
        </is>
      </c>
      <c r="O57" s="76">
        <f>O56-('3_연간손익'!$C$7*'8_가정'!$C$124/365+'3_연간손익'!$C$9*('8_가정'!$C$125-'8_가정'!$C$126)/365)</f>
        <v>65305.0267767123</v>
      </c>
      <c r="AB57" s="45">
        <f>AB56-O56</f>
        <v>1670108.90741507</v>
      </c>
      <c r="AC57" s="46">
        <f>AC56-AB56</f>
        <v>4350601.41871233</v>
      </c>
      <c r="AD57" s="46">
        <f>AD56-AC56</f>
        <v>6991117.60168767</v>
      </c>
      <c r="AE57" s="46">
        <f>AE56-AD56</f>
        <v>16197406.5032547</v>
      </c>
    </row>
    <row r="58">
      <c r="A58" s="15" t="inlineStr">
        <is>
          <t>차입금 기말 ÷ 순운전자본</t>
        </is>
      </c>
      <c r="O58" s="94">
        <f>IFERROR(O35/O56,0)</f>
        <v>5.40093723172933</v>
      </c>
      <c r="AB58" s="94">
        <f>IFERROR(AB35/AB56,0)</f>
        <v>1.05691901704209</v>
      </c>
      <c r="AC58" s="95">
        <f>IFERROR(AC35/AC56,0)</f>
        <v>0.961092726164065</v>
      </c>
      <c r="AD58" s="95">
        <f>IFERROR(AD35/AD56,0)</f>
        <v>0.75562877770394</v>
      </c>
      <c r="AE58" s="95">
        <f>IFERROR(AE35/AE56,0)</f>
        <v>0.407727550299727</v>
      </c>
    </row>
    <row r="59">
      <c r="A59" s="3" t="inlineStr">
        <is>
          <t>G. 급여 총액 · 평균 급여 (급여·개발비 자본화 산출 근거)</t>
        </is>
      </c>
    </row>
    <row r="60">
      <c r="A60" s="15" t="inlineStr">
        <is>
          <t>평균 월 급여(대표 포함 블렌드, 천원)</t>
        </is>
      </c>
      <c r="B60" s="7" t="inlineStr">
        <is>
          <t>급여 총액 ÷ 비용 산정 인원</t>
        </is>
      </c>
      <c r="C60" s="96">
        <f>IFERROR(C61/C15/1,0)</f>
        <v>5674.71428571429</v>
      </c>
      <c r="D60" s="96">
        <f>IFERROR(D61/D15/1,0)</f>
        <v>5674.71428571429</v>
      </c>
      <c r="E60" s="96">
        <f>IFERROR(E61/E15/1,0)</f>
        <v>5674.71428571429</v>
      </c>
      <c r="F60" s="96">
        <f>IFERROR(F61/F15/1,0)</f>
        <v>5674.71428571429</v>
      </c>
      <c r="G60" s="96">
        <f>IFERROR(G61/G15/1,0)</f>
        <v>5674.71428571429</v>
      </c>
      <c r="H60" s="96">
        <f>IFERROR(H61/H15/1,0)</f>
        <v>5674.71428571429</v>
      </c>
      <c r="I60" s="96">
        <f>IFERROR(I61/I15/1,0)</f>
        <v>5674.71428571429</v>
      </c>
      <c r="J60" s="96">
        <f>IFERROR(J61/J15/1,0)</f>
        <v>5674.71428571429</v>
      </c>
      <c r="K60" s="96">
        <f>IFERROR(K61/K15/1,0)</f>
        <v>5674.71428571429</v>
      </c>
      <c r="L60" s="96">
        <f>IFERROR(L61/L15/1,0)</f>
        <v>5674.71428571429</v>
      </c>
      <c r="M60" s="96">
        <f>IFERROR(M61/M15/1,0)</f>
        <v>5674.71428571429</v>
      </c>
      <c r="N60" s="96">
        <f>IFERROR(N61/N15/1,0)</f>
        <v>5674.71428571429</v>
      </c>
      <c r="O60" s="97">
        <f>IFERROR(O61/O15/12,0)</f>
        <v>5674.71428571429</v>
      </c>
      <c r="P60" s="96">
        <f>IFERROR(P61/P15/1,0)</f>
        <v>5735.5475</v>
      </c>
      <c r="Q60" s="96">
        <f>IFERROR(Q61/Q15/1,0)</f>
        <v>5580.37555555556</v>
      </c>
      <c r="R60" s="96">
        <f>IFERROR(R61/R15/1,0)</f>
        <v>5456.238</v>
      </c>
      <c r="S60" s="96">
        <f>IFERROR(S61/S15/1,0)</f>
        <v>5354.67090909091</v>
      </c>
      <c r="T60" s="96">
        <f>IFERROR(T61/T15/1,0)</f>
        <v>5270.03166666667</v>
      </c>
      <c r="U60" s="96">
        <f>IFERROR(U61/U15/1,0)</f>
        <v>5198.41384615385</v>
      </c>
      <c r="V60" s="96">
        <f>IFERROR(V61/V15/1,0)</f>
        <v>5137.02714285714</v>
      </c>
      <c r="W60" s="96">
        <f>IFERROR(W61/W15/1,0)</f>
        <v>5083.82533333333</v>
      </c>
      <c r="X60" s="96">
        <f>IFERROR(X61/X15/1,0)</f>
        <v>5037.27375</v>
      </c>
      <c r="Y60" s="96">
        <f>IFERROR(Y61/Y15/1,0)</f>
        <v>4959.68777777778</v>
      </c>
      <c r="Z60" s="96">
        <f>IFERROR(Z61/Z15/1,0)</f>
        <v>4897.619</v>
      </c>
      <c r="AA60" s="96">
        <f>IFERROR(AA61/AA15/1,0)</f>
        <v>4846.83545454546</v>
      </c>
      <c r="AB60" s="97">
        <f>IFERROR(AB61/AB15/12,0)</f>
        <v>5137.02714285714</v>
      </c>
      <c r="AC60" s="98">
        <f>IFERROR(AC61/AC15/12,0)</f>
        <v>4584.27713271028</v>
      </c>
      <c r="AD60" s="98">
        <f>IFERROR(AD61/AD15/12,0)</f>
        <v>4480.47692522791</v>
      </c>
      <c r="AE60" s="98">
        <f>IFERROR(AE61/AE15/12,0)</f>
        <v>4428.44237602226</v>
      </c>
    </row>
    <row r="61">
      <c r="A61" s="15" t="inlineStr">
        <is>
          <t>급여 총액(자본화 전, 천원)</t>
        </is>
      </c>
      <c r="B61" s="7" t="inlineStr">
        <is>
          <t>대표 고정 + 직원·신규 채용</t>
        </is>
      </c>
      <c r="C61" s="69">
        <f>('8_가정'!$C$93+MIN(MAX(C15-1,0),'8_가정'!$C$97-1)*C16+MAX(0,C15-'8_가정'!$C$97)*C17)</f>
        <v>39723</v>
      </c>
      <c r="D61" s="69">
        <f>('8_가정'!$C$93+MIN(MAX(D15-1,0),'8_가정'!$C$97-1)*D16+MAX(0,D15-'8_가정'!$C$97)*D17)</f>
        <v>39723</v>
      </c>
      <c r="E61" s="69">
        <f>('8_가정'!$C$93+MIN(MAX(E15-1,0),'8_가정'!$C$97-1)*E16+MAX(0,E15-'8_가정'!$C$97)*E17)</f>
        <v>39723</v>
      </c>
      <c r="F61" s="69">
        <f>('8_가정'!$C$93+MIN(MAX(F15-1,0),'8_가정'!$C$97-1)*F16+MAX(0,F15-'8_가정'!$C$97)*F17)</f>
        <v>39723</v>
      </c>
      <c r="G61" s="69">
        <f>('8_가정'!$C$93+MIN(MAX(G15-1,0),'8_가정'!$C$97-1)*G16+MAX(0,G15-'8_가정'!$C$97)*G17)</f>
        <v>39723</v>
      </c>
      <c r="H61" s="69">
        <f>('8_가정'!$C$93+MIN(MAX(H15-1,0),'8_가정'!$C$97-1)*H16+MAX(0,H15-'8_가정'!$C$97)*H17)</f>
        <v>39723</v>
      </c>
      <c r="I61" s="69">
        <f>('8_가정'!$C$93+MIN(MAX(I15-1,0),'8_가정'!$C$97-1)*I16+MAX(0,I15-'8_가정'!$C$97)*I17)</f>
        <v>39723</v>
      </c>
      <c r="J61" s="69">
        <f>('8_가정'!$C$93+MIN(MAX(J15-1,0),'8_가정'!$C$97-1)*J16+MAX(0,J15-'8_가정'!$C$97)*J17)</f>
        <v>39723</v>
      </c>
      <c r="K61" s="69">
        <f>('8_가정'!$C$93+MIN(MAX(K15-1,0),'8_가정'!$C$97-1)*K16+MAX(0,K15-'8_가정'!$C$97)*K17)</f>
        <v>39723</v>
      </c>
      <c r="L61" s="69">
        <f>('8_가정'!$C$93+MIN(MAX(L15-1,0),'8_가정'!$C$97-1)*L16+MAX(0,L15-'8_가정'!$C$97)*L17)</f>
        <v>39723</v>
      </c>
      <c r="M61" s="69">
        <f>('8_가정'!$C$93+MIN(MAX(M15-1,0),'8_가정'!$C$97-1)*M16+MAX(0,M15-'8_가정'!$C$97)*M17)</f>
        <v>39723</v>
      </c>
      <c r="N61" s="69">
        <f>('8_가정'!$C$93+MIN(MAX(N15-1,0),'8_가정'!$C$97-1)*N16+MAX(0,N15-'8_가정'!$C$97)*N17)</f>
        <v>39723</v>
      </c>
      <c r="O61" s="25">
        <f>SUM(C61:N61)</f>
        <v>476676</v>
      </c>
      <c r="P61" s="69">
        <f>('8_가정'!$C$93+MIN(MAX(P15-1,0),'8_가정'!$C$97-1)*P16+MAX(0,P15-'8_가정'!$C$97)*P17)</f>
        <v>45884.38</v>
      </c>
      <c r="Q61" s="69">
        <f>('8_가정'!$C$93+MIN(MAX(Q15-1,0),'8_가정'!$C$97-1)*Q16+MAX(0,Q15-'8_가정'!$C$97)*Q17)</f>
        <v>50223.38</v>
      </c>
      <c r="R61" s="69">
        <f>('8_가정'!$C$93+MIN(MAX(R15-1,0),'8_가정'!$C$97-1)*R16+MAX(0,R15-'8_가정'!$C$97)*R17)</f>
        <v>54562.38</v>
      </c>
      <c r="S61" s="69">
        <f>('8_가정'!$C$93+MIN(MAX(S15-1,0),'8_가정'!$C$97-1)*S16+MAX(0,S15-'8_가정'!$C$97)*S17)</f>
        <v>58901.38</v>
      </c>
      <c r="T61" s="69">
        <f>('8_가정'!$C$93+MIN(MAX(T15-1,0),'8_가정'!$C$97-1)*T16+MAX(0,T15-'8_가정'!$C$97)*T17)</f>
        <v>63240.38</v>
      </c>
      <c r="U61" s="69">
        <f>('8_가정'!$C$93+MIN(MAX(U15-1,0),'8_가정'!$C$97-1)*U16+MAX(0,U15-'8_가정'!$C$97)*U17)</f>
        <v>67579.38</v>
      </c>
      <c r="V61" s="69">
        <f>('8_가정'!$C$93+MIN(MAX(V15-1,0),'8_가정'!$C$97-1)*V16+MAX(0,V15-'8_가정'!$C$97)*V17)</f>
        <v>71918.38</v>
      </c>
      <c r="W61" s="69">
        <f>('8_가정'!$C$93+MIN(MAX(W15-1,0),'8_가정'!$C$97-1)*W16+MAX(0,W15-'8_가정'!$C$97)*W17)</f>
        <v>76257.38</v>
      </c>
      <c r="X61" s="69">
        <f>('8_가정'!$C$93+MIN(MAX(X15-1,0),'8_가정'!$C$97-1)*X16+MAX(0,X15-'8_가정'!$C$97)*X17)</f>
        <v>80596.38</v>
      </c>
      <c r="Y61" s="69">
        <f>('8_가정'!$C$93+MIN(MAX(Y15-1,0),'8_가정'!$C$97-1)*Y16+MAX(0,Y15-'8_가정'!$C$97)*Y17)</f>
        <v>89274.38</v>
      </c>
      <c r="Z61" s="69">
        <f>('8_가정'!$C$93+MIN(MAX(Z15-1,0),'8_가정'!$C$97-1)*Z16+MAX(0,Z15-'8_가정'!$C$97)*Z17)</f>
        <v>97952.38</v>
      </c>
      <c r="AA61" s="69">
        <f>('8_가정'!$C$93+MIN(MAX(AA15-1,0),'8_가정'!$C$97-1)*AA16+MAX(0,AA15-'8_가정'!$C$97)*AA17)</f>
        <v>106630.38</v>
      </c>
      <c r="AB61" s="25">
        <f>SUM(P61:AA61)</f>
        <v>863020.56</v>
      </c>
      <c r="AC61" s="68">
        <f>('8_가정'!$C$93+MIN(MAX(AC15-1,0),'8_가정'!$C$97-1)*AC16+MAX(0,AC15-'8_가정'!$C$97)*AC17)*12</f>
        <v>2943105.9192</v>
      </c>
      <c r="AD61" s="68">
        <f>('8_가정'!$C$93+MIN(MAX(AD15-1,0),'8_가정'!$C$97-1)*AD16+MAX(0,AD15-'8_가정'!$C$97)*AD17)*12</f>
        <v>5779815.233544</v>
      </c>
      <c r="AE61" s="68">
        <f>('8_가정'!$C$93+MIN(MAX(AE15-1,0),'8_가정'!$C$97-1)*AE16+MAX(0,AE15-'8_가정'!$C$97)*AE17)*12</f>
        <v>10362555.1598921</v>
      </c>
      <c r="AF61" s="24">
        <f>O61+AB61+AC61+AD61+AE61</f>
        <v>20425172.8726361</v>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BF9000"/>
    <outlinePr summaryBelow="1" summaryRight="1"/>
    <pageSetUpPr fitToPage="1"/>
  </sheetPr>
  <dimension ref="A1:I1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0" customWidth="1" min="1" max="1"/>
    <col width="44" customWidth="1" min="2" max="2"/>
    <col width="12" customWidth="1" min="3" max="3"/>
    <col width="12" customWidth="1" min="4" max="4"/>
    <col width="12" customWidth="1" min="5" max="5"/>
    <col width="12" customWidth="1" min="6" max="6"/>
    <col width="12" customWidth="1" min="7" max="7"/>
    <col width="12" customWidth="1" min="8" max="8"/>
    <col width="70" customWidth="1" min="9" max="9"/>
  </cols>
  <sheetData>
    <row r="1">
      <c r="A1" s="1" t="inlineStr">
        <is>
          <t>8_가정 — 모델 가정</t>
        </is>
      </c>
    </row>
    <row r="2">
      <c r="A2" s="2" t="inlineStr">
        <is>
          <t>파란색 = 입력값 · 노란 배경 = 핵심 가정 · 검정/초록 = 수식. 단위: 천원(별도 표기 제외). 시나리오 선택은 1_요약!C4</t>
        </is>
      </c>
    </row>
    <row r="4">
      <c r="A4" s="99" t="inlineStr">
        <is>
          <t>1. IR 목표 · 환율 · 이용자 지표</t>
        </is>
      </c>
      <c r="B4" s="100" t="n"/>
      <c r="C4" s="100" t="n"/>
      <c r="D4" s="100" t="n"/>
      <c r="E4" s="100" t="n"/>
      <c r="F4" s="100" t="n"/>
      <c r="G4" s="100" t="n"/>
      <c r="H4" s="100" t="n"/>
      <c r="I4" s="100" t="n"/>
    </row>
    <row r="5">
      <c r="A5" s="22" t="inlineStr">
        <is>
          <t>구분</t>
        </is>
      </c>
      <c r="B5" s="22" t="inlineStr">
        <is>
          <t>설명</t>
        </is>
      </c>
      <c r="C5" s="22" t="n">
        <v>2026</v>
      </c>
      <c r="D5" s="22" t="n">
        <v>2027</v>
      </c>
      <c r="E5" s="22" t="n">
        <v>2028</v>
      </c>
      <c r="F5" s="22" t="n">
        <v>2029</v>
      </c>
      <c r="G5" s="22" t="n">
        <v>2030</v>
      </c>
      <c r="H5" s="22" t="inlineStr"/>
      <c r="I5" s="22" t="inlineStr">
        <is>
          <t>근거 · 비고</t>
        </is>
      </c>
    </row>
    <row r="6">
      <c r="A6" s="12" t="inlineStr">
        <is>
          <t>IR 매출 목표(천원)</t>
        </is>
      </c>
      <c r="B6" s="15" t="inlineStr">
        <is>
          <t>IR p.24 "2026–2030 글로벌 매출 전망"(백만원 → 천원)</t>
        </is>
      </c>
      <c r="C6" s="67" t="n">
        <v>1200000</v>
      </c>
      <c r="D6" s="67" t="n">
        <v>10005000</v>
      </c>
      <c r="E6" s="67" t="n">
        <v>33000000</v>
      </c>
      <c r="F6" s="67" t="n">
        <v>70000000</v>
      </c>
      <c r="G6" s="67" t="n">
        <v>156000000</v>
      </c>
      <c r="I6" s="101" t="inlineStr">
        <is>
          <t>IR 라벨 1,200 / 10,005 / 33,000 / 70,000 / 156,000을 백만원 단위로 해석. 2027 표(p.25) 합계는 10,302,040천원이며 차트(10,005)와의 차이 ≈ Sunway PoC 3.0억</t>
        </is>
      </c>
    </row>
    <row r="7">
      <c r="A7" s="15" t="inlineStr">
        <is>
          <t>USD/KRW</t>
        </is>
      </c>
      <c r="C7" s="102" t="n">
        <v>1400</v>
      </c>
      <c r="I7" s="101" t="inlineStr">
        <is>
          <t>IR p.35 고정 환율 1,400원/달러(2026-10-02 서울 종가 1,350.60). 참고용(계약 통화 환산 비교). 거래처 매출표는 건별 적용 환율(SGD 약 1,050·EUR 약 1,304 등)로 환산되어 본 환율과 다를 수 있음</t>
        </is>
      </c>
    </row>
    <row r="8">
      <c r="A8" s="15" t="inlineStr">
        <is>
          <t>SGD/KRW</t>
        </is>
      </c>
      <c r="C8" s="102" t="n">
        <v>1096</v>
      </c>
      <c r="I8" s="101" t="inlineStr">
        <is>
          <t>1,400원/달러 기준 교차환율(USD/SGD 1.277). 현물 약 1,057~1,060</t>
        </is>
      </c>
    </row>
    <row r="9">
      <c r="A9" s="15" t="inlineStr">
        <is>
          <t>JPY 100엔/KRW</t>
        </is>
      </c>
      <c r="C9" s="102" t="n">
        <v>888</v>
      </c>
      <c r="I9" s="101" t="inlineStr">
        <is>
          <t>1,400원/달러 기준(USD/JPY 157.6). 현물 856.76(2026-10-02)</t>
        </is>
      </c>
    </row>
    <row r="10">
      <c r="A10" s="15" t="inlineStr">
        <is>
          <t>EUR/KRW</t>
        </is>
      </c>
      <c r="C10" s="102" t="n">
        <v>1576</v>
      </c>
      <c r="I10" s="101" t="inlineStr">
        <is>
          <t>1,400원/달러 기준(EUR/USD 1.126). 현물 1,520.64(2026-10-02)</t>
        </is>
      </c>
    </row>
    <row r="11">
      <c r="A11" s="15" t="inlineStr">
        <is>
          <t>ARPU(천원/인/년)</t>
        </is>
      </c>
      <c r="B11" s="15" t="inlineStr">
        <is>
          <t>IR p.36: 기저귀 8만원 + 센서·모니터링 2만원 = 월 10만원</t>
        </is>
      </c>
      <c r="C11" s="67" t="n">
        <v>1200</v>
      </c>
    </row>
    <row r="12">
      <c r="A12" s="15" t="inlineStr">
        <is>
          <t>시설당 유료 이용자(명)</t>
        </is>
      </c>
      <c r="B12" s="15" t="inlineStr">
        <is>
          <t>IR p.36 시설 공급: 시설당 150명</t>
        </is>
      </c>
      <c r="C12" s="67" t="n">
        <v>150</v>
      </c>
    </row>
    <row r="13">
      <c r="A13" s="15" t="inlineStr">
        <is>
          <t>IR SOM 유료 이용자(명) / 도입 시설(곳)</t>
        </is>
      </c>
      <c r="B13" s="15" t="inlineStr">
        <is>
          <t>IR p.3·36: 25만 명(시설 1,000개×150 + 재가·유통 20채널×5,000)</t>
        </is>
      </c>
      <c r="C13" s="56" t="n">
        <v>250000</v>
      </c>
      <c r="D13" s="56" t="n">
        <v>1000</v>
      </c>
    </row>
    <row r="15">
      <c r="A15" s="99" t="inlineStr">
        <is>
          <t>2. 시나리오 정의 — S1 대비 매출 달성률(S1 100% · S2 80% · S3 60%)</t>
        </is>
      </c>
      <c r="B15" s="100" t="n"/>
      <c r="C15" s="100" t="n"/>
      <c r="D15" s="100" t="n"/>
      <c r="E15" s="100" t="n"/>
      <c r="F15" s="100" t="n"/>
      <c r="G15" s="100" t="n"/>
      <c r="H15" s="100" t="n"/>
      <c r="I15" s="100" t="n"/>
    </row>
    <row r="16">
      <c r="A16" s="22" t="inlineStr">
        <is>
          <t>구분</t>
        </is>
      </c>
      <c r="B16" s="22" t="inlineStr">
        <is>
          <t>설명</t>
        </is>
      </c>
      <c r="C16" s="22" t="inlineStr">
        <is>
          <t>S1 경영계획(100%)</t>
        </is>
      </c>
      <c r="D16" s="22" t="inlineStr">
        <is>
          <t>S2 기준(80%)</t>
        </is>
      </c>
      <c r="E16" s="22" t="inlineStr">
        <is>
          <t>S3 보수(60%)</t>
        </is>
      </c>
      <c r="F16" s="22" t="inlineStr"/>
      <c r="G16" s="22" t="inlineStr">
        <is>
          <t>선택값</t>
        </is>
      </c>
    </row>
    <row r="17" ht="36" customHeight="1">
      <c r="A17" s="15" t="inlineStr">
        <is>
          <t>매출 달성률(S1 대비) 2026</t>
        </is>
      </c>
      <c r="B17" s="15" t="inlineStr">
        <is>
          <t>해당 연도 매출 = S1 × 달성률(전 거래처 일률)</t>
        </is>
      </c>
      <c r="C17" s="103" t="n">
        <v>1</v>
      </c>
      <c r="D17" s="103" t="n">
        <v>0.8</v>
      </c>
      <c r="E17" s="103" t="n">
        <v>0.6</v>
      </c>
      <c r="G17" s="104">
        <f>INDEX(C17:E17,'1_요약'!$C$5)</f>
        <v>1</v>
      </c>
      <c r="I17" s="101" t="inlineStr">
        <is>
          <t>격차를 완만하게 설정: 시나리오 간 매출이 매년 정확히 S1의 100%/80%/60%가 되도록 거래처별 일률 계수를 적용합니다(확률·지연 가정 없음). 값을 바꾸면 전 시트가 연동됩니다.</t>
        </is>
      </c>
    </row>
    <row r="18">
      <c r="A18" s="15" t="inlineStr">
        <is>
          <t>매출 달성률(S1 대비) 2027</t>
        </is>
      </c>
      <c r="B18" s="15" t="inlineStr">
        <is>
          <t>해당 연도 매출 = S1 × 달성률(전 거래처 일률)</t>
        </is>
      </c>
      <c r="C18" s="103" t="n">
        <v>1</v>
      </c>
      <c r="D18" s="103" t="n">
        <v>0.8</v>
      </c>
      <c r="E18" s="103" t="n">
        <v>0.6</v>
      </c>
      <c r="G18" s="104">
        <f>INDEX(C18:E18,'1_요약'!$C$5)</f>
        <v>1</v>
      </c>
    </row>
    <row r="19">
      <c r="A19" s="15" t="inlineStr">
        <is>
          <t>매출 달성률(S1 대비) 2028</t>
        </is>
      </c>
      <c r="B19" s="15" t="inlineStr">
        <is>
          <t>해당 연도 매출 = S1 × 달성률(전 거래처 일률)</t>
        </is>
      </c>
      <c r="C19" s="103" t="n">
        <v>1</v>
      </c>
      <c r="D19" s="103" t="n">
        <v>0.8</v>
      </c>
      <c r="E19" s="103" t="n">
        <v>0.6</v>
      </c>
      <c r="G19" s="104">
        <f>INDEX(C19:E19,'1_요약'!$C$5)</f>
        <v>1</v>
      </c>
    </row>
    <row r="20">
      <c r="A20" s="15" t="inlineStr">
        <is>
          <t>매출 달성률(S1 대비) 2029</t>
        </is>
      </c>
      <c r="B20" s="15" t="inlineStr">
        <is>
          <t>해당 연도 매출 = S1 × 달성률(전 거래처 일률)</t>
        </is>
      </c>
      <c r="C20" s="103" t="n">
        <v>1</v>
      </c>
      <c r="D20" s="103" t="n">
        <v>0.8</v>
      </c>
      <c r="E20" s="103" t="n">
        <v>0.6</v>
      </c>
      <c r="G20" s="104">
        <f>INDEX(C20:E20,'1_요약'!$C$5)</f>
        <v>1</v>
      </c>
    </row>
    <row r="21">
      <c r="A21" s="15" t="inlineStr">
        <is>
          <t>매출 달성률(S1 대비) 2030</t>
        </is>
      </c>
      <c r="B21" s="15" t="inlineStr">
        <is>
          <t>해당 연도 매출 = S1 × 달성률(전 거래처 일률)</t>
        </is>
      </c>
      <c r="C21" s="103" t="n">
        <v>1</v>
      </c>
      <c r="D21" s="103" t="n">
        <v>0.8</v>
      </c>
      <c r="E21" s="103" t="n">
        <v>0.6</v>
      </c>
      <c r="G21" s="104">
        <f>INDEX(C21:E21,'1_요약'!$C$5)</f>
        <v>1</v>
      </c>
    </row>
    <row r="22">
      <c r="A22" s="15" t="inlineStr">
        <is>
          <t>실적 확정 마지막 월(2026, 월 번호)</t>
        </is>
      </c>
      <c r="B22" s="15" t="inlineStr">
        <is>
          <t>이 월까지는 시나리오 계수를 적용하지 않고 실적 그대로 반영</t>
        </is>
      </c>
      <c r="C22" s="105" t="n">
        <v>9</v>
      </c>
    </row>
    <row r="23" ht="36" customHeight="1">
      <c r="A23" s="15" t="inlineStr">
        <is>
          <t>2026 실적 이후 월(10~12월) 적용 계수(역산)</t>
        </is>
      </c>
      <c r="B23" s="15" t="inlineStr">
        <is>
          <t>(2026 달성률 × S1 연간 − 1~9월 실적) ÷ S1 10~12월</t>
        </is>
      </c>
      <c r="G23" s="106">
        <f>MAX(0,IFERROR(('8_가정'!$G$17*'4_매출_거래처'!$AV$46-SUMPRODUCT(('4_매출_거래처'!$X$6:$AI$6&lt;='8_가정'!$C$22)*'4_매출_거래처'!$X$46:$AI$46))/('4_매출_거래처'!$AV$46-SUMPRODUCT(('4_매출_거래처'!$X$6:$AI$6&lt;='8_가정'!$C$22)*'4_매출_거래처'!$X$46:$AI$46)),1))</f>
        <v>1</v>
      </c>
      <c r="I23" s="101" t="inlineStr">
        <is>
          <t>1~9월은 실적이라 시나리오와 무관 → 2026 연간 매출이 S1의 달성률(80%·60%)이 되도록 10~12월에 계수를 역산 적용(S1은 100%)</t>
        </is>
      </c>
    </row>
    <row r="24">
      <c r="A24" s="15" t="inlineStr">
        <is>
          <t>인건비 탄력도(매출 연동 비율)</t>
        </is>
      </c>
      <c r="B24" s="15" t="inlineStr">
        <is>
          <t>인원 = S1 인원 × (1 − 탄력도 + 탄력도 × 매출달성률)</t>
        </is>
      </c>
      <c r="C24" s="103" t="n">
        <v>0.75</v>
      </c>
    </row>
    <row r="26">
      <c r="A26" s="99" t="inlineStr">
        <is>
          <t>2b. 2028~2030 지역 구성 목표 — IR p.24 차트 막대 비중(측정치) 기준</t>
        </is>
      </c>
      <c r="B26" s="100" t="n"/>
      <c r="C26" s="100" t="n"/>
      <c r="D26" s="100" t="n"/>
      <c r="E26" s="100" t="n"/>
      <c r="F26" s="100" t="n"/>
      <c r="G26" s="100" t="n"/>
      <c r="H26" s="100" t="n"/>
      <c r="I26" s="100" t="n"/>
    </row>
    <row r="27">
      <c r="A27" s="22" t="inlineStr">
        <is>
          <t>구분</t>
        </is>
      </c>
      <c r="B27" s="22" t="inlineStr">
        <is>
          <t>설명</t>
        </is>
      </c>
      <c r="C27" s="22" t="n">
        <v>2026</v>
      </c>
      <c r="D27" s="22" t="n">
        <v>2027</v>
      </c>
      <c r="E27" s="22" t="n">
        <v>2028</v>
      </c>
      <c r="F27" s="22" t="n">
        <v>2029</v>
      </c>
      <c r="G27" s="22" t="n">
        <v>2030</v>
      </c>
      <c r="H27" s="22" t="inlineStr"/>
      <c r="I27" s="22" t="inlineStr">
        <is>
          <t>근거 · 비고</t>
        </is>
      </c>
    </row>
    <row r="28" ht="60" customHeight="1">
      <c r="A28" s="15" t="inlineStr">
        <is>
          <t>일본 배분 가중치(차트 비중, %)</t>
        </is>
      </c>
      <c r="B28" s="15" t="inlineStr">
        <is>
          <t>일본·미국·동남아·유럽 간 배분 가중치</t>
        </is>
      </c>
      <c r="E28" s="102" t="n">
        <v>44.3</v>
      </c>
      <c r="F28" s="102" t="n">
        <v>54.3</v>
      </c>
      <c r="G28" s="102" t="n">
        <v>45.8</v>
      </c>
      <c r="I28" s="101" t="inlineStr">
        <is>
          <t>지역 목표 = (IR 매출 × (1 − 삼성 비중) − 한국 지정 거래처 − 인도) × 지역 가중치 ÷ 가중치 합. 신규 파이프라인 코호트(4_매출_거래처 일본·동남아·유럽·미국 행) 2028~30 = 지역 목표 − 같은 지역 지정 거래처, 삼성 글로벌 채널 = IR × 삼성 비중. 차트 막대는 라벨과 높이가 일치하지 않아 비중만 사용</t>
        </is>
      </c>
    </row>
    <row r="29">
      <c r="A29" s="15" t="inlineStr">
        <is>
          <t>미국 배분 가중치(차트 비중, %)</t>
        </is>
      </c>
      <c r="B29" s="15" t="inlineStr">
        <is>
          <t>일본·미국·동남아·유럽 간 배분 가중치</t>
        </is>
      </c>
      <c r="E29" s="102" t="n">
        <v>18.1</v>
      </c>
      <c r="F29" s="102" t="n">
        <v>8.699999999999999</v>
      </c>
      <c r="G29" s="102" t="n">
        <v>26.7</v>
      </c>
    </row>
    <row r="30">
      <c r="A30" s="15" t="inlineStr">
        <is>
          <t>동남아·APAC 배분 가중치(차트 비중, %)</t>
        </is>
      </c>
      <c r="B30" s="15" t="inlineStr">
        <is>
          <t>일본·미국·동남아·유럽 간 배분 가중치</t>
        </is>
      </c>
      <c r="E30" s="102" t="n">
        <v>18.8</v>
      </c>
      <c r="F30" s="102" t="n">
        <v>13.6</v>
      </c>
      <c r="G30" s="102" t="n">
        <v>11.5</v>
      </c>
    </row>
    <row r="31">
      <c r="A31" s="15" t="inlineStr">
        <is>
          <t>유럽 배분 가중치(차트 비중, %)</t>
        </is>
      </c>
      <c r="B31" s="15" t="inlineStr">
        <is>
          <t>일본·미국·동남아·유럽 간 배분 가중치</t>
        </is>
      </c>
      <c r="E31" s="102" t="n">
        <v>7.4</v>
      </c>
      <c r="F31" s="102" t="n">
        <v>11.7</v>
      </c>
      <c r="G31" s="102" t="n">
        <v>9.9</v>
      </c>
    </row>
    <row r="32">
      <c r="A32" s="15" t="inlineStr">
        <is>
          <t>(참고) 차트상 한국 비중(%)</t>
        </is>
      </c>
      <c r="B32" s="15" t="inlineStr">
        <is>
          <t>한국은 거래처별 성장률 결과를 그대로 사용</t>
        </is>
      </c>
      <c r="E32" s="107" t="n">
        <v>11.4</v>
      </c>
      <c r="F32" s="107" t="n">
        <v>11.7</v>
      </c>
      <c r="G32" s="107" t="n">
        <v>6.1</v>
      </c>
    </row>
    <row r="33">
      <c r="A33" s="15" t="inlineStr">
        <is>
          <t>삼성 글로벌 채널 비중(IR 매출 대비)</t>
        </is>
      </c>
      <c r="B33" s="15" t="inlineStr">
        <is>
          <t>IR p.24: 2028 삼성 채널 글로벌 확장</t>
        </is>
      </c>
      <c r="E33" s="108" t="n">
        <v>0.08</v>
      </c>
      <c r="F33" s="108" t="n">
        <v>0.06</v>
      </c>
      <c r="G33" s="108" t="n">
        <v>0.05</v>
      </c>
    </row>
    <row r="35">
      <c r="A35" s="99" t="inlineStr">
        <is>
          <t>3. 제품별 매출원가율(매출 대비)</t>
        </is>
      </c>
      <c r="B35" s="100" t="n"/>
      <c r="C35" s="100" t="n"/>
      <c r="D35" s="100" t="n"/>
      <c r="E35" s="100" t="n"/>
      <c r="F35" s="100" t="n"/>
      <c r="G35" s="100" t="n"/>
      <c r="H35" s="100" t="n"/>
      <c r="I35" s="100" t="n"/>
    </row>
    <row r="36">
      <c r="A36" s="22" t="inlineStr">
        <is>
          <t>제품</t>
        </is>
      </c>
      <c r="B36" s="22" t="inlineStr">
        <is>
          <t>코드</t>
        </is>
      </c>
      <c r="C36" s="22" t="n">
        <v>2026</v>
      </c>
      <c r="D36" s="22" t="n">
        <v>2027</v>
      </c>
      <c r="E36" s="22" t="n">
        <v>2028</v>
      </c>
      <c r="F36" s="22" t="n">
        <v>2029</v>
      </c>
      <c r="G36" s="22" t="n">
        <v>2030</v>
      </c>
      <c r="H36" s="22" t="inlineStr"/>
      <c r="I36" s="22" t="inlineStr">
        <is>
          <t>근거 · 비고</t>
        </is>
      </c>
    </row>
    <row r="37">
      <c r="A37" s="15" t="inlineStr">
        <is>
          <t>스마트 기저귀(전용 기저귀·패드, 소모품)</t>
        </is>
      </c>
      <c r="B37" s="15" t="inlineStr">
        <is>
          <t>P1</t>
        </is>
      </c>
      <c r="C37" s="108" t="n">
        <v>0.54</v>
      </c>
      <c r="D37" s="108" t="n">
        <v>0.63</v>
      </c>
      <c r="E37" s="108" t="n">
        <v>0.635</v>
      </c>
      <c r="F37" s="108" t="n">
        <v>0.635</v>
      </c>
      <c r="G37" s="108" t="n">
        <v>0.635</v>
      </c>
      <c r="I37" s="101" t="inlineStr">
        <is>
          <t>2025 실적 GM 53%(매출총이익 4.53억/매출 8.54억). 소모품(기저귀) 비중 확대에 따라 2027~ 매출총이익률 약 40%(제품별 원가율 + 운영성 원가)로 보수적 설정. Hansoms 현물출자(최대 USD 448k 상당 제품 납품) 효과는 미반영</t>
        </is>
      </c>
    </row>
    <row r="38">
      <c r="A38" s="15" t="inlineStr">
        <is>
          <t>센서·BLE 게이트웨이(하드웨어)</t>
        </is>
      </c>
      <c r="B38" s="15" t="inlineStr">
        <is>
          <t>P2</t>
        </is>
      </c>
      <c r="C38" s="108" t="n">
        <v>0.46</v>
      </c>
      <c r="D38" s="108" t="n">
        <v>0.57</v>
      </c>
      <c r="E38" s="108" t="n">
        <v>0.5600000000000001</v>
      </c>
      <c r="F38" s="108" t="n">
        <v>0.55</v>
      </c>
      <c r="G38" s="108" t="n">
        <v>0.54</v>
      </c>
    </row>
    <row r="39">
      <c r="A39" s="15" t="inlineStr">
        <is>
          <t>앱·웹 모니터링 구독(SW·AI)</t>
        </is>
      </c>
      <c r="B39" s="15" t="inlineStr">
        <is>
          <t>P3</t>
        </is>
      </c>
      <c r="C39" s="108" t="n">
        <v>0.2</v>
      </c>
      <c r="D39" s="108" t="n">
        <v>0.24</v>
      </c>
      <c r="E39" s="108" t="n">
        <v>0.23</v>
      </c>
      <c r="F39" s="108" t="n">
        <v>0.22</v>
      </c>
      <c r="G39" s="108" t="n">
        <v>0.21</v>
      </c>
    </row>
    <row r="40">
      <c r="A40" s="15" t="inlineStr">
        <is>
          <t>바이탈 모니터링 센서(60GHz, 2026 Q4 출시)</t>
        </is>
      </c>
      <c r="B40" s="15" t="inlineStr">
        <is>
          <t>P4</t>
        </is>
      </c>
      <c r="C40" s="108" t="n">
        <v>0.6</v>
      </c>
      <c r="D40" s="108" t="n">
        <v>0.6</v>
      </c>
      <c r="E40" s="108" t="n">
        <v>0.58</v>
      </c>
      <c r="F40" s="108" t="n">
        <v>0.5600000000000001</v>
      </c>
      <c r="G40" s="108" t="n">
        <v>0.54</v>
      </c>
    </row>
    <row r="41">
      <c r="A41" s="15" t="inlineStr">
        <is>
          <t>스마트 욕창 케어(2027 출시)</t>
        </is>
      </c>
      <c r="B41" s="15" t="inlineStr">
        <is>
          <t>P5</t>
        </is>
      </c>
      <c r="C41" s="108" t="n">
        <v>0.6</v>
      </c>
      <c r="D41" s="108" t="n">
        <v>0.58</v>
      </c>
      <c r="E41" s="108" t="n">
        <v>0.57</v>
      </c>
      <c r="F41" s="108" t="n">
        <v>0.55</v>
      </c>
      <c r="G41" s="108" t="n">
        <v>0.53</v>
      </c>
    </row>
    <row r="42">
      <c r="A42" s="15" t="inlineStr">
        <is>
          <t>R&amp;D·PoC 용역</t>
        </is>
      </c>
      <c r="B42" s="15" t="inlineStr">
        <is>
          <t>P6</t>
        </is>
      </c>
      <c r="C42" s="108" t="n">
        <v>0.55</v>
      </c>
      <c r="D42" s="108" t="n">
        <v>0.55</v>
      </c>
      <c r="E42" s="108" t="n">
        <v>0.55</v>
      </c>
      <c r="F42" s="108" t="n">
        <v>0.55</v>
      </c>
      <c r="G42" s="108" t="n">
        <v>0.55</v>
      </c>
    </row>
    <row r="43">
      <c r="A43" s="15" t="inlineStr">
        <is>
          <t>운영성 매출원가(물류·관세·보증·클라우드)</t>
        </is>
      </c>
      <c r="B43" s="15" t="inlineStr">
        <is>
          <t>전체 매출 대비</t>
        </is>
      </c>
      <c r="C43" s="108" t="n">
        <v>0.015</v>
      </c>
      <c r="D43" s="108" t="n">
        <v>0.025</v>
      </c>
      <c r="E43" s="108" t="n">
        <v>0.03</v>
      </c>
      <c r="F43" s="108" t="n">
        <v>0.035</v>
      </c>
      <c r="G43" s="108" t="n">
        <v>0.035</v>
      </c>
    </row>
    <row r="45">
      <c r="A45" s="99" t="inlineStr">
        <is>
          <t>4. 거래처 유형별 제품 믹스(매출 대비 %, 프로파일 × 제품 × 연도)</t>
        </is>
      </c>
      <c r="B45" s="100" t="n"/>
      <c r="C45" s="100" t="n"/>
      <c r="D45" s="100" t="n"/>
      <c r="E45" s="100" t="n"/>
      <c r="F45" s="100" t="n"/>
      <c r="G45" s="100" t="n"/>
      <c r="H45" s="100" t="n"/>
      <c r="I45" s="100" t="n"/>
    </row>
    <row r="46">
      <c r="A46" s="22" t="inlineStr">
        <is>
          <t>프로파일|제품</t>
        </is>
      </c>
      <c r="B46" s="22" t="inlineStr">
        <is>
          <t>설명</t>
        </is>
      </c>
      <c r="C46" s="22" t="n">
        <v>2026</v>
      </c>
      <c r="D46" s="22" t="n">
        <v>2027</v>
      </c>
      <c r="E46" s="22" t="n">
        <v>2028</v>
      </c>
      <c r="F46" s="22" t="n">
        <v>2029</v>
      </c>
      <c r="G46" s="22" t="n">
        <v>2030</v>
      </c>
      <c r="H46" s="22" t="inlineStr"/>
      <c r="I46" s="22" t="inlineStr">
        <is>
          <t>근거 · 비고</t>
        </is>
      </c>
    </row>
    <row r="47">
      <c r="A47" s="15" t="inlineStr">
        <is>
          <t>SUB|P1</t>
        </is>
      </c>
      <c r="B47" s="15" t="inlineStr">
        <is>
          <t>정액 구독형(시설·정부·기관) — 스마트 기저귀(전용 기저귀·패드, 소모품)</t>
        </is>
      </c>
      <c r="C47" s="65" t="n">
        <v>0.8</v>
      </c>
      <c r="D47" s="65" t="n">
        <v>0.78</v>
      </c>
      <c r="E47" s="65" t="n">
        <v>0.74</v>
      </c>
      <c r="F47" s="65" t="n">
        <v>0.7</v>
      </c>
      <c r="G47" s="65" t="n">
        <v>0.67</v>
      </c>
    </row>
    <row r="48">
      <c r="A48" s="15" t="inlineStr">
        <is>
          <t>SUB|P2</t>
        </is>
      </c>
      <c r="B48" s="15" t="inlineStr">
        <is>
          <t>정액 구독형(시설·정부·기관) — 센서·BLE 게이트웨이(하드웨어)</t>
        </is>
      </c>
      <c r="C48" s="65" t="n">
        <v>0.08</v>
      </c>
      <c r="D48" s="65" t="n">
        <v>0.08</v>
      </c>
      <c r="E48" s="65" t="n">
        <v>0.08</v>
      </c>
      <c r="F48" s="65" t="n">
        <v>0.08</v>
      </c>
      <c r="G48" s="65" t="n">
        <v>0.08</v>
      </c>
    </row>
    <row r="49">
      <c r="A49" s="15" t="inlineStr">
        <is>
          <t>SUB|P3</t>
        </is>
      </c>
      <c r="B49" s="15" t="inlineStr">
        <is>
          <t>정액 구독형(시설·정부·기관) — 앱·웹 모니터링 구독(SW·AI)</t>
        </is>
      </c>
      <c r="C49" s="65" t="n">
        <v>0.12</v>
      </c>
      <c r="D49" s="65" t="n">
        <v>0.11</v>
      </c>
      <c r="E49" s="65" t="n">
        <v>0.12</v>
      </c>
      <c r="F49" s="65" t="n">
        <v>0.12</v>
      </c>
      <c r="G49" s="65" t="n">
        <v>0.12</v>
      </c>
    </row>
    <row r="50">
      <c r="A50" s="15" t="inlineStr">
        <is>
          <t>SUB|P4</t>
        </is>
      </c>
      <c r="B50" s="15" t="inlineStr">
        <is>
          <t>정액 구독형(시설·정부·기관) — 바이탈 모니터링 센서(60GHz, 2026 Q4 출시)</t>
        </is>
      </c>
      <c r="C50" s="65" t="n">
        <v>0</v>
      </c>
      <c r="D50" s="65" t="n">
        <v>0.03</v>
      </c>
      <c r="E50" s="65" t="n">
        <v>0.05</v>
      </c>
      <c r="F50" s="65" t="n">
        <v>0.07000000000000001</v>
      </c>
      <c r="G50" s="65" t="n">
        <v>0.09</v>
      </c>
    </row>
    <row r="51">
      <c r="A51" s="15" t="inlineStr">
        <is>
          <t>SUB|P5</t>
        </is>
      </c>
      <c r="B51" s="15" t="inlineStr">
        <is>
          <t>정액 구독형(시설·정부·기관) — 스마트 욕창 케어(2027 출시)</t>
        </is>
      </c>
      <c r="C51" s="65" t="n">
        <v>0</v>
      </c>
      <c r="D51" s="65" t="n">
        <v>0</v>
      </c>
      <c r="E51" s="65" t="n">
        <v>0.01</v>
      </c>
      <c r="F51" s="65" t="n">
        <v>0.03</v>
      </c>
      <c r="G51" s="65" t="n">
        <v>0.04</v>
      </c>
    </row>
    <row r="52">
      <c r="A52" s="15" t="inlineStr">
        <is>
          <t>SUB|P6</t>
        </is>
      </c>
      <c r="B52" s="15" t="inlineStr">
        <is>
          <t>정액 구독형(시설·정부·기관) — R&amp;D·PoC 용역</t>
        </is>
      </c>
      <c r="C52" s="65" t="n">
        <v>0</v>
      </c>
      <c r="D52" s="65" t="n">
        <v>0</v>
      </c>
      <c r="E52" s="65" t="n">
        <v>0</v>
      </c>
      <c r="F52" s="65" t="n">
        <v>0</v>
      </c>
      <c r="G52" s="65" t="n">
        <v>0</v>
      </c>
    </row>
    <row r="53">
      <c r="A53" s="15" t="inlineStr">
        <is>
          <t>NHIS|P1</t>
        </is>
      </c>
      <c r="B53" s="15" t="inlineStr">
        <is>
          <t>복지용구(기저귀센서 급여) — 센서·스티커 중심 — 스마트 기저귀(전용 기저귀·패드, 소모품)</t>
        </is>
      </c>
      <c r="C53" s="65" t="n">
        <v>0.35</v>
      </c>
      <c r="D53" s="65" t="n">
        <v>0.35</v>
      </c>
      <c r="E53" s="65" t="n">
        <v>0.33</v>
      </c>
      <c r="F53" s="65" t="n">
        <v>0.31</v>
      </c>
      <c r="G53" s="65" t="n">
        <v>0.3</v>
      </c>
    </row>
    <row r="54">
      <c r="A54" s="15" t="inlineStr">
        <is>
          <t>NHIS|P2</t>
        </is>
      </c>
      <c r="B54" s="15" t="inlineStr">
        <is>
          <t>복지용구(기저귀센서 급여) — 센서·스티커 중심 — 센서·BLE 게이트웨이(하드웨어)</t>
        </is>
      </c>
      <c r="C54" s="65" t="n">
        <v>0.5</v>
      </c>
      <c r="D54" s="65" t="n">
        <v>0.5</v>
      </c>
      <c r="E54" s="65" t="n">
        <v>0.48</v>
      </c>
      <c r="F54" s="65" t="n">
        <v>0.46</v>
      </c>
      <c r="G54" s="65" t="n">
        <v>0.45</v>
      </c>
    </row>
    <row r="55">
      <c r="A55" s="15" t="inlineStr">
        <is>
          <t>NHIS|P3</t>
        </is>
      </c>
      <c r="B55" s="15" t="inlineStr">
        <is>
          <t>복지용구(기저귀센서 급여) — 센서·스티커 중심 — 앱·웹 모니터링 구독(SW·AI)</t>
        </is>
      </c>
      <c r="C55" s="65" t="n">
        <v>0.15</v>
      </c>
      <c r="D55" s="65" t="n">
        <v>0.15</v>
      </c>
      <c r="E55" s="65" t="n">
        <v>0.15</v>
      </c>
      <c r="F55" s="65" t="n">
        <v>0.15</v>
      </c>
      <c r="G55" s="65" t="n">
        <v>0.15</v>
      </c>
    </row>
    <row r="56">
      <c r="A56" s="15" t="inlineStr">
        <is>
          <t>NHIS|P4</t>
        </is>
      </c>
      <c r="B56" s="15" t="inlineStr">
        <is>
          <t>복지용구(기저귀센서 급여) — 센서·스티커 중심 — 바이탈 모니터링 센서(60GHz, 2026 Q4 출시)</t>
        </is>
      </c>
      <c r="C56" s="65" t="n">
        <v>0</v>
      </c>
      <c r="D56" s="65" t="n">
        <v>0</v>
      </c>
      <c r="E56" s="65" t="n">
        <v>0.02</v>
      </c>
      <c r="F56" s="65" t="n">
        <v>0.04</v>
      </c>
      <c r="G56" s="65" t="n">
        <v>0.05</v>
      </c>
    </row>
    <row r="57">
      <c r="A57" s="15" t="inlineStr">
        <is>
          <t>NHIS|P5</t>
        </is>
      </c>
      <c r="B57" s="15" t="inlineStr">
        <is>
          <t>복지용구(기저귀센서 급여) — 센서·스티커 중심 — 스마트 욕창 케어(2027 출시)</t>
        </is>
      </c>
      <c r="C57" s="65" t="n">
        <v>0</v>
      </c>
      <c r="D57" s="65" t="n">
        <v>0</v>
      </c>
      <c r="E57" s="65" t="n">
        <v>0.02</v>
      </c>
      <c r="F57" s="65" t="n">
        <v>0.04</v>
      </c>
      <c r="G57" s="65" t="n">
        <v>0.05</v>
      </c>
    </row>
    <row r="58">
      <c r="A58" s="15" t="inlineStr">
        <is>
          <t>NHIS|P6</t>
        </is>
      </c>
      <c r="B58" s="15" t="inlineStr">
        <is>
          <t>복지용구(기저귀센서 급여) — 센서·스티커 중심 — R&amp;D·PoC 용역</t>
        </is>
      </c>
      <c r="C58" s="65" t="n">
        <v>0</v>
      </c>
      <c r="D58" s="65" t="n">
        <v>0</v>
      </c>
      <c r="E58" s="65" t="n">
        <v>0</v>
      </c>
      <c r="F58" s="65" t="n">
        <v>0</v>
      </c>
      <c r="G58" s="65" t="n">
        <v>0</v>
      </c>
    </row>
    <row r="59">
      <c r="A59" s="15" t="inlineStr">
        <is>
          <t>DIST|P1</t>
        </is>
      </c>
      <c r="B59" s="15" t="inlineStr">
        <is>
          <t>총판 공급형(소모품+센서) — 스마트 기저귀(전용 기저귀·패드, 소모품)</t>
        </is>
      </c>
      <c r="C59" s="65" t="n">
        <v>0.62</v>
      </c>
      <c r="D59" s="65" t="n">
        <v>0.62</v>
      </c>
      <c r="E59" s="65" t="n">
        <v>0.6</v>
      </c>
      <c r="F59" s="65" t="n">
        <v>0.58</v>
      </c>
      <c r="G59" s="65" t="n">
        <v>0.5600000000000001</v>
      </c>
    </row>
    <row r="60">
      <c r="A60" s="15" t="inlineStr">
        <is>
          <t>DIST|P2</t>
        </is>
      </c>
      <c r="B60" s="15" t="inlineStr">
        <is>
          <t>총판 공급형(소모품+센서) — 센서·BLE 게이트웨이(하드웨어)</t>
        </is>
      </c>
      <c r="C60" s="65" t="n">
        <v>0.28</v>
      </c>
      <c r="D60" s="65" t="n">
        <v>0.26</v>
      </c>
      <c r="E60" s="65" t="n">
        <v>0.24</v>
      </c>
      <c r="F60" s="65" t="n">
        <v>0.22</v>
      </c>
      <c r="G60" s="65" t="n">
        <v>0.2</v>
      </c>
    </row>
    <row r="61">
      <c r="A61" s="15" t="inlineStr">
        <is>
          <t>DIST|P3</t>
        </is>
      </c>
      <c r="B61" s="15" t="inlineStr">
        <is>
          <t>총판 공급형(소모품+센서) — 앱·웹 모니터링 구독(SW·AI)</t>
        </is>
      </c>
      <c r="C61" s="65" t="n">
        <v>0.1</v>
      </c>
      <c r="D61" s="65" t="n">
        <v>0.09</v>
      </c>
      <c r="E61" s="65" t="n">
        <v>0.1</v>
      </c>
      <c r="F61" s="65" t="n">
        <v>0.1</v>
      </c>
      <c r="G61" s="65" t="n">
        <v>0.1</v>
      </c>
    </row>
    <row r="62">
      <c r="A62" s="15" t="inlineStr">
        <is>
          <t>DIST|P4</t>
        </is>
      </c>
      <c r="B62" s="15" t="inlineStr">
        <is>
          <t>총판 공급형(소모품+센서) — 바이탈 모니터링 센서(60GHz, 2026 Q4 출시)</t>
        </is>
      </c>
      <c r="C62" s="65" t="n">
        <v>0</v>
      </c>
      <c r="D62" s="65" t="n">
        <v>0.03</v>
      </c>
      <c r="E62" s="65" t="n">
        <v>0.05</v>
      </c>
      <c r="F62" s="65" t="n">
        <v>0.07000000000000001</v>
      </c>
      <c r="G62" s="65" t="n">
        <v>0.09</v>
      </c>
    </row>
    <row r="63">
      <c r="A63" s="15" t="inlineStr">
        <is>
          <t>DIST|P5</t>
        </is>
      </c>
      <c r="B63" s="15" t="inlineStr">
        <is>
          <t>총판 공급형(소모품+센서) — 스마트 욕창 케어(2027 출시)</t>
        </is>
      </c>
      <c r="C63" s="65" t="n">
        <v>0</v>
      </c>
      <c r="D63" s="65" t="n">
        <v>0</v>
      </c>
      <c r="E63" s="65" t="n">
        <v>0.01</v>
      </c>
      <c r="F63" s="65" t="n">
        <v>0.03</v>
      </c>
      <c r="G63" s="65" t="n">
        <v>0.05</v>
      </c>
    </row>
    <row r="64">
      <c r="A64" s="15" t="inlineStr">
        <is>
          <t>DIST|P6</t>
        </is>
      </c>
      <c r="B64" s="15" t="inlineStr">
        <is>
          <t>총판 공급형(소모품+센서) — R&amp;D·PoC 용역</t>
        </is>
      </c>
      <c r="C64" s="65" t="n">
        <v>0</v>
      </c>
      <c r="D64" s="65" t="n">
        <v>0</v>
      </c>
      <c r="E64" s="65" t="n">
        <v>0</v>
      </c>
      <c r="F64" s="65" t="n">
        <v>0</v>
      </c>
      <c r="G64" s="65" t="n">
        <v>0</v>
      </c>
    </row>
    <row r="65">
      <c r="A65" s="15" t="inlineStr">
        <is>
          <t>BABY|P1</t>
        </is>
      </c>
      <c r="B65" s="15" t="inlineStr">
        <is>
          <t>베이비 B2C 구독 — 스마트 기저귀(전용 기저귀·패드, 소모품)</t>
        </is>
      </c>
      <c r="C65" s="65" t="n">
        <v>0.85</v>
      </c>
      <c r="D65" s="65" t="n">
        <v>0.85</v>
      </c>
      <c r="E65" s="65" t="n">
        <v>0.85</v>
      </c>
      <c r="F65" s="65" t="n">
        <v>0.85</v>
      </c>
      <c r="G65" s="65" t="n">
        <v>0.85</v>
      </c>
    </row>
    <row r="66">
      <c r="A66" s="15" t="inlineStr">
        <is>
          <t>BABY|P2</t>
        </is>
      </c>
      <c r="B66" s="15" t="inlineStr">
        <is>
          <t>베이비 B2C 구독 — 센서·BLE 게이트웨이(하드웨어)</t>
        </is>
      </c>
      <c r="C66" s="65" t="n">
        <v>0.05</v>
      </c>
      <c r="D66" s="65" t="n">
        <v>0.05</v>
      </c>
      <c r="E66" s="65" t="n">
        <v>0.05</v>
      </c>
      <c r="F66" s="65" t="n">
        <v>0.05</v>
      </c>
      <c r="G66" s="65" t="n">
        <v>0.05</v>
      </c>
    </row>
    <row r="67">
      <c r="A67" s="15" t="inlineStr">
        <is>
          <t>BABY|P3</t>
        </is>
      </c>
      <c r="B67" s="15" t="inlineStr">
        <is>
          <t>베이비 B2C 구독 — 앱·웹 모니터링 구독(SW·AI)</t>
        </is>
      </c>
      <c r="C67" s="65" t="n">
        <v>0.1</v>
      </c>
      <c r="D67" s="65" t="n">
        <v>0.1</v>
      </c>
      <c r="E67" s="65" t="n">
        <v>0.1</v>
      </c>
      <c r="F67" s="65" t="n">
        <v>0.1</v>
      </c>
      <c r="G67" s="65" t="n">
        <v>0.1</v>
      </c>
    </row>
    <row r="68">
      <c r="A68" s="15" t="inlineStr">
        <is>
          <t>BABY|P4</t>
        </is>
      </c>
      <c r="B68" s="15" t="inlineStr">
        <is>
          <t>베이비 B2C 구독 — 바이탈 모니터링 센서(60GHz, 2026 Q4 출시)</t>
        </is>
      </c>
      <c r="C68" s="65" t="n">
        <v>0</v>
      </c>
      <c r="D68" s="65" t="n">
        <v>0</v>
      </c>
      <c r="E68" s="65" t="n">
        <v>0</v>
      </c>
      <c r="F68" s="65" t="n">
        <v>0</v>
      </c>
      <c r="G68" s="65" t="n">
        <v>0</v>
      </c>
    </row>
    <row r="69">
      <c r="A69" s="15" t="inlineStr">
        <is>
          <t>BABY|P5</t>
        </is>
      </c>
      <c r="B69" s="15" t="inlineStr">
        <is>
          <t>베이비 B2C 구독 — 스마트 욕창 케어(2027 출시)</t>
        </is>
      </c>
      <c r="C69" s="65" t="n">
        <v>0</v>
      </c>
      <c r="D69" s="65" t="n">
        <v>0</v>
      </c>
      <c r="E69" s="65" t="n">
        <v>0</v>
      </c>
      <c r="F69" s="65" t="n">
        <v>0</v>
      </c>
      <c r="G69" s="65" t="n">
        <v>0</v>
      </c>
    </row>
    <row r="70">
      <c r="A70" s="15" t="inlineStr">
        <is>
          <t>BABY|P6</t>
        </is>
      </c>
      <c r="B70" s="15" t="inlineStr">
        <is>
          <t>베이비 B2C 구독 — R&amp;D·PoC 용역</t>
        </is>
      </c>
      <c r="C70" s="65" t="n">
        <v>0</v>
      </c>
      <c r="D70" s="65" t="n">
        <v>0</v>
      </c>
      <c r="E70" s="65" t="n">
        <v>0</v>
      </c>
      <c r="F70" s="65" t="n">
        <v>0</v>
      </c>
      <c r="G70" s="65" t="n">
        <v>0</v>
      </c>
    </row>
    <row r="71">
      <c r="A71" s="15" t="inlineStr">
        <is>
          <t>HWPROJ|P1</t>
        </is>
      </c>
      <c r="B71" s="15" t="inlineStr">
        <is>
          <t>병원 하드웨어 프로젝트(NHG) — 스마트 기저귀(전용 기저귀·패드, 소모품)</t>
        </is>
      </c>
      <c r="C71" s="65" t="n">
        <v>0</v>
      </c>
      <c r="D71" s="65" t="n">
        <v>0</v>
      </c>
      <c r="E71" s="65" t="n">
        <v>0</v>
      </c>
      <c r="F71" s="65" t="n">
        <v>0</v>
      </c>
      <c r="G71" s="65" t="n">
        <v>0</v>
      </c>
    </row>
    <row r="72">
      <c r="A72" s="15" t="inlineStr">
        <is>
          <t>HWPROJ|P2</t>
        </is>
      </c>
      <c r="B72" s="15" t="inlineStr">
        <is>
          <t>병원 하드웨어 프로젝트(NHG) — 센서·BLE 게이트웨이(하드웨어)</t>
        </is>
      </c>
      <c r="C72" s="65" t="n">
        <v>0.7</v>
      </c>
      <c r="D72" s="65" t="n">
        <v>0.7</v>
      </c>
      <c r="E72" s="65" t="n">
        <v>0.7</v>
      </c>
      <c r="F72" s="65" t="n">
        <v>0.7</v>
      </c>
      <c r="G72" s="65" t="n">
        <v>0.7</v>
      </c>
    </row>
    <row r="73">
      <c r="A73" s="15" t="inlineStr">
        <is>
          <t>HWPROJ|P3</t>
        </is>
      </c>
      <c r="B73" s="15" t="inlineStr">
        <is>
          <t>병원 하드웨어 프로젝트(NHG) — 앱·웹 모니터링 구독(SW·AI)</t>
        </is>
      </c>
      <c r="C73" s="65" t="n">
        <v>0.15</v>
      </c>
      <c r="D73" s="65" t="n">
        <v>0.15</v>
      </c>
      <c r="E73" s="65" t="n">
        <v>0.15</v>
      </c>
      <c r="F73" s="65" t="n">
        <v>0.15</v>
      </c>
      <c r="G73" s="65" t="n">
        <v>0.15</v>
      </c>
    </row>
    <row r="74">
      <c r="A74" s="15" t="inlineStr">
        <is>
          <t>HWPROJ|P4</t>
        </is>
      </c>
      <c r="B74" s="15" t="inlineStr">
        <is>
          <t>병원 하드웨어 프로젝트(NHG) — 바이탈 모니터링 센서(60GHz, 2026 Q4 출시)</t>
        </is>
      </c>
      <c r="C74" s="65" t="n">
        <v>0</v>
      </c>
      <c r="D74" s="65" t="n">
        <v>0</v>
      </c>
      <c r="E74" s="65" t="n">
        <v>0</v>
      </c>
      <c r="F74" s="65" t="n">
        <v>0</v>
      </c>
      <c r="G74" s="65" t="n">
        <v>0</v>
      </c>
    </row>
    <row r="75">
      <c r="A75" s="15" t="inlineStr">
        <is>
          <t>HWPROJ|P5</t>
        </is>
      </c>
      <c r="B75" s="15" t="inlineStr">
        <is>
          <t>병원 하드웨어 프로젝트(NHG) — 스마트 욕창 케어(2027 출시)</t>
        </is>
      </c>
      <c r="C75" s="65" t="n">
        <v>0</v>
      </c>
      <c r="D75" s="65" t="n">
        <v>0</v>
      </c>
      <c r="E75" s="65" t="n">
        <v>0</v>
      </c>
      <c r="F75" s="65" t="n">
        <v>0</v>
      </c>
      <c r="G75" s="65" t="n">
        <v>0</v>
      </c>
    </row>
    <row r="76">
      <c r="A76" s="15" t="inlineStr">
        <is>
          <t>HWPROJ|P6</t>
        </is>
      </c>
      <c r="B76" s="15" t="inlineStr">
        <is>
          <t>병원 하드웨어 프로젝트(NHG) — R&amp;D·PoC 용역</t>
        </is>
      </c>
      <c r="C76" s="65" t="n">
        <v>0.15</v>
      </c>
      <c r="D76" s="65" t="n">
        <v>0.15</v>
      </c>
      <c r="E76" s="65" t="n">
        <v>0.15</v>
      </c>
      <c r="F76" s="65" t="n">
        <v>0.15</v>
      </c>
      <c r="G76" s="65" t="n">
        <v>0.15</v>
      </c>
    </row>
    <row r="77">
      <c r="A77" s="15" t="inlineStr">
        <is>
          <t>RND|P1</t>
        </is>
      </c>
      <c r="B77" s="15" t="inlineStr">
        <is>
          <t>R&amp;D·PoC 용역 — 스마트 기저귀(전용 기저귀·패드, 소모품)</t>
        </is>
      </c>
      <c r="C77" s="65" t="n">
        <v>0</v>
      </c>
      <c r="D77" s="65" t="n">
        <v>0</v>
      </c>
      <c r="E77" s="65" t="n">
        <v>0</v>
      </c>
      <c r="F77" s="65" t="n">
        <v>0</v>
      </c>
      <c r="G77" s="65" t="n">
        <v>0</v>
      </c>
    </row>
    <row r="78">
      <c r="A78" s="15" t="inlineStr">
        <is>
          <t>RND|P2</t>
        </is>
      </c>
      <c r="B78" s="15" t="inlineStr">
        <is>
          <t>R&amp;D·PoC 용역 — 센서·BLE 게이트웨이(하드웨어)</t>
        </is>
      </c>
      <c r="C78" s="65" t="n">
        <v>0</v>
      </c>
      <c r="D78" s="65" t="n">
        <v>0</v>
      </c>
      <c r="E78" s="65" t="n">
        <v>0</v>
      </c>
      <c r="F78" s="65" t="n">
        <v>0</v>
      </c>
      <c r="G78" s="65" t="n">
        <v>0</v>
      </c>
    </row>
    <row r="79">
      <c r="A79" s="15" t="inlineStr">
        <is>
          <t>RND|P3</t>
        </is>
      </c>
      <c r="B79" s="15" t="inlineStr">
        <is>
          <t>R&amp;D·PoC 용역 — 앱·웹 모니터링 구독(SW·AI)</t>
        </is>
      </c>
      <c r="C79" s="65" t="n">
        <v>0</v>
      </c>
      <c r="D79" s="65" t="n">
        <v>0</v>
      </c>
      <c r="E79" s="65" t="n">
        <v>0</v>
      </c>
      <c r="F79" s="65" t="n">
        <v>0</v>
      </c>
      <c r="G79" s="65" t="n">
        <v>0</v>
      </c>
    </row>
    <row r="80">
      <c r="A80" s="15" t="inlineStr">
        <is>
          <t>RND|P4</t>
        </is>
      </c>
      <c r="B80" s="15" t="inlineStr">
        <is>
          <t>R&amp;D·PoC 용역 — 바이탈 모니터링 센서(60GHz, 2026 Q4 출시)</t>
        </is>
      </c>
      <c r="C80" s="65" t="n">
        <v>0</v>
      </c>
      <c r="D80" s="65" t="n">
        <v>0</v>
      </c>
      <c r="E80" s="65" t="n">
        <v>0</v>
      </c>
      <c r="F80" s="65" t="n">
        <v>0</v>
      </c>
      <c r="G80" s="65" t="n">
        <v>0</v>
      </c>
    </row>
    <row r="81">
      <c r="A81" s="15" t="inlineStr">
        <is>
          <t>RND|P5</t>
        </is>
      </c>
      <c r="B81" s="15" t="inlineStr">
        <is>
          <t>R&amp;D·PoC 용역 — 스마트 욕창 케어(2027 출시)</t>
        </is>
      </c>
      <c r="C81" s="65" t="n">
        <v>0</v>
      </c>
      <c r="D81" s="65" t="n">
        <v>0</v>
      </c>
      <c r="E81" s="65" t="n">
        <v>0</v>
      </c>
      <c r="F81" s="65" t="n">
        <v>0</v>
      </c>
      <c r="G81" s="65" t="n">
        <v>0</v>
      </c>
    </row>
    <row r="82">
      <c r="A82" s="15" t="inlineStr">
        <is>
          <t>RND|P6</t>
        </is>
      </c>
      <c r="B82" s="15" t="inlineStr">
        <is>
          <t>R&amp;D·PoC 용역 — R&amp;D·PoC 용역</t>
        </is>
      </c>
      <c r="C82" s="65" t="n">
        <v>1</v>
      </c>
      <c r="D82" s="65" t="n">
        <v>1</v>
      </c>
      <c r="E82" s="65" t="n">
        <v>1</v>
      </c>
      <c r="F82" s="65" t="n">
        <v>1</v>
      </c>
      <c r="G82" s="65" t="n">
        <v>1</v>
      </c>
    </row>
    <row r="83">
      <c r="A83" s="15" t="inlineStr">
        <is>
          <t>COH|P1</t>
        </is>
      </c>
      <c r="B83" s="15" t="inlineStr">
        <is>
          <t>신규 파이프라인(신제품 비중 확대) — 스마트 기저귀(전용 기저귀·패드, 소모품)</t>
        </is>
      </c>
      <c r="C83" s="65" t="n">
        <v>0.66</v>
      </c>
      <c r="D83" s="65" t="n">
        <v>0.66</v>
      </c>
      <c r="E83" s="65" t="n">
        <v>0.66</v>
      </c>
      <c r="F83" s="65" t="n">
        <v>0.6</v>
      </c>
      <c r="G83" s="65" t="n">
        <v>0.5600000000000001</v>
      </c>
    </row>
    <row r="84">
      <c r="A84" s="15" t="inlineStr">
        <is>
          <t>COH|P2</t>
        </is>
      </c>
      <c r="B84" s="15" t="inlineStr">
        <is>
          <t>신규 파이프라인(신제품 비중 확대) — 센서·BLE 게이트웨이(하드웨어)</t>
        </is>
      </c>
      <c r="C84" s="65" t="n">
        <v>0.1</v>
      </c>
      <c r="D84" s="65" t="n">
        <v>0.1</v>
      </c>
      <c r="E84" s="65" t="n">
        <v>0.1</v>
      </c>
      <c r="F84" s="65" t="n">
        <v>0.11</v>
      </c>
      <c r="G84" s="65" t="n">
        <v>0.11</v>
      </c>
    </row>
    <row r="85">
      <c r="A85" s="15" t="inlineStr">
        <is>
          <t>COH|P3</t>
        </is>
      </c>
      <c r="B85" s="15" t="inlineStr">
        <is>
          <t>신규 파이프라인(신제품 비중 확대) — 앱·웹 모니터링 구독(SW·AI)</t>
        </is>
      </c>
      <c r="C85" s="65" t="n">
        <v>0.12</v>
      </c>
      <c r="D85" s="65" t="n">
        <v>0.12</v>
      </c>
      <c r="E85" s="65" t="n">
        <v>0.12</v>
      </c>
      <c r="F85" s="65" t="n">
        <v>0.12</v>
      </c>
      <c r="G85" s="65" t="n">
        <v>0.12</v>
      </c>
    </row>
    <row r="86">
      <c r="A86" s="15" t="inlineStr">
        <is>
          <t>COH|P4</t>
        </is>
      </c>
      <c r="B86" s="15" t="inlineStr">
        <is>
          <t>신규 파이프라인(신제품 비중 확대) — 바이탈 모니터링 센서(60GHz, 2026 Q4 출시)</t>
        </is>
      </c>
      <c r="C86" s="65" t="n">
        <v>0.08</v>
      </c>
      <c r="D86" s="65" t="n">
        <v>0.08</v>
      </c>
      <c r="E86" s="65" t="n">
        <v>0.08</v>
      </c>
      <c r="F86" s="65" t="n">
        <v>0.11</v>
      </c>
      <c r="G86" s="65" t="n">
        <v>0.13</v>
      </c>
    </row>
    <row r="87">
      <c r="A87" s="15" t="inlineStr">
        <is>
          <t>COH|P5</t>
        </is>
      </c>
      <c r="B87" s="15" t="inlineStr">
        <is>
          <t>신규 파이프라인(신제품 비중 확대) — 스마트 욕창 케어(2027 출시)</t>
        </is>
      </c>
      <c r="C87" s="65" t="n">
        <v>0.02</v>
      </c>
      <c r="D87" s="65" t="n">
        <v>0.02</v>
      </c>
      <c r="E87" s="65" t="n">
        <v>0.02</v>
      </c>
      <c r="F87" s="65" t="n">
        <v>0.04</v>
      </c>
      <c r="G87" s="65" t="n">
        <v>0.06</v>
      </c>
    </row>
    <row r="88">
      <c r="A88" s="15" t="inlineStr">
        <is>
          <t>COH|P6</t>
        </is>
      </c>
      <c r="B88" s="15" t="inlineStr">
        <is>
          <t>신규 파이프라인(신제품 비중 확대) — R&amp;D·PoC 용역</t>
        </is>
      </c>
      <c r="C88" s="65" t="n">
        <v>0.02</v>
      </c>
      <c r="D88" s="65" t="n">
        <v>0.02</v>
      </c>
      <c r="E88" s="65" t="n">
        <v>0.02</v>
      </c>
      <c r="F88" s="65" t="n">
        <v>0.02</v>
      </c>
      <c r="G88" s="65" t="n">
        <v>0.02</v>
      </c>
    </row>
    <row r="89">
      <c r="A89" s="12" t="inlineStr">
        <is>
          <t>믹스 합계 점검(각 프로파일·연도 100%)</t>
        </is>
      </c>
      <c r="C89" s="12" t="str">
        <f>IF(AND(ABS(SUM(C47:C52)-1)&lt;0.0001,ABS(SUM(D47:D52)-1)&lt;0.0001,ABS(SUM(E47:E52)-1)&lt;0.0001,ABS(SUM(F47:F52)-1)&lt;0.0001,ABS(SUM(G47:G52)-1)&lt;0.0001,ABS(SUM(C53:C58)-1)&lt;0.0001,ABS(SUM(D53:D58)-1)&lt;0.0001,ABS(SUM(E53:E58)-1)&lt;0.0001,ABS(SUM(F53:F58)-1)&lt;0.0001,ABS(SUM(G53:G58)-1)&lt;0.0001,ABS(SUM(C59:C64)-1)&lt;0.0001,ABS(SUM(D59:D64)-1)&lt;0.0001,ABS(SUM(E59:E64)-1)&lt;0.0001,ABS(SUM(F59:F64)-1)&lt;0.0001,ABS(SUM(G59:G64)-1)&lt;0.0001,ABS(SUM(C65:C70)-1)&lt;0.0001,ABS(SUM(D65:D70)-1)&lt;0.0001,ABS(SUM(E65:E70)-1)&lt;0.0001,ABS(SUM(F65:F70)-1)&lt;0.0001,ABS(SUM(G65:G70)-1)&lt;0.0001,ABS(SUM(C71:C76)-1)&lt;0.0001,ABS(SUM(D71:D76)-1)&lt;0.0001,ABS(SUM(E71:E76)-1)&lt;0.0001,ABS(SUM(F71:F76)-1)&lt;0.0001,ABS(SUM(G71:G76)-1)&lt;0.0001,ABS(SUM(C77:C82)-1)&lt;0.0001,ABS(SUM(D77:D82)-1)&lt;0.0001,ABS(SUM(E77:E82)-1)&lt;0.0001,ABS(SUM(F77:F82)-1)&lt;0.0001,ABS(SUM(G77:G82)-1)&lt;0.0001,ABS(SUM(C83:C88)-1)&lt;0.0001,ABS(SUM(D83:D88)-1)&lt;0.0001,ABS(SUM(E83:E88)-1)&lt;0.0001,ABS(SUM(F83:F88)-1)&lt;0.0001,ABS(SUM(G83:G88)-1)&lt;0.0001),"OK","확인")</f>
        <v>OK</v>
      </c>
    </row>
    <row r="91">
      <c r="A91" s="99" t="inlineStr">
        <is>
          <t>5. 판매비와관리비 가정</t>
        </is>
      </c>
      <c r="B91" s="100" t="n"/>
      <c r="C91" s="100" t="n"/>
      <c r="D91" s="100" t="n"/>
      <c r="E91" s="100" t="n"/>
      <c r="F91" s="100" t="n"/>
      <c r="G91" s="100" t="n"/>
      <c r="H91" s="100" t="n"/>
      <c r="I91" s="100" t="n"/>
    </row>
    <row r="92">
      <c r="A92" s="22" t="inlineStr">
        <is>
          <t>구분</t>
        </is>
      </c>
      <c r="B92" s="22" t="inlineStr">
        <is>
          <t>설명</t>
        </is>
      </c>
      <c r="C92" s="22" t="n">
        <v>2026</v>
      </c>
      <c r="D92" s="22" t="n">
        <v>2027</v>
      </c>
      <c r="E92" s="22" t="n">
        <v>2028</v>
      </c>
      <c r="F92" s="22" t="n">
        <v>2029</v>
      </c>
      <c r="G92" s="22" t="n">
        <v>2030</v>
      </c>
      <c r="H92" s="22" t="inlineStr"/>
      <c r="I92" s="109" t="inlineStr">
        <is>
          <t>급상여대장 2026-09: 7명, 지급합계 39,688,891원(대표 13,688,890원 + 직원 6명 26,000,001원)</t>
        </is>
      </c>
    </row>
    <row r="93">
      <c r="A93" s="15" t="inlineStr">
        <is>
          <t>대표이사 월 급여(천원, 고정)</t>
        </is>
      </c>
      <c r="B93" s="15" t="inlineStr">
        <is>
          <t>2026-09 급상여대장 지급합계, 인상률 미적용(전 기간 동일)</t>
        </is>
      </c>
      <c r="C93" s="67" t="n">
        <v>13689</v>
      </c>
    </row>
    <row r="94">
      <c r="A94" s="15" t="inlineStr">
        <is>
          <t>직원 1인당 월 급여(천원) — 기존 6명</t>
        </is>
      </c>
      <c r="B94" s="15" t="inlineStr">
        <is>
          <t>2026 = 회사 지정값(급상여대장 2026-09 대표 제외 평균은 약 4,333), 2027~ = 전년 × (1+인상률)</t>
        </is>
      </c>
      <c r="C94" s="67" t="n">
        <v>4339</v>
      </c>
      <c r="D94" s="44">
        <f>C94*(1+$C$95)</f>
        <v>4642.73</v>
      </c>
      <c r="E94" s="44">
        <f>D94*(1+$C$95)</f>
        <v>4967.7211</v>
      </c>
      <c r="F94" s="44">
        <f>E94*(1+$C$95)</f>
        <v>5315.461577</v>
      </c>
      <c r="G94" s="44">
        <f>F94*(1+$C$95)</f>
        <v>5687.54388739</v>
      </c>
    </row>
    <row r="95">
      <c r="A95" s="15" t="inlineStr">
        <is>
          <t>기존 직원 연간 급여 인상률(2027~)</t>
        </is>
      </c>
      <c r="C95" s="108" t="n">
        <v>0.07000000000000001</v>
      </c>
    </row>
    <row r="96">
      <c r="A96" s="15" t="inlineStr">
        <is>
          <t>신규 채용 1인당 월 급여(천원, 인상률 미적용)</t>
        </is>
      </c>
      <c r="B96" s="15" t="inlineStr">
        <is>
          <t>추가 인력 급여 — 2026~2030 동일</t>
        </is>
      </c>
      <c r="C96" s="67" t="n">
        <v>4339</v>
      </c>
    </row>
    <row r="97">
      <c r="A97" s="15" t="inlineStr">
        <is>
          <t>기존 인력 수(대표 포함, 명)</t>
        </is>
      </c>
      <c r="C97" s="67" t="n">
        <v>7</v>
      </c>
    </row>
    <row r="98">
      <c r="A98" s="15" t="inlineStr">
        <is>
          <t>퇴직급여·4대보험·복리후생 비율(급여 대비)</t>
        </is>
      </c>
      <c r="C98" s="103" t="n">
        <v>0.22</v>
      </c>
    </row>
    <row r="99" ht="48" customHeight="1">
      <c r="A99" s="15" t="inlineStr">
        <is>
          <t>개발비 자본화율(급여·퇴직·복리 대비)</t>
        </is>
      </c>
      <c r="B99" s="15" t="inlineStr">
        <is>
          <t>급여·퇴직·복리 총액(대표 포함) 대비 개발비 처리 비율 — 연구 인력 비중(40%) 이내</t>
        </is>
      </c>
      <c r="C99" s="103" t="n">
        <v>0.4</v>
      </c>
      <c r="D99" s="103" t="n">
        <v>0.2</v>
      </c>
      <c r="E99" s="103" t="n">
        <v>0.1</v>
      </c>
      <c r="F99" s="103" t="n">
        <v>0.05</v>
      </c>
      <c r="G99" s="103" t="n">
        <v>0.05</v>
      </c>
      <c r="I99" s="101" t="inlineStr">
        <is>
          <t>2025 판관비 4.27억은 7명 급여 총액(약 5억 안팎)보다 낮아 연구 인력 인건비 일부가 개발비(자산 19.8억)로 자본화된 구조와 일관. 자산화 요건(기술적 실현가능성·판매 의도·미래 경제적 효익 등) 충족과 감사인 수용을 전제로 한 가정. 2025.12 개발비 잔액(19.8억)은 2027-01부터 상각하고, 2027~ 신규 자본화분은 다음 해부터 상각(개발비 상각 행 참조)</t>
        </is>
      </c>
    </row>
    <row r="100">
      <c r="A100" s="15" t="inlineStr">
        <is>
          <t>마케팅·광고선전비(매출 %)</t>
        </is>
      </c>
      <c r="B100" s="15" t="inlineStr">
        <is>
          <t>전시회·해외 마케팅·샘플</t>
        </is>
      </c>
      <c r="C100" s="108" t="n">
        <v>0.012</v>
      </c>
      <c r="D100" s="108" t="n">
        <v>0.025</v>
      </c>
      <c r="E100" s="108" t="n">
        <v>0.028</v>
      </c>
      <c r="F100" s="108" t="n">
        <v>0.026</v>
      </c>
      <c r="G100" s="108" t="n">
        <v>0.03</v>
      </c>
    </row>
    <row r="101">
      <c r="A101" s="15" t="inlineStr">
        <is>
          <t>지급수수료(매출 %)</t>
        </is>
      </c>
      <c r="B101" s="15" t="inlineStr">
        <is>
          <t>총판 수수료·법무·회계·컨설팅·플랫폼</t>
        </is>
      </c>
      <c r="C101" s="108" t="n">
        <v>0.012</v>
      </c>
      <c r="D101" s="108" t="n">
        <v>0.02</v>
      </c>
      <c r="E101" s="108" t="n">
        <v>0.022</v>
      </c>
      <c r="F101" s="108" t="n">
        <v>0.022</v>
      </c>
      <c r="G101" s="108" t="n">
        <v>0.022</v>
      </c>
    </row>
    <row r="102">
      <c r="A102" s="15" t="inlineStr">
        <is>
          <t>판매물류·CS비(매출 %)</t>
        </is>
      </c>
      <c r="B102" s="15" t="inlineStr">
        <is>
          <t>출고·설치·고객지원</t>
        </is>
      </c>
      <c r="C102" s="108" t="n">
        <v>0.025</v>
      </c>
      <c r="D102" s="108" t="n">
        <v>0.035</v>
      </c>
      <c r="E102" s="108" t="n">
        <v>0.035</v>
      </c>
      <c r="F102" s="108" t="n">
        <v>0.032</v>
      </c>
      <c r="G102" s="108" t="n">
        <v>0.035</v>
      </c>
    </row>
    <row r="103">
      <c r="A103" s="15" t="inlineStr">
        <is>
          <t>연구개발비-경상(매출 %)</t>
        </is>
      </c>
      <c r="B103" s="15" t="inlineStr">
        <is>
          <t>인증(CE-MDR·FDA·KC·PMDA)·시험·외주</t>
        </is>
      </c>
      <c r="C103" s="108" t="n">
        <v>0.035</v>
      </c>
      <c r="D103" s="108" t="n">
        <v>0.035</v>
      </c>
      <c r="E103" s="108" t="n">
        <v>0.032</v>
      </c>
      <c r="F103" s="108" t="n">
        <v>0.029</v>
      </c>
      <c r="G103" s="108" t="n">
        <v>0.031</v>
      </c>
      <c r="I103" s="101" t="inlineStr">
        <is>
          <t>개발비 자본화(BS 개발비 19.8억)는 별도. 2027~ 신규 자본화분은 다음 해부터 5년 정액 상각으로 아래 상각 행에 가산</t>
        </is>
      </c>
    </row>
    <row r="104">
      <c r="A104" s="15" t="inlineStr">
        <is>
          <t>대손상각비(매출 %)</t>
        </is>
      </c>
      <c r="B104" s="15" t="inlineStr"/>
      <c r="C104" s="108" t="n">
        <v>0.004</v>
      </c>
      <c r="D104" s="108" t="n">
        <v>0.005</v>
      </c>
      <c r="E104" s="108" t="n">
        <v>0.005</v>
      </c>
      <c r="F104" s="108" t="n">
        <v>0.005</v>
      </c>
      <c r="G104" s="108" t="n">
        <v>0.005</v>
      </c>
    </row>
    <row r="105">
      <c r="A105" s="15" t="inlineStr">
        <is>
          <t>기타 판관비(매출 %)</t>
        </is>
      </c>
      <c r="B105" s="15" t="inlineStr">
        <is>
          <t>보험·세금과공과·소모품·복리 외</t>
        </is>
      </c>
      <c r="C105" s="108" t="n">
        <v>0.02</v>
      </c>
      <c r="D105" s="108" t="n">
        <v>0.03</v>
      </c>
      <c r="E105" s="108" t="n">
        <v>0.026</v>
      </c>
      <c r="F105" s="108" t="n">
        <v>0.022</v>
      </c>
      <c r="G105" s="108" t="n">
        <v>0.024</v>
      </c>
    </row>
    <row r="106">
      <c r="A106" s="15" t="inlineStr">
        <is>
          <t>임차·운영비(연, 천원)</t>
        </is>
      </c>
      <c r="B106" s="15" t="inlineStr">
        <is>
          <t>본사·해외 거점(일본·싱가포르·미국)</t>
        </is>
      </c>
      <c r="C106" s="67" t="n">
        <v>36000</v>
      </c>
      <c r="D106" s="67" t="n">
        <v>144000</v>
      </c>
      <c r="E106" s="67" t="n">
        <v>300000</v>
      </c>
      <c r="F106" s="67" t="n">
        <v>600000</v>
      </c>
      <c r="G106" s="67" t="n">
        <v>1000000</v>
      </c>
    </row>
    <row r="107">
      <c r="A107" s="15" t="inlineStr">
        <is>
          <t>해외영업·출장비(연, 천원)</t>
        </is>
      </c>
      <c r="B107" s="15" t="inlineStr"/>
      <c r="C107" s="67" t="n">
        <v>45000</v>
      </c>
      <c r="D107" s="67" t="n">
        <v>180000</v>
      </c>
      <c r="E107" s="67" t="n">
        <v>400000</v>
      </c>
      <c r="F107" s="67" t="n">
        <v>800000</v>
      </c>
      <c r="G107" s="67" t="n">
        <v>1400000</v>
      </c>
    </row>
    <row r="108">
      <c r="A108" s="15" t="inlineStr">
        <is>
          <t>감가상각비-유형(연, 천원)</t>
        </is>
      </c>
      <c r="B108" s="15" t="inlineStr">
        <is>
          <t>설비·금형·사무기기</t>
        </is>
      </c>
      <c r="C108" s="67" t="n">
        <v>18000</v>
      </c>
      <c r="D108" s="67" t="n">
        <v>40000</v>
      </c>
      <c r="E108" s="67" t="n">
        <v>90000</v>
      </c>
      <c r="F108" s="67" t="n">
        <v>180000</v>
      </c>
      <c r="G108" s="67" t="n">
        <v>300000</v>
      </c>
    </row>
    <row r="109" ht="50" customHeight="1">
      <c r="A109" s="15" t="inlineStr">
        <is>
          <t>개발비 무형자산상각(연, 천원)</t>
        </is>
      </c>
      <c r="B109" s="15" t="inlineStr">
        <is>
          <t>2025.12 개발비 잔액 19.8억을 5년 정액 상각, 2027-01 개시(2027~ 신규 자본화분은 다음 해부터 가산)</t>
        </is>
      </c>
      <c r="C109" s="67" t="n">
        <v>0</v>
      </c>
      <c r="D109" s="67" t="n">
        <v>395953</v>
      </c>
      <c r="E109" s="110">
        <f>$D$109+('7_비용인력'!$AB$31)/5</f>
        <v>438068.403328</v>
      </c>
      <c r="F109" s="110">
        <f>$D$109+('7_비용인력'!$AB$31+'7_비용인력'!$AC$31)/5</f>
        <v>509880.18775648</v>
      </c>
      <c r="G109" s="110">
        <f>$D$109+('7_비용인력'!$AB$31+'7_비용인력'!$AC$31+'7_비용인력'!$AD$31)/5</f>
        <v>580393.933605717</v>
      </c>
      <c r="I109" s="101" t="inlineStr">
        <is>
          <t>2027~ 기존 개발비 잔액 상각(연 395,953천원) + 2027년 이후 신규 자본화분의 5년 정액 상각을 다음 해부터 가산(신규 자본화분은 선택 시나리오의 인원에 연동되어 S2·S3에서 소폭 감소). 2026 자본화분(약 2.3억)은 정부과제 대응 자산차감분과 상계되는 것으로 보아 별도 가산하지 않음(보수 여지)</t>
        </is>
      </c>
    </row>
    <row r="111">
      <c r="A111" s="99" t="inlineStr">
        <is>
          <t>6. 영업외손익 · 법인세</t>
        </is>
      </c>
      <c r="B111" s="100" t="n"/>
      <c r="C111" s="100" t="n"/>
      <c r="D111" s="100" t="n"/>
      <c r="E111" s="100" t="n"/>
      <c r="F111" s="100" t="n"/>
      <c r="G111" s="100" t="n"/>
      <c r="H111" s="100" t="n"/>
      <c r="I111" s="100" t="n"/>
    </row>
    <row r="112">
      <c r="A112" s="22" t="inlineStr">
        <is>
          <t>구분</t>
        </is>
      </c>
      <c r="B112" s="22" t="inlineStr">
        <is>
          <t>설명</t>
        </is>
      </c>
      <c r="C112" s="22" t="n">
        <v>2026</v>
      </c>
      <c r="D112" s="22" t="n">
        <v>2027</v>
      </c>
      <c r="E112" s="22" t="n">
        <v>2028</v>
      </c>
      <c r="F112" s="22" t="n">
        <v>2029</v>
      </c>
      <c r="G112" s="22" t="n">
        <v>2030</v>
      </c>
      <c r="H112" s="22" t="inlineStr"/>
      <c r="I112" s="22" t="inlineStr">
        <is>
          <t>근거 · 비고</t>
        </is>
      </c>
    </row>
    <row r="113">
      <c r="A113" s="15" t="inlineStr">
        <is>
          <t>차입금 기초(2025.12, 천원)</t>
        </is>
      </c>
      <c r="B113" s="15" t="inlineStr">
        <is>
          <t>단기 1,135,833 + 장기 63,710</t>
        </is>
      </c>
      <c r="C113" s="56" t="n">
        <v>1199543</v>
      </c>
      <c r="I113" s="101" t="inlineStr">
        <is>
          <t>투자사 양식 차입금 현황(2025감사보고서 주석 5). 잔액·만기는 변동될 수 있음</t>
        </is>
      </c>
    </row>
    <row r="114">
      <c r="A114" s="15" t="inlineStr">
        <is>
          <t>차입금 연 이자율</t>
        </is>
      </c>
      <c r="B114" s="15" t="inlineStr">
        <is>
          <t>2025 실효 이자율 ≈ 4.2% — 약정금리(우리 4.48~4.89%, 하나 5.00~5.58%) 범위에서 4.8% 적용</t>
        </is>
      </c>
      <c r="C114" s="108" t="n">
        <v>0.048</v>
      </c>
      <c r="D114" s="108" t="n">
        <v>0.048</v>
      </c>
      <c r="E114" s="108" t="n">
        <v>0.048</v>
      </c>
      <c r="F114" s="108" t="n">
        <v>0.048</v>
      </c>
      <c r="G114" s="108" t="n">
        <v>0.048</v>
      </c>
    </row>
    <row r="115">
      <c r="A115" s="15" t="inlineStr">
        <is>
          <t>정부보조금수익(천원) — 2026은 아래 R&amp;D 과제·GDIN 합산식</t>
        </is>
      </c>
      <c r="B115" s="15" t="inlineStr">
        <is>
          <t>2027: 3억 예상, 2028~: 매년 1억(보수적)</t>
        </is>
      </c>
      <c r="C115" s="110">
        <f>MIN('8_가정'!$C$116,'7_비용인력'!$O$24+MAX(0,'8_가정'!$C$118-'8_가정'!$C$99)*'7_비용인력'!$O$61*(1+'8_가정'!$C$98))+'8_가정'!$C$117</f>
        <v>77042.595</v>
      </c>
      <c r="D115" s="67" t="n">
        <v>300000</v>
      </c>
      <c r="E115" s="67" t="n">
        <v>100000</v>
      </c>
      <c r="F115" s="67" t="n">
        <v>100000</v>
      </c>
      <c r="G115" s="67" t="n">
        <v>100000</v>
      </c>
      <c r="I115" s="101" t="inlineStr">
        <is>
          <t>2024 0.88억, 2025 0.31억 실적(영업외수익 처리 선례). 2027 3억(회사 추정), 2028~ 연 1억 보수적 가정(과제 수행 비용 대응 한도 내)</t>
        </is>
      </c>
    </row>
    <row r="116">
      <c r="A116" s="15" t="inlineStr">
        <is>
          <t>정부과제(R&amp;D) 2026 수령 예상액(천원)</t>
        </is>
      </c>
      <c r="B116" s="15" t="inlineStr">
        <is>
          <t>회사 추정: 약 2.6억원</t>
        </is>
      </c>
      <c r="C116" s="67" t="n">
        <v>260000</v>
      </c>
    </row>
    <row r="117">
      <c r="A117" s="15" t="inlineStr">
        <is>
          <t>GDIN 해외진출 지원금(천원)</t>
        </is>
      </c>
      <c r="B117" s="15" t="inlineStr">
        <is>
          <t>회사연혁 2026-09 최종 선정 3,500만원</t>
        </is>
      </c>
      <c r="C117" s="67" t="n">
        <v>35000</v>
      </c>
    </row>
    <row r="118" ht="60" customHeight="1">
      <c r="A118" s="15" t="inlineStr">
        <is>
          <t>R&amp;D 인력 인건비 비중(과제 대응 가능분)</t>
        </is>
      </c>
      <c r="B118" s="15" t="inlineStr">
        <is>
          <t>급여·퇴직·복리 중 연구개발 인력 비중(가정)</t>
        </is>
      </c>
      <c r="C118" s="103" t="n">
        <v>0.4</v>
      </c>
      <c r="I118" s="101" t="inlineStr">
        <is>
          <t>영업외수익 인식 한도 = 과제 수행으로 해당 연도에 비용 처리된 R&amp;D 비용(경상 연구개발비 + 연구 인력 인건비). 자산화(개발비)된 지출에 대응하는 보조금은 자산 차감이며 영업외수익이 아님(일반기업회계기준 17장). 수령액 중 미사용분은 선수·이연수익. 회사는 과거 정부보조금수익을 영업외수익으로 처리(2024 0.88억·2025 0.31억). 회계처리는 회계 기준 해석에 따라 달라질 수 있음. 2026 금액은 경상 연구개발비(매출 %)에 연동되어 시나리오별로 변동</t>
        </is>
      </c>
    </row>
    <row r="119">
      <c r="A119" s="15" t="inlineStr">
        <is>
          <t>이월결손금 기초(천원)</t>
        </is>
      </c>
      <c r="B119" s="15" t="inlineStr">
        <is>
          <t>자본총계 − 자본금 − 주식발행초과금 역산(2025.12)</t>
        </is>
      </c>
      <c r="C119" s="67" t="n">
        <v>3032082</v>
      </c>
      <c r="I119" s="101" t="inlineStr">
        <is>
          <t>계산: 12.375억 − 4.276억 − 38.420억 ≈ −30.3억. 세무상 결손금과 다를 수 있음</t>
        </is>
      </c>
    </row>
    <row r="120">
      <c r="A120" s="15" t="inlineStr">
        <is>
          <t>이월결손금 공제 한도(과세소득 대비)</t>
        </is>
      </c>
      <c r="C120" s="103" t="n">
        <v>1</v>
      </c>
      <c r="I120" s="101" t="inlineStr">
        <is>
          <t>중소기업 100% (일반법인 80%). 중소기업 졸업 시 한도 80% 적용 가능(민감도 참고)</t>
        </is>
      </c>
    </row>
    <row r="121">
      <c r="A121" s="15" t="inlineStr">
        <is>
          <t>법인세율 구간(과세표준 상한, 천원)</t>
        </is>
      </c>
      <c r="B121" s="15" t="inlineStr">
        <is>
          <t>연도 무관: C=2억 · D=200억 · E=3,000억 상한</t>
        </is>
      </c>
      <c r="C121" s="56" t="n">
        <v>200000</v>
      </c>
      <c r="D121" s="56" t="n">
        <v>20000000</v>
      </c>
      <c r="E121" s="56" t="n">
        <v>300000000</v>
      </c>
    </row>
    <row r="122">
      <c r="A122" s="15" t="inlineStr">
        <is>
          <t>법인세율(구간별)</t>
        </is>
      </c>
      <c r="B122" s="15" t="inlineStr">
        <is>
          <t>연도 무관: C 10% · D 20% · E 22% · F 25%</t>
        </is>
      </c>
      <c r="C122" s="111" t="n">
        <v>0.1</v>
      </c>
      <c r="D122" s="111" t="n">
        <v>0.2</v>
      </c>
      <c r="E122" s="111" t="n">
        <v>0.22</v>
      </c>
      <c r="F122" s="111" t="n">
        <v>0.25</v>
      </c>
      <c r="I122" s="101" t="inlineStr">
        <is>
          <t>2026 귀속 10%/20%/22%/25%(2025 세법개정 반영, 하단 출처 메모). 세액공제·최저한세 미반영</t>
        </is>
      </c>
    </row>
    <row r="123">
      <c r="A123" s="15" t="inlineStr">
        <is>
          <t>지방소득세율(법인세 대비)</t>
        </is>
      </c>
      <c r="C123" s="65" t="n">
        <v>0.1</v>
      </c>
    </row>
    <row r="124">
      <c r="A124" s="15" t="inlineStr">
        <is>
          <t>매출채권 회전일수(참고)</t>
        </is>
      </c>
      <c r="C124" s="105" t="n">
        <v>60</v>
      </c>
      <c r="I124" s="101" t="inlineStr">
        <is>
          <t>손익계산서 범위 밖의 참고 지표(운전자본 소요 추정)용. 2025 BS: 매출채권 2,304만원·선급금 8,557만원. 총판 공급 비중이 커지면 회전일수가 길어질 수 있음</t>
        </is>
      </c>
    </row>
    <row r="125">
      <c r="A125" s="15" t="inlineStr">
        <is>
          <t>재고자산 회전일수(매출원가 기준, 참고)</t>
        </is>
      </c>
      <c r="C125" s="105" t="n">
        <v>60</v>
      </c>
    </row>
    <row r="126">
      <c r="A126" s="15" t="inlineStr">
        <is>
          <t>매입채무 회전일수(매출원가 기준, 참고)</t>
        </is>
      </c>
      <c r="C126" s="105" t="n">
        <v>45</v>
      </c>
    </row>
    <row r="128">
      <c r="A128" s="99" t="inlineStr">
        <is>
          <t>7. 근거 구분 범례 · 출처 메모</t>
        </is>
      </c>
      <c r="B128" s="100" t="n"/>
      <c r="C128" s="100" t="n"/>
      <c r="D128" s="100" t="n"/>
      <c r="E128" s="100" t="n"/>
      <c r="F128" s="100" t="n"/>
      <c r="G128" s="100" t="n"/>
      <c r="H128" s="100" t="n"/>
      <c r="I128" s="100" t="n"/>
    </row>
    <row r="129">
      <c r="A129" s="15" t="inlineStr">
        <is>
          <t>IR 근거 = IR 자료(2026-09-27판) 페이지 표기. 계약/등록/입찰/PoC 단계는 IR 표기에 입찰 자료·회사연혁을 교차 반영.</t>
        </is>
      </c>
    </row>
    <row r="130">
      <c r="A130" s="15" t="inlineStr">
        <is>
          <t>가정 = IR에 없는 성장률·비용률·제품 믹스. 모두 파란색 입력이며 근거는 각 행 비고 참조. 거래처 월별 매출: 2026은 거래처 매출표 사실, 2027은 매출표 거래처 구성 기반 IR 목표 계획.</t>
        </is>
      </c>
    </row>
    <row r="131">
      <c r="A131" s="15" t="inlineStr">
        <is>
          <t>회사실적 = 투자사 양식 IS(2025 감사보고서 기준: 2024·2025). 2026-01~09 매출은 거래처 매출표 실적(잠정)이며 해당 기간 비용은 추정(회계 마감 시 교체).</t>
        </is>
      </c>
    </row>
    <row r="133">
      <c r="A133" s="9" t="inlineStr">
        <is>
          <t>외부 팩트 조사 요약(출처 표기)</t>
        </is>
      </c>
    </row>
    <row r="134">
      <c r="A134" s="66" t="inlineStr">
        <is>
          <t>환율: 2026-10-02 서울 종가 USD/KRW 1,350.60 · JPY 856.76/100엔 · EUR 1,520.64 (서울신문 2026/10/02, snmnews). 본 계획은 IR 고정환율 1,400원/달러 기준이며 SGD·JPY·EUR은 1,400 기준 교차환율을 사용(현물환 대비 USD 약 +3.7%).</t>
        </is>
      </c>
    </row>
    <row r="135">
      <c r="A135" s="66" t="inlineStr">
        <is>
          <t>법인세: 2026 귀속 10/20/22/25%(+1%p, 2025-12-02 국회 통과·12-23 공포), 지방소득세 1.0/2.0/2.2/2.5%(국세청 nts.go.kr, 국회예산정책처 nabo.go.kr). 결손금 15년 이월, 중소기업은 소득의 100%까지 공제, 중소기업 졸업 유예 5년, 최저한세(중소) 7%.</t>
        </is>
      </c>
    </row>
    <row r="136">
      <c r="A136" s="66" t="inlineStr">
        <is>
          <t>일본: 介護テクノロジー導入支援事業(2025년 통합) 보조율 3/4~4/5, 배설예측·검지 기기 1대당 상한 30만엔, TAIS 介護テクノロジー 선정이 보조금 신청 조건(techno-aids.or.jp). TAIS 등록 자체는 보험급여가 아니며 보조금 신청 조건인 TAIS 선정과는 구분됨. 시설 수(MHLW 2024): 특양 8,621 · 老健 4,214 · GH 14,341 · 유료노인홈 16,543.</t>
        </is>
      </c>
    </row>
    <row r="137">
      <c r="A137" s="66" t="inlineStr">
        <is>
          <t>한국: 기저귀센서는 2025-05 정규 복지용구 급여 편입(고시상 1개 제품), 재가 본인부담 15%(85% 지원)·연 한도 160만원, 성인용 기저귀 자체는 급여 품목이 아님(nhis.or.kr). 장기요양기관 29,734곳(시설 6,361·재가 23,373, 2025), 요양병원 약 1,300곳(감소 추세), 요양병원 간병비 건보 적용 2027~(보도).</t>
        </is>
      </c>
    </row>
    <row r="138">
      <c r="A138" s="66" t="inlineStr">
        <is>
          <t>동종 벤치마크: Essity FY2025 EBITA 마진 14.1%, Ontex FY2025 조정 EBITDA 마진 10.0% → 본 계획 S1의 2030 영업이익률(약 16%)은 이들보다 높음. 일부 수치는 보도·2차 자료 기반.</t>
        </is>
      </c>
    </row>
  </sheetData>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tabColor rgb="00548235"/>
    <outlinePr summaryBelow="1" summaryRight="1"/>
    <pageSetUpPr fitToPage="1"/>
  </sheetPr>
  <dimension ref="A1:H64"/>
  <sheetViews>
    <sheetView workbookViewId="0">
      <selection activeCell="A1" sqref="A1"/>
    </sheetView>
  </sheetViews>
  <sheetFormatPr baseColWidth="8" defaultRowHeight="15"/>
  <cols>
    <col width="34" customWidth="1" min="1" max="1"/>
    <col width="14" customWidth="1" min="2" max="2"/>
    <col width="12" customWidth="1" min="3" max="3"/>
    <col width="12" customWidth="1" min="4" max="4"/>
    <col width="12" customWidth="1" min="5" max="5"/>
    <col width="12" customWidth="1" min="6" max="6"/>
    <col width="12" customWidth="1" min="7" max="7"/>
    <col width="14" customWidth="1" min="8" max="8"/>
    <col width="60" customWidth="1" min="9" max="9"/>
  </cols>
  <sheetData>
    <row r="1">
      <c r="A1" s="1" t="inlineStr">
        <is>
          <t>9_시나리오 — S1 / S2 / S3 비교 (매출 100% · 80% · 60%)</t>
        </is>
      </c>
    </row>
    <row r="2">
      <c r="A2" s="2" t="inlineStr">
        <is>
          <t>단위: 억원. S2·S3는 S1(경영계획) 매출의 80%·60%를 거래처 전체에 일률 적용한 완만한 시나리오입니다. 값은 시나리오별로 재계산한 스냅샷입니다. 입력 변경 시 "점검" 행이 스냅샷 갱신 여부를 표시합니다.</t>
        </is>
      </c>
    </row>
    <row r="3"/>
    <row r="4">
      <c r="A4" s="3" t="inlineStr">
        <is>
          <t>S1 경영계획(100%)</t>
        </is>
      </c>
    </row>
    <row r="5">
      <c r="A5" s="21" t="inlineStr">
        <is>
          <t>지표</t>
        </is>
      </c>
      <c r="B5" s="11" t="inlineStr"/>
      <c r="C5" s="11" t="n">
        <v>2026</v>
      </c>
      <c r="D5" s="11" t="n">
        <v>2027</v>
      </c>
      <c r="E5" s="11" t="n">
        <v>2028</v>
      </c>
      <c r="F5" s="11" t="n">
        <v>2029</v>
      </c>
      <c r="G5" s="11" t="n">
        <v>2030</v>
      </c>
      <c r="H5" s="11" t="inlineStr">
        <is>
          <t>CAGR('25~'30)</t>
        </is>
      </c>
    </row>
    <row r="6">
      <c r="A6" s="15" t="inlineStr">
        <is>
          <t>매출액</t>
        </is>
      </c>
      <c r="C6" s="112" t="n">
        <v>12.01217</v>
      </c>
      <c r="D6" s="112" t="n">
        <v>100.05</v>
      </c>
      <c r="E6" s="112" t="n">
        <v>330</v>
      </c>
      <c r="F6" s="112" t="n">
        <v>700</v>
      </c>
      <c r="G6" s="112" t="n">
        <v>1560</v>
      </c>
      <c r="H6" s="14">
        <f>IFERROR((G6*100000/'3_연간손익'!$C$7)^(1/5)-1,"n/a")</f>
        <v>1.83345786870168</v>
      </c>
    </row>
    <row r="7">
      <c r="A7" s="15" t="inlineStr">
        <is>
          <t>매출총이익</t>
        </is>
      </c>
      <c r="C7" s="112" t="n">
        <v>5.996159470999999</v>
      </c>
      <c r="D7" s="112" t="n">
        <v>39.792142</v>
      </c>
      <c r="E7" s="112" t="n">
        <v>130.89579678</v>
      </c>
      <c r="F7" s="112" t="n">
        <v>279.723847036</v>
      </c>
      <c r="G7" s="112" t="n">
        <v>638.354931244016</v>
      </c>
    </row>
    <row r="8">
      <c r="A8" s="15" t="inlineStr">
        <is>
          <t>영업이익</t>
        </is>
      </c>
      <c r="C8" s="112" t="n">
        <v>0.219576791000001</v>
      </c>
      <c r="D8" s="112" t="n">
        <v>8.7620313344</v>
      </c>
      <c r="E8" s="112" t="n">
        <v>37.459809753904</v>
      </c>
      <c r="F8" s="112" t="n">
        <v>96.63698660166031</v>
      </c>
      <c r="G8" s="112" t="n">
        <v>256.12897760481</v>
      </c>
    </row>
    <row r="9">
      <c r="A9" s="15" t="inlineStr">
        <is>
          <t>영업이익률</t>
        </is>
      </c>
      <c r="C9" s="113" t="n">
        <v>0.0182795274292655</v>
      </c>
      <c r="D9" s="113" t="n">
        <v>0.0875765250814593</v>
      </c>
      <c r="E9" s="113" t="n">
        <v>0.11351457501183</v>
      </c>
      <c r="F9" s="113" t="n">
        <v>0.138052838002372</v>
      </c>
      <c r="G9" s="113" t="n">
        <v>0.164185242054365</v>
      </c>
    </row>
    <row r="10">
      <c r="A10" s="15" t="inlineStr">
        <is>
          <t>당기순이익</t>
        </is>
      </c>
      <c r="C10" s="112" t="n">
        <v>0.414112421000001</v>
      </c>
      <c r="D10" s="112" t="n">
        <v>10.9940313344</v>
      </c>
      <c r="E10" s="112" t="n">
        <v>32.8818403818571</v>
      </c>
      <c r="F10" s="112" t="n">
        <v>73.38164954929501</v>
      </c>
      <c r="G10" s="112" t="n">
        <v>195.521525024446</v>
      </c>
    </row>
    <row r="11">
      <c r="A11" s="15" t="inlineStr">
        <is>
          <t>추정 유료 이용자(명)</t>
        </is>
      </c>
      <c r="C11" s="114" t="n">
        <v>934.686208333333</v>
      </c>
      <c r="D11" s="114" t="n">
        <v>7856.9</v>
      </c>
      <c r="E11" s="114" t="n">
        <v>24986.2098666667</v>
      </c>
      <c r="F11" s="114" t="n">
        <v>50165.5202333333</v>
      </c>
      <c r="G11" s="114" t="n">
        <v>105594.409623467</v>
      </c>
    </row>
    <row r="12">
      <c r="A12" s="15" t="inlineStr">
        <is>
          <t>IR 대비 달성률</t>
        </is>
      </c>
      <c r="C12" s="113" t="n">
        <v>1.00101416666667</v>
      </c>
      <c r="D12" s="113" t="n">
        <v>1</v>
      </c>
      <c r="E12" s="113" t="n">
        <v>1</v>
      </c>
      <c r="F12" s="113" t="n">
        <v>1</v>
      </c>
      <c r="G12" s="113" t="n">
        <v>1</v>
      </c>
    </row>
    <row r="13"/>
    <row r="14"/>
    <row r="15">
      <c r="A15" s="3" t="inlineStr">
        <is>
          <t>S2 기준(80%)</t>
        </is>
      </c>
    </row>
    <row r="16">
      <c r="A16" s="21" t="inlineStr">
        <is>
          <t>지표</t>
        </is>
      </c>
      <c r="B16" s="11" t="inlineStr"/>
      <c r="C16" s="11" t="n">
        <v>2026</v>
      </c>
      <c r="D16" s="11" t="n">
        <v>2027</v>
      </c>
      <c r="E16" s="11" t="n">
        <v>2028</v>
      </c>
      <c r="F16" s="11" t="n">
        <v>2029</v>
      </c>
      <c r="G16" s="11" t="n">
        <v>2030</v>
      </c>
      <c r="H16" s="11" t="inlineStr">
        <is>
          <t>CAGR('25~'30)</t>
        </is>
      </c>
    </row>
    <row r="17">
      <c r="A17" s="15" t="inlineStr">
        <is>
          <t>매출액</t>
        </is>
      </c>
      <c r="C17" s="112" t="n">
        <v>9.609736</v>
      </c>
      <c r="D17" s="112" t="n">
        <v>80.04000000000001</v>
      </c>
      <c r="E17" s="112" t="n">
        <v>264</v>
      </c>
      <c r="F17" s="112" t="n">
        <v>560</v>
      </c>
      <c r="G17" s="112" t="n">
        <v>1248</v>
      </c>
      <c r="H17" s="14">
        <f>IFERROR((G17*100000/'3_연간손익'!$C$7)^(1/5)-1,"n/a")</f>
        <v>1.7097845157826</v>
      </c>
    </row>
    <row r="18">
      <c r="A18" s="15" t="inlineStr">
        <is>
          <t>매출총이익</t>
        </is>
      </c>
      <c r="C18" s="112" t="n">
        <v>4.79125499837656</v>
      </c>
      <c r="D18" s="112" t="n">
        <v>31.8337136</v>
      </c>
      <c r="E18" s="112" t="n">
        <v>104.716637424</v>
      </c>
      <c r="F18" s="112" t="n">
        <v>223.7790776288</v>
      </c>
      <c r="G18" s="112" t="n">
        <v>510.683944995213</v>
      </c>
    </row>
    <row r="19">
      <c r="A19" s="15" t="inlineStr">
        <is>
          <t>영업이익</t>
        </is>
      </c>
      <c r="C19" s="112" t="n">
        <v>-0.7258648096234399</v>
      </c>
      <c r="D19" s="112" t="n">
        <v>4.8638189344</v>
      </c>
      <c r="E19" s="112" t="n">
        <v>25.689531983904</v>
      </c>
      <c r="F19" s="112" t="n">
        <v>69.6180307802602</v>
      </c>
      <c r="G19" s="112" t="n">
        <v>192.230754789806</v>
      </c>
    </row>
    <row r="20">
      <c r="A20" s="15" t="inlineStr">
        <is>
          <t>영업이익률</t>
        </is>
      </c>
      <c r="C20" s="113" t="n">
        <v>-0.0755343132863837</v>
      </c>
      <c r="D20" s="113" t="n">
        <v>0.0607673530034983</v>
      </c>
      <c r="E20" s="113" t="n">
        <v>0.0973088332723637</v>
      </c>
      <c r="F20" s="113" t="n">
        <v>0.124317912107608</v>
      </c>
      <c r="G20" s="113" t="n">
        <v>0.154031053517473</v>
      </c>
    </row>
    <row r="21">
      <c r="A21" s="15" t="inlineStr">
        <is>
          <t>당기순이익</t>
        </is>
      </c>
      <c r="C21" s="112" t="n">
        <v>-0.61541436962344</v>
      </c>
      <c r="D21" s="112" t="n">
        <v>7.0958189344</v>
      </c>
      <c r="E21" s="112" t="n">
        <v>24.6673291635491</v>
      </c>
      <c r="F21" s="112" t="n">
        <v>52.306864008603</v>
      </c>
      <c r="G21" s="112" t="n">
        <v>146.821588736049</v>
      </c>
    </row>
    <row r="22">
      <c r="A22" s="15" t="inlineStr">
        <is>
          <t>추정 유료 이용자(명)</t>
        </is>
      </c>
      <c r="C22" s="114" t="n">
        <v>751.900762406309</v>
      </c>
      <c r="D22" s="114" t="n">
        <v>6285.52</v>
      </c>
      <c r="E22" s="114" t="n">
        <v>19988.9678933333</v>
      </c>
      <c r="F22" s="114" t="n">
        <v>40132.4161866667</v>
      </c>
      <c r="G22" s="114" t="n">
        <v>84475.52769877329</v>
      </c>
    </row>
    <row r="23">
      <c r="A23" s="15" t="inlineStr">
        <is>
          <t>IR 대비 달성률</t>
        </is>
      </c>
      <c r="C23" s="113" t="n">
        <v>0.800811333333333</v>
      </c>
      <c r="D23" s="113" t="n">
        <v>0.8</v>
      </c>
      <c r="E23" s="113" t="n">
        <v>0.8</v>
      </c>
      <c r="F23" s="113" t="n">
        <v>0.8</v>
      </c>
      <c r="G23" s="113" t="n">
        <v>0.8</v>
      </c>
    </row>
    <row r="24"/>
    <row r="25"/>
    <row r="26">
      <c r="A26" s="3" t="inlineStr">
        <is>
          <t>S3 보수(60%)</t>
        </is>
      </c>
    </row>
    <row r="27">
      <c r="A27" s="21" t="inlineStr">
        <is>
          <t>지표</t>
        </is>
      </c>
      <c r="B27" s="11" t="inlineStr"/>
      <c r="C27" s="11" t="n">
        <v>2026</v>
      </c>
      <c r="D27" s="11" t="n">
        <v>2027</v>
      </c>
      <c r="E27" s="11" t="n">
        <v>2028</v>
      </c>
      <c r="F27" s="11" t="n">
        <v>2029</v>
      </c>
      <c r="G27" s="11" t="n">
        <v>2030</v>
      </c>
      <c r="H27" s="11" t="inlineStr">
        <is>
          <t>CAGR('25~'30)</t>
        </is>
      </c>
    </row>
    <row r="28">
      <c r="A28" s="15" t="inlineStr">
        <is>
          <t>매출액</t>
        </is>
      </c>
      <c r="C28" s="112" t="n">
        <v>7.207301999999999</v>
      </c>
      <c r="D28" s="112" t="n">
        <v>60.03</v>
      </c>
      <c r="E28" s="112" t="n">
        <v>198</v>
      </c>
      <c r="F28" s="112" t="n">
        <v>420</v>
      </c>
      <c r="G28" s="112" t="n">
        <v>936</v>
      </c>
      <c r="H28" s="14">
        <f>IFERROR((G28*100000/'3_연간손익'!$C$7)^(1/5)-1,"n/a")</f>
        <v>1.55827371965066</v>
      </c>
    </row>
    <row r="29">
      <c r="A29" s="15" t="inlineStr">
        <is>
          <t>매출총이익</t>
        </is>
      </c>
      <c r="C29" s="112" t="n">
        <v>3.58635052575312</v>
      </c>
      <c r="D29" s="112" t="n">
        <v>23.8752852</v>
      </c>
      <c r="E29" s="112" t="n">
        <v>78.537478068</v>
      </c>
      <c r="F29" s="112" t="n">
        <v>167.8343082216</v>
      </c>
      <c r="G29" s="112" t="n">
        <v>383.01295874641</v>
      </c>
    </row>
    <row r="30">
      <c r="A30" s="15" t="inlineStr">
        <is>
          <t>영업이익</t>
        </is>
      </c>
      <c r="C30" s="112" t="n">
        <v>-1.67130641024688</v>
      </c>
      <c r="D30" s="112" t="n">
        <v>0.893613846400003</v>
      </c>
      <c r="E30" s="112" t="n">
        <v>13.915654579504</v>
      </c>
      <c r="F30" s="112" t="n">
        <v>42.5954753244602</v>
      </c>
      <c r="G30" s="112" t="n">
        <v>128.328932340403</v>
      </c>
    </row>
    <row r="31">
      <c r="A31" s="15" t="inlineStr">
        <is>
          <t>영업이익률</t>
        </is>
      </c>
      <c r="C31" s="113" t="n">
        <v>-0.231890714479133</v>
      </c>
      <c r="D31" s="113" t="n">
        <v>0.0148861210461436</v>
      </c>
      <c r="E31" s="113" t="n">
        <v>0.0702810837348686</v>
      </c>
      <c r="F31" s="113" t="n">
        <v>0.101417798391572</v>
      </c>
      <c r="G31" s="113" t="n">
        <v>0.137103560192739</v>
      </c>
    </row>
    <row r="32">
      <c r="A32" s="15" t="inlineStr">
        <is>
          <t>당기순이익</t>
        </is>
      </c>
      <c r="C32" s="112" t="n">
        <v>-1.64494116024688</v>
      </c>
      <c r="D32" s="112" t="n">
        <v>3.1256138464</v>
      </c>
      <c r="E32" s="112" t="n">
        <v>12.995654579504</v>
      </c>
      <c r="F32" s="112" t="n">
        <v>34.7150591546344</v>
      </c>
      <c r="G32" s="112" t="n">
        <v>96.9781672255146</v>
      </c>
    </row>
    <row r="33">
      <c r="A33" s="15" t="inlineStr">
        <is>
          <t>추정 유료 이용자(명)</t>
        </is>
      </c>
      <c r="C33" s="114" t="n">
        <v>569.115316479284</v>
      </c>
      <c r="D33" s="114" t="n">
        <v>4714.14</v>
      </c>
      <c r="E33" s="114" t="n">
        <v>14991.72592</v>
      </c>
      <c r="F33" s="114" t="n">
        <v>30099.31214</v>
      </c>
      <c r="G33" s="114" t="n">
        <v>63356.64577408</v>
      </c>
    </row>
    <row r="34">
      <c r="A34" s="15" t="inlineStr">
        <is>
          <t>IR 대비 달성률</t>
        </is>
      </c>
      <c r="C34" s="113" t="n">
        <v>0.6006085</v>
      </c>
      <c r="D34" s="113" t="n">
        <v>0.6</v>
      </c>
      <c r="E34" s="113" t="n">
        <v>0.6</v>
      </c>
      <c r="F34" s="113" t="n">
        <v>0.6</v>
      </c>
      <c r="G34" s="113" t="n">
        <v>0.6</v>
      </c>
    </row>
    <row r="35"/>
    <row r="36"/>
    <row r="37">
      <c r="A37" s="3" t="inlineStr">
        <is>
          <t>시나리오 격차 점검 — S1 대비 매출 비율</t>
        </is>
      </c>
    </row>
    <row r="38">
      <c r="A38" s="21" t="inlineStr">
        <is>
          <t>구분</t>
        </is>
      </c>
      <c r="B38" s="11" t="inlineStr"/>
      <c r="C38" s="11" t="n">
        <v>2026</v>
      </c>
      <c r="D38" s="11" t="n">
        <v>2027</v>
      </c>
      <c r="E38" s="11" t="n">
        <v>2028</v>
      </c>
      <c r="F38" s="11" t="n">
        <v>2029</v>
      </c>
      <c r="G38" s="11" t="n">
        <v>2030</v>
      </c>
    </row>
    <row r="39">
      <c r="A39" s="15" t="inlineStr">
        <is>
          <t>S2 매출 ÷ S1 매출</t>
        </is>
      </c>
      <c r="C39" s="58">
        <f>IFERROR(C17/C6,0)</f>
        <v>0.8</v>
      </c>
      <c r="D39" s="58">
        <f>IFERROR(D17/D6,0)</f>
        <v>0.8</v>
      </c>
      <c r="E39" s="58">
        <f>IFERROR(E17/E6,0)</f>
        <v>0.8</v>
      </c>
      <c r="F39" s="58">
        <f>IFERROR(F17/F6,0)</f>
        <v>0.8</v>
      </c>
      <c r="G39" s="58">
        <f>IFERROR(G17/G6,0)</f>
        <v>0.8</v>
      </c>
    </row>
    <row r="40">
      <c r="A40" s="15" t="inlineStr">
        <is>
          <t>S3 매출 ÷ S1 매출</t>
        </is>
      </c>
      <c r="C40" s="58">
        <f>IFERROR(C28/C6,0)</f>
        <v>0.6</v>
      </c>
      <c r="D40" s="58">
        <f>IFERROR(D28/D6,0)</f>
        <v>0.6</v>
      </c>
      <c r="E40" s="58">
        <f>IFERROR(E28/E6,0)</f>
        <v>0.6</v>
      </c>
      <c r="F40" s="58">
        <f>IFERROR(F28/F6,0)</f>
        <v>0.6</v>
      </c>
      <c r="G40" s="58">
        <f>IFERROR(G28/G6,0)</f>
        <v>0.6</v>
      </c>
    </row>
    <row r="41">
      <c r="A41" s="53" t="inlineStr">
        <is>
          <t>목표 비율 S2(8_가정)</t>
        </is>
      </c>
      <c r="C41" s="75">
        <f>'8_가정'!$D$17</f>
        <v>0.8</v>
      </c>
      <c r="D41" s="75">
        <f>'8_가정'!$D$18</f>
        <v>0.8</v>
      </c>
      <c r="E41" s="75">
        <f>'8_가정'!$D$19</f>
        <v>0.8</v>
      </c>
      <c r="F41" s="75">
        <f>'8_가정'!$D$20</f>
        <v>0.8</v>
      </c>
      <c r="G41" s="75">
        <f>'8_가정'!$D$21</f>
        <v>0.8</v>
      </c>
    </row>
    <row r="42">
      <c r="A42" s="53" t="inlineStr">
        <is>
          <t>목표 비율 S3(8_가정)</t>
        </is>
      </c>
      <c r="C42" s="75">
        <f>'8_가정'!$E$17</f>
        <v>0.6</v>
      </c>
      <c r="D42" s="75">
        <f>'8_가정'!$E$18</f>
        <v>0.6</v>
      </c>
      <c r="E42" s="75">
        <f>'8_가정'!$E$19</f>
        <v>0.6</v>
      </c>
      <c r="F42" s="75">
        <f>'8_가정'!$E$20</f>
        <v>0.6</v>
      </c>
      <c r="G42" s="75">
        <f>'8_가정'!$E$21</f>
        <v>0.6</v>
      </c>
    </row>
    <row r="43">
      <c r="A43" s="12" t="inlineStr">
        <is>
          <t>점검: 스냅샷 비율 = 목표 비율</t>
        </is>
      </c>
      <c r="C43" s="115" t="str">
        <f>IF(AND(ABS(C39-C41)&lt;0.0005,ABS(C40-C42)&lt;0.0005),"OK","확인")</f>
        <v>OK</v>
      </c>
      <c r="D43" s="115" t="str">
        <f>IF(AND(ABS(D39-D41)&lt;0.0005,ABS(D40-D42)&lt;0.0005),"OK","확인")</f>
        <v>OK</v>
      </c>
      <c r="E43" s="115" t="str">
        <f>IF(AND(ABS(E39-E41)&lt;0.0005,ABS(E40-E42)&lt;0.0005),"OK","확인")</f>
        <v>OK</v>
      </c>
      <c r="F43" s="115" t="str">
        <f>IF(AND(ABS(F39-F41)&lt;0.0005,ABS(F40-F42)&lt;0.0005),"OK","확인")</f>
        <v>OK</v>
      </c>
      <c r="G43" s="115" t="str">
        <f>IF(AND(ABS(G39-G41)&lt;0.0005,ABS(G40-G42)&lt;0.0005),"OK","확인")</f>
        <v>OK</v>
      </c>
    </row>
    <row r="44"/>
    <row r="45"/>
    <row r="46">
      <c r="A46" s="3" t="inlineStr">
        <is>
          <t>현재 선택 시나리오 (라이브)</t>
        </is>
      </c>
    </row>
    <row r="47">
      <c r="A47" s="21" t="inlineStr">
        <is>
          <t>지표</t>
        </is>
      </c>
      <c r="B47" s="11" t="inlineStr"/>
      <c r="C47" s="11" t="n">
        <v>2026</v>
      </c>
      <c r="D47" s="11" t="n">
        <v>2027</v>
      </c>
      <c r="E47" s="11" t="n">
        <v>2028</v>
      </c>
      <c r="F47" s="11" t="n">
        <v>2029</v>
      </c>
      <c r="G47" s="11" t="n">
        <v>2030</v>
      </c>
    </row>
    <row r="48">
      <c r="A48" s="15" t="inlineStr">
        <is>
          <t>매출액</t>
        </is>
      </c>
      <c r="B48" s="23" t="str">
        <f>'1_요약'!$C$4</f>
        <v>S1 경영계획(100%)</v>
      </c>
      <c r="C48" s="17">
        <f>'3_연간손익'!D7/100000</f>
        <v>12.01217</v>
      </c>
      <c r="D48" s="17">
        <f>'3_연간손익'!E7/100000</f>
        <v>100.05</v>
      </c>
      <c r="E48" s="17">
        <f>'3_연간손익'!F7/100000</f>
        <v>330</v>
      </c>
      <c r="F48" s="17">
        <f>'3_연간손익'!G7/100000</f>
        <v>700</v>
      </c>
      <c r="G48" s="17">
        <f>'3_연간손익'!H7/100000</f>
        <v>1560</v>
      </c>
    </row>
    <row r="49">
      <c r="A49" s="15" t="inlineStr">
        <is>
          <t>매출총이익</t>
        </is>
      </c>
      <c r="B49" s="23" t="str">
        <f>'1_요약'!$C$4</f>
        <v>S1 경영계획(100%)</v>
      </c>
      <c r="C49" s="17">
        <f>'3_연간손익'!D10/100000</f>
        <v>5.996159471</v>
      </c>
      <c r="D49" s="17">
        <f>'3_연간손익'!E10/100000</f>
        <v>39.792142</v>
      </c>
      <c r="E49" s="17">
        <f>'3_연간손익'!F10/100000</f>
        <v>130.89579678</v>
      </c>
      <c r="F49" s="17">
        <f>'3_연간손익'!G10/100000</f>
        <v>279.723847036</v>
      </c>
      <c r="G49" s="17">
        <f>'3_연간손익'!H10/100000</f>
        <v>638.354931244016</v>
      </c>
    </row>
    <row r="50">
      <c r="A50" s="15" t="inlineStr">
        <is>
          <t>영업이익</t>
        </is>
      </c>
      <c r="B50" s="23" t="str">
        <f>'1_요약'!$C$4</f>
        <v>S1 경영계획(100%)</v>
      </c>
      <c r="C50" s="17">
        <f>'3_연간손익'!D13/100000</f>
        <v>0.219576791000001</v>
      </c>
      <c r="D50" s="17">
        <f>'3_연간손익'!E13/100000</f>
        <v>8.7620313344</v>
      </c>
      <c r="E50" s="17">
        <f>'3_연간손익'!F13/100000</f>
        <v>37.459809753904</v>
      </c>
      <c r="F50" s="17">
        <f>'3_연간손익'!G13/100000</f>
        <v>96.6369866016603</v>
      </c>
      <c r="G50" s="17">
        <f>'3_연간손익'!H13/100000</f>
        <v>256.12897760481</v>
      </c>
    </row>
    <row r="51">
      <c r="A51" s="15" t="inlineStr">
        <is>
          <t>영업이익률</t>
        </is>
      </c>
      <c r="B51" s="23" t="str">
        <f>'1_요약'!$C$4</f>
        <v>S1 경영계획(100%)</v>
      </c>
      <c r="C51" s="16">
        <f>'3_연간손익'!D14</f>
        <v>0.0182795274292655</v>
      </c>
      <c r="D51" s="16">
        <f>'3_연간손익'!E14</f>
        <v>0.0875765250814593</v>
      </c>
      <c r="E51" s="16">
        <f>'3_연간손익'!F14</f>
        <v>0.11351457501183</v>
      </c>
      <c r="F51" s="16">
        <f>'3_연간손익'!G14</f>
        <v>0.138052838002372</v>
      </c>
      <c r="G51" s="16">
        <f>'3_연간손익'!H14</f>
        <v>0.164185242054365</v>
      </c>
    </row>
    <row r="52">
      <c r="A52" s="15" t="inlineStr">
        <is>
          <t>당기순이익</t>
        </is>
      </c>
      <c r="B52" s="23" t="str">
        <f>'1_요약'!$C$4</f>
        <v>S1 경영계획(100%)</v>
      </c>
      <c r="C52" s="17">
        <f>'3_연간손익'!D21/100000</f>
        <v>0.414112421000001</v>
      </c>
      <c r="D52" s="17">
        <f>'3_연간손익'!E21/100000</f>
        <v>10.9940313344</v>
      </c>
      <c r="E52" s="17">
        <f>'3_연간손익'!F21/100000</f>
        <v>32.8818403818571</v>
      </c>
      <c r="F52" s="17">
        <f>'3_연간손익'!G21/100000</f>
        <v>73.381649549295</v>
      </c>
      <c r="G52" s="17">
        <f>'3_연간손익'!H21/100000</f>
        <v>195.521525024446</v>
      </c>
    </row>
    <row r="53">
      <c r="A53" s="15" t="inlineStr">
        <is>
          <t>추정 유료 이용자(명)</t>
        </is>
      </c>
      <c r="B53" s="23" t="str">
        <f>'1_요약'!$C$4</f>
        <v>S1 경영계획(100%)</v>
      </c>
      <c r="C53" s="18">
        <f>'3_연간손익'!D26</f>
        <v>934.686208333333</v>
      </c>
      <c r="D53" s="18">
        <f>'3_연간손익'!E26</f>
        <v>7856.9</v>
      </c>
      <c r="E53" s="18">
        <f>'3_연간손익'!F26</f>
        <v>24986.2098666667</v>
      </c>
      <c r="F53" s="18">
        <f>'3_연간손익'!G26</f>
        <v>50165.5202333333</v>
      </c>
      <c r="G53" s="18">
        <f>'3_연간손익'!H26</f>
        <v>105594.409623467</v>
      </c>
    </row>
    <row r="54">
      <c r="A54" s="15" t="inlineStr">
        <is>
          <t>IR 대비 달성률</t>
        </is>
      </c>
      <c r="B54" s="23" t="str">
        <f>'1_요약'!$C$4</f>
        <v>S1 경영계획(100%)</v>
      </c>
      <c r="C54" s="16">
        <f>'3_연간손익'!D28</f>
        <v>1.00101416666667</v>
      </c>
      <c r="D54" s="16">
        <f>'3_연간손익'!E28</f>
        <v>1</v>
      </c>
      <c r="E54" s="16">
        <f>'3_연간손익'!F28</f>
        <v>1</v>
      </c>
      <c r="F54" s="16">
        <f>'3_연간손익'!G28</f>
        <v>1</v>
      </c>
      <c r="G54" s="16">
        <f>'3_연간손익'!H28</f>
        <v>1</v>
      </c>
    </row>
    <row r="55"/>
    <row r="56">
      <c r="A56" s="12" t="inlineStr">
        <is>
          <t>점검: 라이브 매출 = 선택 시나리오 스냅샷</t>
        </is>
      </c>
      <c r="C56" s="116" t="str">
        <f>IF(ISNUMBER(C6),IF(ABS(C48-CHOOSE('1_요약'!$C$5,C6,C17,C28))&lt;0.05,"OK","갱신 필요"),"스냅샷 없음")</f>
        <v>OK</v>
      </c>
      <c r="D56" s="116" t="str">
        <f>IF(ISNUMBER(D6),IF(ABS(D48-CHOOSE('1_요약'!$C$5,D6,D17,D28))&lt;0.05,"OK","갱신 필요"),"스냅샷 없음")</f>
        <v>OK</v>
      </c>
      <c r="E56" s="116" t="str">
        <f>IF(ISNUMBER(E6),IF(ABS(E48-CHOOSE('1_요약'!$C$5,E6,E17,E28))&lt;0.05,"OK","갱신 필요"),"스냅샷 없음")</f>
        <v>OK</v>
      </c>
      <c r="F56" s="116" t="str">
        <f>IF(ISNUMBER(F6),IF(ABS(F48-CHOOSE('1_요약'!$C$5,F6,F17,F28))&lt;0.05,"OK","갱신 필요"),"스냅샷 없음")</f>
        <v>OK</v>
      </c>
      <c r="G56" s="116" t="str">
        <f>IF(ISNUMBER(G6),IF(ABS(G48-CHOOSE('1_요약'!$C$5,G6,G17,G28))&lt;0.05,"OK","갱신 필요"),"스냅샷 없음")</f>
        <v>OK</v>
      </c>
    </row>
    <row r="57">
      <c r="A57" s="12" t="inlineStr">
        <is>
          <t>점검: 라이브 영업이익 = 선택 시나리오 스냅샷</t>
        </is>
      </c>
      <c r="C57" s="116" t="str">
        <f>IF(ISNUMBER(C8),IF(ABS(C50-CHOOSE('1_요약'!$C$5,C8,C19,C30))&lt;0.05,"OK","갱신 필요"),"스냅샷 없음")</f>
        <v>OK</v>
      </c>
      <c r="D57" s="116" t="str">
        <f>IF(ISNUMBER(D8),IF(ABS(D50-CHOOSE('1_요약'!$C$5,D8,D19,D30))&lt;0.05,"OK","갱신 필요"),"스냅샷 없음")</f>
        <v>OK</v>
      </c>
      <c r="E57" s="116" t="str">
        <f>IF(ISNUMBER(E8),IF(ABS(E50-CHOOSE('1_요약'!$C$5,E8,E19,E30))&lt;0.05,"OK","갱신 필요"),"스냅샷 없음")</f>
        <v>OK</v>
      </c>
      <c r="F57" s="116" t="str">
        <f>IF(ISNUMBER(F8),IF(ABS(F50-CHOOSE('1_요약'!$C$5,F8,F19,F30))&lt;0.05,"OK","갱신 필요"),"스냅샷 없음")</f>
        <v>OK</v>
      </c>
      <c r="G57" s="116" t="str">
        <f>IF(ISNUMBER(G8),IF(ABS(G50-CHOOSE('1_요약'!$C$5,G8,G19,G30))&lt;0.05,"OK","갱신 필요"),"스냅샷 없음")</f>
        <v>OK</v>
      </c>
    </row>
    <row r="58"/>
    <row r="59"/>
    <row r="60">
      <c r="A60" s="3" t="inlineStr">
        <is>
          <t>시나리오 정의</t>
        </is>
      </c>
    </row>
    <row r="61">
      <c r="A61" s="20" t="inlineStr">
        <is>
          <t>S1 경영계획(100%): 2026은 거래처 매출표 사실(1~9월 실적, 10~12월 확정·예상 발주), 2027은 매출표 거래처 구성을 바탕으로 IR 목표(100.05억)에 맞춘 계획, 2028~30은 IR 목표(지역 목표·삼성 채널 비중, 8_가정 §2b) 반영.</t>
        </is>
      </c>
    </row>
    <row r="62">
      <c r="A62" s="20" t="inlineStr">
        <is>
          <t>S2 기준(80%): 각 연도 매출 = S1의 80%. 모든 거래처·제품에 일률 적용(2026은 1~9월 실적 고정, 10~12월에 계수 역산 적용해 연간 80%).</t>
        </is>
      </c>
    </row>
    <row r="63">
      <c r="A63" s="20" t="inlineStr">
        <is>
          <t>S3 보수(60%): 각 연도 매출 = S1의 60%. 방식은 S2와 동일(2026은 1~9월 실적 고정 후 10~12월에 역산 적용).</t>
        </is>
      </c>
    </row>
    <row r="64">
      <c r="A64" s="20" t="inlineStr">
        <is>
          <t>인원은 2027년부터 매출 달성률에 75% 탄력적으로 연동(25%는 고정, 기존 인력 7명 미만으로는 줄이지 않음, 2026은 현 인력 유지). 임차·출장·기존 개발비 상각 등 고정비는 유지되어(신규 자본화분 상각은 인원 연동으로 소폭 감소) 규모 하락 시 이익률이 낮아집니다. 달성률은 8_가정 §2에서 조정 가능(S1 100%·S2 80%·S3 60%).</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548235"/>
    <outlinePr summaryBelow="1" summaryRight="1"/>
    <pageSetUpPr fitToPage="1"/>
  </sheetPr>
  <dimension ref="A1:J116"/>
  <sheetViews>
    <sheetView workbookViewId="0">
      <selection activeCell="A1" sqref="A1"/>
    </sheetView>
  </sheetViews>
  <sheetFormatPr baseColWidth="8" defaultRowHeight="15"/>
  <cols>
    <col width="40" customWidth="1" min="1" max="1"/>
    <col width="40" customWidth="1" min="2" max="2"/>
    <col width="14" customWidth="1" min="3" max="3"/>
    <col width="15" customWidth="1" min="4" max="4"/>
    <col width="15" customWidth="1" min="5" max="5"/>
    <col width="15" customWidth="1" min="6" max="6"/>
    <col width="15" customWidth="1" min="7" max="7"/>
    <col width="15" customWidth="1" min="8" max="8"/>
    <col width="50" customWidth="1" min="9" max="9"/>
  </cols>
  <sheetData>
    <row r="1">
      <c r="A1" s="1" t="inlineStr">
        <is>
          <t>10_IR정합 — IR 전망 대비 모델 정합성 · 시트 간 검증 · 내재 KPI</t>
        </is>
      </c>
    </row>
    <row r="2">
      <c r="A2" s="2" t="inlineStr">
        <is>
          <t>단위: 천원(별도 표기 제외).</t>
        </is>
      </c>
    </row>
    <row r="3"/>
    <row r="4">
      <c r="A4" s="3" t="inlineStr">
        <is>
          <t>1. IR 매출 전망(p.24) 대비 모델</t>
        </is>
      </c>
    </row>
    <row r="5">
      <c r="A5" s="11" t="inlineStr">
        <is>
          <t>구분</t>
        </is>
      </c>
      <c r="B5" s="11" t="inlineStr"/>
      <c r="C5" s="11" t="n">
        <v>2026</v>
      </c>
      <c r="D5" s="11" t="n">
        <v>2027</v>
      </c>
      <c r="E5" s="11" t="n">
        <v>2028</v>
      </c>
      <c r="F5" s="11" t="n">
        <v>2029</v>
      </c>
      <c r="G5" s="11" t="n">
        <v>2030</v>
      </c>
    </row>
    <row r="6">
      <c r="A6" s="12" t="inlineStr">
        <is>
          <t>IR 매출 목표</t>
        </is>
      </c>
      <c r="C6" s="18">
        <f>'8_가정'!$C$6</f>
        <v>1200000</v>
      </c>
      <c r="D6" s="18">
        <f>'8_가정'!$D$6</f>
        <v>10005000</v>
      </c>
      <c r="E6" s="18">
        <f>'8_가정'!$E$6</f>
        <v>33000000</v>
      </c>
      <c r="F6" s="18">
        <f>'8_가정'!$F$6</f>
        <v>70000000</v>
      </c>
      <c r="G6" s="18">
        <f>'8_가정'!$G$6</f>
        <v>156000000</v>
      </c>
    </row>
    <row r="7" ht="36" customHeight="1">
      <c r="A7" s="12" t="inlineStr">
        <is>
          <t>S1 경영계획(4_매출_거래처 A합계)</t>
        </is>
      </c>
      <c r="C7" s="18">
        <f>'4_매출_거래처'!AV46</f>
        <v>1201217</v>
      </c>
      <c r="D7" s="18">
        <f>'4_매출_거래처'!AW46</f>
        <v>10005000</v>
      </c>
      <c r="E7" s="18">
        <f>'4_매출_거래처'!AX46</f>
        <v>33000000</v>
      </c>
      <c r="F7" s="18">
        <f>'4_매출_거래처'!AY46</f>
        <v>70000000</v>
      </c>
      <c r="G7" s="18">
        <f>'4_매출_거래처'!AZ46</f>
        <v>156000000</v>
      </c>
      <c r="I7" s="117" t="inlineStr">
        <is>
          <t>2026은 거래처 매출표 사실 기준(IR 대비 +0.1%). 2027~2030은 IR 매출 목표와 정확히 일치(2027: 진행 중 요양병원·시설 IR p.25 금액 + 신규 파이프라인 조정, 2028~30: 지역 목표·삼성 채널 비중).</t>
        </is>
      </c>
    </row>
    <row r="8">
      <c r="A8" s="15" t="inlineStr">
        <is>
          <t>차이(S1 − IR)</t>
        </is>
      </c>
      <c r="C8" s="44">
        <f>C7-C6</f>
        <v>1217</v>
      </c>
      <c r="D8" s="44">
        <f>D7-D6</f>
        <v>0</v>
      </c>
      <c r="E8" s="44">
        <f>E7-E6</f>
        <v>0</v>
      </c>
      <c r="F8" s="44">
        <f>F7-F6</f>
        <v>0</v>
      </c>
      <c r="G8" s="44">
        <f>G7-G6</f>
        <v>0</v>
      </c>
    </row>
    <row r="9">
      <c r="A9" s="15" t="inlineStr">
        <is>
          <t>차이 %</t>
        </is>
      </c>
      <c r="C9" s="70">
        <f>IFERROR(C8/C6,0)</f>
        <v>0.00101416666666667</v>
      </c>
      <c r="D9" s="70">
        <f>IFERROR(D8/D6,0)</f>
        <v>0</v>
      </c>
      <c r="E9" s="70">
        <f>IFERROR(E8/E6,0)</f>
        <v>0</v>
      </c>
      <c r="F9" s="70">
        <f>IFERROR(F8/F6,0)</f>
        <v>0</v>
      </c>
      <c r="G9" s="70">
        <f>IFERROR(G8/G6,0)</f>
        <v>0</v>
      </c>
    </row>
    <row r="10">
      <c r="A10" s="15" t="inlineStr">
        <is>
          <t>선택 시나리오 매출(B합계)</t>
        </is>
      </c>
      <c r="C10" s="18">
        <f>'4_매출_거래처'!AV90</f>
        <v>1201217</v>
      </c>
      <c r="D10" s="18">
        <f>'4_매출_거래처'!AW90</f>
        <v>10005000</v>
      </c>
      <c r="E10" s="18">
        <f>'4_매출_거래처'!AX90</f>
        <v>33000000</v>
      </c>
      <c r="F10" s="18">
        <f>'4_매출_거래처'!AY90</f>
        <v>70000000</v>
      </c>
      <c r="G10" s="18">
        <f>'4_매출_거래처'!AZ90</f>
        <v>156000000</v>
      </c>
    </row>
    <row r="11">
      <c r="A11" s="15" t="inlineStr">
        <is>
          <t>선택 시나리오 / IR</t>
        </is>
      </c>
      <c r="C11" s="58">
        <f>IFERROR(C10/C6,0)</f>
        <v>1.00101416666667</v>
      </c>
      <c r="D11" s="58">
        <f>IFERROR(D10/D6,0)</f>
        <v>1</v>
      </c>
      <c r="E11" s="58">
        <f>IFERROR(E10/E6,0)</f>
        <v>1</v>
      </c>
      <c r="F11" s="58">
        <f>IFERROR(F10/F6,0)</f>
        <v>1</v>
      </c>
      <c r="G11" s="58">
        <f>IFERROR(G10/G6,0)</f>
        <v>1</v>
      </c>
    </row>
    <row r="12"/>
    <row r="13">
      <c r="A13" s="3" t="inlineStr">
        <is>
          <t>2. 2027 거래처 표(IR p.25) 대비 모델 — 4_매출_거래처 전체 행</t>
        </is>
      </c>
    </row>
    <row r="14">
      <c r="A14" s="11" t="inlineStr">
        <is>
          <t>국가</t>
        </is>
      </c>
      <c r="B14" s="11" t="inlineStr">
        <is>
          <t>거래처</t>
        </is>
      </c>
      <c r="C14" s="11" t="inlineStr">
        <is>
          <t>단계(IR p.25 표기 기준, 미표기 항목은 모델 단계 · NHG는 입찰자료 기준 정정)</t>
        </is>
      </c>
      <c r="D14" s="11" t="inlineStr">
        <is>
          <t>IR 2027 매출</t>
        </is>
      </c>
      <c r="E14" s="11" t="inlineStr">
        <is>
          <t>S1 모델 2027</t>
        </is>
      </c>
      <c r="F14" s="11" t="inlineStr">
        <is>
          <t>차이</t>
        </is>
      </c>
      <c r="G14" s="11" t="inlineStr">
        <is>
          <t>선택 시나리오 2027</t>
        </is>
      </c>
      <c r="H14" s="11" t="inlineStr">
        <is>
          <t>비고</t>
        </is>
      </c>
    </row>
    <row r="15">
      <c r="A15" s="15" t="inlineStr">
        <is>
          <t>한국</t>
        </is>
      </c>
      <c r="B15" s="15" t="inlineStr">
        <is>
          <t>네이버(Bebefit/Monit) — 베이비</t>
        </is>
      </c>
      <c r="C15" s="15" t="inlineStr">
        <is>
          <t>기존</t>
        </is>
      </c>
      <c r="E15" s="18">
        <f>'4_매출_거래처'!AW10</f>
        <v>195000</v>
      </c>
      <c r="G15" s="18">
        <f>'4_매출_거래처'!AW54</f>
        <v>195000</v>
      </c>
    </row>
    <row r="16">
      <c r="A16" s="15" t="inlineStr">
        <is>
          <t>한국</t>
        </is>
      </c>
      <c r="B16" s="15" t="inlineStr">
        <is>
          <t>네이버(위탁상품) — 베이비</t>
        </is>
      </c>
      <c r="C16" s="15" t="inlineStr">
        <is>
          <t>기존</t>
        </is>
      </c>
      <c r="E16" s="18">
        <f>'4_매출_거래처'!AW11</f>
        <v>120000</v>
      </c>
      <c r="G16" s="18">
        <f>'4_매출_거래처'!AW55</f>
        <v>120000</v>
      </c>
    </row>
    <row r="17">
      <c r="A17" s="15" t="inlineStr">
        <is>
          <t>한국</t>
        </is>
      </c>
      <c r="B17" s="15" t="inlineStr">
        <is>
          <t>쿠팡 — 베이비</t>
        </is>
      </c>
      <c r="C17" s="15" t="inlineStr">
        <is>
          <t>기존</t>
        </is>
      </c>
      <c r="E17" s="18">
        <f>'4_매출_거래처'!AW12</f>
        <v>165000</v>
      </c>
      <c r="G17" s="18">
        <f>'4_매출_거래처'!AW56</f>
        <v>165000</v>
      </c>
    </row>
    <row r="18">
      <c r="A18" s="15" t="inlineStr">
        <is>
          <t>한국</t>
        </is>
      </c>
      <c r="B18" s="15" t="inlineStr">
        <is>
          <t>기타 B2C — 베이비</t>
        </is>
      </c>
      <c r="C18" s="15" t="inlineStr">
        <is>
          <t>기존</t>
        </is>
      </c>
      <c r="E18" s="18">
        <f>'4_매출_거래처'!AW13</f>
        <v>171000</v>
      </c>
      <c r="G18" s="18">
        <f>'4_매출_거래처'!AW57</f>
        <v>171000</v>
      </c>
    </row>
    <row r="19">
      <c r="A19" s="15" t="inlineStr">
        <is>
          <t>한국</t>
        </is>
      </c>
      <c r="B19" s="15" t="inlineStr">
        <is>
          <t>B2B(국내) — 베이비</t>
        </is>
      </c>
      <c r="C19" s="15" t="inlineStr">
        <is>
          <t>기존</t>
        </is>
      </c>
      <c r="E19" s="18">
        <f>'4_매출_거래처'!AW14</f>
        <v>220000</v>
      </c>
      <c r="G19" s="18">
        <f>'4_매출_거래처'!AW58</f>
        <v>220000</v>
      </c>
    </row>
    <row r="20">
      <c r="A20" s="15" t="inlineStr">
        <is>
          <t>한국</t>
        </is>
      </c>
      <c r="B20" s="15" t="inlineStr">
        <is>
          <t>APP KOREA — 유아(스마트 베이비 기저귀)</t>
        </is>
      </c>
      <c r="C20" s="15" t="inlineStr">
        <is>
          <t>계약</t>
        </is>
      </c>
      <c r="D20" s="56" t="n">
        <v>1000000</v>
      </c>
      <c r="E20" s="18">
        <f>'4_매출_거래처'!AW15</f>
        <v>1200000</v>
      </c>
      <c r="F20" s="44">
        <f>E20-D20</f>
        <v>200000</v>
      </c>
      <c r="G20" s="18">
        <f>'4_매출_거래처'!AW59</f>
        <v>1200000</v>
      </c>
    </row>
    <row r="21">
      <c r="A21" s="15" t="inlineStr">
        <is>
          <t>대만</t>
        </is>
      </c>
      <c r="B21" s="15" t="inlineStr">
        <is>
          <t>Little Loft(대만, 베이비)</t>
        </is>
      </c>
      <c r="C21" s="15" t="inlineStr">
        <is>
          <t>계약</t>
        </is>
      </c>
      <c r="D21" s="56" t="n">
        <v>120000</v>
      </c>
      <c r="E21" s="18">
        <f>'4_매출_거래처'!AW16</f>
        <v>100000</v>
      </c>
      <c r="F21" s="44">
        <f>E21-D21</f>
        <v>-20000</v>
      </c>
      <c r="G21" s="18">
        <f>'4_매출_거래처'!AW60</f>
        <v>100000</v>
      </c>
    </row>
    <row r="22">
      <c r="A22" s="15" t="inlineStr">
        <is>
          <t>태국</t>
        </is>
      </c>
      <c r="B22" s="15" t="inlineStr">
        <is>
          <t>Punnita House(태국, 베이비)</t>
        </is>
      </c>
      <c r="C22" s="15" t="inlineStr">
        <is>
          <t>계약</t>
        </is>
      </c>
      <c r="D22" s="56" t="n">
        <v>90000</v>
      </c>
      <c r="E22" s="18">
        <f>'4_매출_거래처'!AW17</f>
        <v>120000</v>
      </c>
      <c r="F22" s="44">
        <f>E22-D22</f>
        <v>30000</v>
      </c>
      <c r="G22" s="18">
        <f>'4_매출_거래처'!AW61</f>
        <v>120000</v>
      </c>
    </row>
    <row r="23">
      <c r="A23" s="15" t="inlineStr">
        <is>
          <t>미정</t>
        </is>
      </c>
      <c r="B23" s="15" t="inlineStr">
        <is>
          <t>신규 거래선-1 Swara Baby(베이비)</t>
        </is>
      </c>
      <c r="C23" s="15" t="inlineStr">
        <is>
          <t>진행 중</t>
        </is>
      </c>
      <c r="E23" s="18">
        <f>'4_매출_거래처'!AW18</f>
        <v>100000</v>
      </c>
      <c r="G23" s="18">
        <f>'4_매출_거래처'!AW62</f>
        <v>100000</v>
      </c>
    </row>
    <row r="24">
      <c r="A24" s="15" t="inlineStr">
        <is>
          <t>미정</t>
        </is>
      </c>
      <c r="B24" s="15" t="inlineStr">
        <is>
          <t>신규 거래선-2(베이비)</t>
        </is>
      </c>
      <c r="C24" s="15" t="inlineStr">
        <is>
          <t>진행 중</t>
        </is>
      </c>
      <c r="E24" s="18">
        <f>'4_매출_거래처'!AW19</f>
        <v>80000</v>
      </c>
      <c r="G24" s="18">
        <f>'4_매출_거래처'!AW63</f>
        <v>80000</v>
      </c>
    </row>
    <row r="25">
      <c r="A25" s="15" t="inlineStr">
        <is>
          <t>한국</t>
        </is>
      </c>
      <c r="B25" s="15" t="inlineStr">
        <is>
          <t>삼성노블카운티</t>
        </is>
      </c>
      <c r="C25" s="15" t="inlineStr">
        <is>
          <t>계약</t>
        </is>
      </c>
      <c r="E25" s="18">
        <f>'4_매출_거래처'!AW20</f>
        <v>94800</v>
      </c>
      <c r="G25" s="18">
        <f>'4_매출_거래처'!AW64</f>
        <v>94800</v>
      </c>
    </row>
    <row r="26">
      <c r="A26" s="15" t="inlineStr">
        <is>
          <t>한국</t>
        </is>
      </c>
      <c r="B26" s="15" t="inlineStr">
        <is>
          <t>국내 요양병원·시설 구독 매출</t>
        </is>
      </c>
      <c r="C26" s="15" t="inlineStr">
        <is>
          <t>진행 중</t>
        </is>
      </c>
      <c r="D26" s="56" t="n">
        <v>1986200</v>
      </c>
      <c r="E26" s="18">
        <f>'4_매출_거래처'!AW21</f>
        <v>1986200</v>
      </c>
      <c r="F26" s="44">
        <f>E26-D26</f>
        <v>0</v>
      </c>
      <c r="G26" s="18">
        <f>'4_매출_거래처'!AW65</f>
        <v>1986200</v>
      </c>
    </row>
    <row r="27">
      <c r="A27" s="15" t="inlineStr">
        <is>
          <t>한국</t>
        </is>
      </c>
      <c r="B27" s="15" t="inlineStr">
        <is>
          <t>피플앤테크놀로지 실증사업</t>
        </is>
      </c>
      <c r="C27" s="15" t="inlineStr">
        <is>
          <t>계약</t>
        </is>
      </c>
      <c r="E27" s="18">
        <f>'4_매출_거래처'!AW22</f>
        <v>16000</v>
      </c>
      <c r="G27" s="18">
        <f>'4_매출_거래처'!AW66</f>
        <v>16000</v>
      </c>
    </row>
    <row r="28">
      <c r="A28" s="15" t="inlineStr">
        <is>
          <t>한국</t>
        </is>
      </c>
      <c r="B28" s="15" t="inlineStr">
        <is>
          <t>네이버 — 엘더리</t>
        </is>
      </c>
      <c r="C28" s="15" t="inlineStr">
        <is>
          <t>기존</t>
        </is>
      </c>
      <c r="E28" s="18">
        <f>'4_매출_거래처'!AW23</f>
        <v>195000</v>
      </c>
      <c r="G28" s="18">
        <f>'4_매출_거래처'!AW67</f>
        <v>195000</v>
      </c>
    </row>
    <row r="29">
      <c r="A29" s="15" t="inlineStr">
        <is>
          <t>한국</t>
        </is>
      </c>
      <c r="B29" s="15" t="inlineStr">
        <is>
          <t>쿠팡 — 엘더리</t>
        </is>
      </c>
      <c r="C29" s="15" t="inlineStr">
        <is>
          <t>기존</t>
        </is>
      </c>
      <c r="E29" s="18">
        <f>'4_매출_거래처'!AW24</f>
        <v>210000</v>
      </c>
      <c r="G29" s="18">
        <f>'4_매출_거래처'!AW68</f>
        <v>210000</v>
      </c>
    </row>
    <row r="30">
      <c r="A30" s="15" t="inlineStr">
        <is>
          <t>한국</t>
        </is>
      </c>
      <c r="B30" s="15" t="inlineStr">
        <is>
          <t>복지용구(NHIS 급여, 기저귀센서)</t>
        </is>
      </c>
      <c r="C30" s="15" t="inlineStr">
        <is>
          <t>등록 완료</t>
        </is>
      </c>
      <c r="D30" s="56" t="n">
        <v>500000</v>
      </c>
      <c r="E30" s="18">
        <f>'4_매출_거래처'!AW25</f>
        <v>300000</v>
      </c>
      <c r="F30" s="44">
        <f>E30-D30</f>
        <v>-200000</v>
      </c>
      <c r="G30" s="18">
        <f>'4_매출_거래처'!AW69</f>
        <v>300000</v>
      </c>
    </row>
    <row r="31">
      <c r="A31" s="15" t="inlineStr">
        <is>
          <t>한국</t>
        </is>
      </c>
      <c r="B31" s="15" t="inlineStr">
        <is>
          <t>국내 B2B 기타</t>
        </is>
      </c>
      <c r="C31" s="15" t="inlineStr">
        <is>
          <t>기존</t>
        </is>
      </c>
      <c r="E31" s="18">
        <f>'4_매출_거래처'!AW26</f>
        <v>120000</v>
      </c>
      <c r="G31" s="18">
        <f>'4_매출_거래처'!AW70</f>
        <v>120000</v>
      </c>
    </row>
    <row r="32">
      <c r="A32" s="15" t="inlineStr">
        <is>
          <t>한국</t>
        </is>
      </c>
      <c r="B32" s="15" t="inlineStr">
        <is>
          <t>APP KOREA — 성인(키퍼스 시니어 팬티형)</t>
        </is>
      </c>
      <c r="C32" s="15" t="inlineStr">
        <is>
          <t>계약</t>
        </is>
      </c>
      <c r="D32" s="56" t="n">
        <v>1500000</v>
      </c>
      <c r="E32" s="18">
        <f>'4_매출_거래처'!AW27</f>
        <v>1440000</v>
      </c>
      <c r="F32" s="44">
        <f>E32-D32</f>
        <v>-60000</v>
      </c>
      <c r="G32" s="18">
        <f>'4_매출_거래처'!AW71</f>
        <v>1440000</v>
      </c>
    </row>
    <row r="33">
      <c r="A33" s="15" t="inlineStr">
        <is>
          <t>일본</t>
        </is>
      </c>
      <c r="B33" s="15" t="inlineStr">
        <is>
          <t>일본 하트키움(HEARTCARE 오사카 요양시설)</t>
        </is>
      </c>
      <c r="C33" s="15" t="inlineStr">
        <is>
          <t>계약</t>
        </is>
      </c>
      <c r="D33" s="56" t="n">
        <v>1600000</v>
      </c>
      <c r="E33" s="18">
        <f>'4_매출_거래처'!AW28</f>
        <v>360000</v>
      </c>
      <c r="F33" s="44">
        <f>E33-D33</f>
        <v>-1240000</v>
      </c>
      <c r="G33" s="18">
        <f>'4_매출_거래처'!AW72</f>
        <v>360000</v>
      </c>
    </row>
    <row r="34">
      <c r="A34" s="15" t="inlineStr">
        <is>
          <t>일본</t>
        </is>
      </c>
      <c r="B34" s="15" t="inlineStr">
        <is>
          <t>일본 TAIS by JAIS</t>
        </is>
      </c>
      <c r="C34" s="15" t="inlineStr">
        <is>
          <t>등록 완료</t>
        </is>
      </c>
      <c r="D34" s="56" t="n">
        <v>2000000</v>
      </c>
      <c r="E34" s="18">
        <f>'4_매출_거래처'!AW29</f>
        <v>120000</v>
      </c>
      <c r="F34" s="44">
        <f>E34-D34</f>
        <v>-1880000</v>
      </c>
      <c r="G34" s="18">
        <f>'4_매출_거래처'!AW73</f>
        <v>120000</v>
      </c>
    </row>
    <row r="35">
      <c r="A35" s="15" t="inlineStr">
        <is>
          <t>인도</t>
        </is>
      </c>
      <c r="B35" s="15" t="inlineStr">
        <is>
          <t>케랄라 주정부(인도)</t>
        </is>
      </c>
      <c r="C35" s="15" t="inlineStr">
        <is>
          <t>기존</t>
        </is>
      </c>
      <c r="E35" s="18">
        <f>'4_매출_거래처'!AW30</f>
        <v>60000</v>
      </c>
      <c r="G35" s="18">
        <f>'4_매출_거래처'!AW74</f>
        <v>60000</v>
      </c>
    </row>
    <row r="36">
      <c r="A36" s="15" t="inlineStr">
        <is>
          <t>인도</t>
        </is>
      </c>
      <c r="B36" s="15" t="inlineStr">
        <is>
          <t>인도 뉴델리 디스트리뷰터</t>
        </is>
      </c>
      <c r="C36" s="15" t="inlineStr">
        <is>
          <t>진행 중</t>
        </is>
      </c>
      <c r="E36" s="18">
        <f>'4_매출_거래처'!AW31</f>
        <v>60000</v>
      </c>
      <c r="G36" s="18">
        <f>'4_매출_거래처'!AW75</f>
        <v>60000</v>
      </c>
    </row>
    <row r="37">
      <c r="A37" s="15" t="inlineStr">
        <is>
          <t>인도</t>
        </is>
      </c>
      <c r="B37" s="15" t="inlineStr">
        <is>
          <t>인도 뭄바이 디스트리뷰터</t>
        </is>
      </c>
      <c r="C37" s="15" t="inlineStr">
        <is>
          <t>진행 중</t>
        </is>
      </c>
      <c r="E37" s="18">
        <f>'4_매출_거래처'!AW32</f>
        <v>80000</v>
      </c>
      <c r="G37" s="18">
        <f>'4_매출_거래처'!AW76</f>
        <v>80000</v>
      </c>
    </row>
    <row r="38">
      <c r="A38" s="15" t="inlineStr">
        <is>
          <t>네덜란드</t>
        </is>
      </c>
      <c r="B38" s="15" t="inlineStr">
        <is>
          <t>GISI Distribution(네덜란드·룩셈부르크·독일·폴란드)</t>
        </is>
      </c>
      <c r="C38" s="15" t="inlineStr">
        <is>
          <t>계약</t>
        </is>
      </c>
      <c r="D38" s="56" t="n">
        <v>100000</v>
      </c>
      <c r="E38" s="18">
        <f>'4_매출_거래처'!AW33</f>
        <v>150000</v>
      </c>
      <c r="F38" s="44">
        <f>E38-D38</f>
        <v>50000</v>
      </c>
      <c r="G38" s="18">
        <f>'4_매출_거래처'!AW77</f>
        <v>150000</v>
      </c>
    </row>
    <row r="39">
      <c r="A39" s="15" t="inlineStr">
        <is>
          <t>폴란드</t>
        </is>
      </c>
      <c r="B39" s="15" t="inlineStr">
        <is>
          <t>NEUCA(폴란드 총판)</t>
        </is>
      </c>
      <c r="C39" s="15" t="inlineStr">
        <is>
          <t>접촉</t>
        </is>
      </c>
      <c r="D39" s="56" t="n">
        <v>100000</v>
      </c>
      <c r="E39" s="18">
        <f>'4_매출_거래처'!AW34</f>
        <v>150000</v>
      </c>
      <c r="F39" s="44">
        <f>E39-D39</f>
        <v>50000</v>
      </c>
      <c r="G39" s="18">
        <f>'4_매출_거래처'!AW78</f>
        <v>150000</v>
      </c>
    </row>
    <row r="40">
      <c r="A40" s="15" t="inlineStr">
        <is>
          <t>독일</t>
        </is>
      </c>
      <c r="B40" s="15" t="inlineStr">
        <is>
          <t>Armedion(독일 총판)</t>
        </is>
      </c>
      <c r="C40" s="15" t="inlineStr">
        <is>
          <t>진행 중</t>
        </is>
      </c>
      <c r="E40" s="18">
        <f>'4_매출_거래처'!AW35</f>
        <v>150000</v>
      </c>
      <c r="G40" s="18">
        <f>'4_매출_거래처'!AW79</f>
        <v>150000</v>
      </c>
    </row>
    <row r="41">
      <c r="A41" s="15" t="inlineStr">
        <is>
          <t>싱가포르</t>
        </is>
      </c>
      <c r="B41" s="15" t="inlineStr">
        <is>
          <t>INTEGA(싱가포르·말레이시아·태국)</t>
        </is>
      </c>
      <c r="C41" s="15" t="inlineStr">
        <is>
          <t>계약</t>
        </is>
      </c>
      <c r="D41" s="56" t="n">
        <v>300000</v>
      </c>
      <c r="E41" s="18">
        <f>'4_매출_거래처'!AW36</f>
        <v>300000</v>
      </c>
      <c r="F41" s="44">
        <f>E41-D41</f>
        <v>0</v>
      </c>
      <c r="G41" s="18">
        <f>'4_매출_거래처'!AW80</f>
        <v>300000</v>
      </c>
    </row>
    <row r="42">
      <c r="A42" s="15" t="inlineStr">
        <is>
          <t>말레이시아</t>
        </is>
      </c>
      <c r="B42" s="15" t="inlineStr">
        <is>
          <t>Sunway Sanctuary(말레이시아)</t>
        </is>
      </c>
      <c r="C42" s="15" t="inlineStr">
        <is>
          <t>PoC / R&amp;D</t>
        </is>
      </c>
      <c r="D42" s="56" t="n">
        <v>300000</v>
      </c>
      <c r="E42" s="18">
        <f>'4_매출_거래처'!AW37</f>
        <v>50000</v>
      </c>
      <c r="F42" s="44">
        <f>E42-D42</f>
        <v>-250000</v>
      </c>
      <c r="G42" s="18">
        <f>'4_매출_거래처'!AW81</f>
        <v>50000</v>
      </c>
    </row>
    <row r="43">
      <c r="A43" s="15" t="inlineStr">
        <is>
          <t>싱가포르</t>
        </is>
      </c>
      <c r="B43" s="15" t="inlineStr">
        <is>
          <t>NHG(KTPH·TTSH·Woodlands) 스마트 병동</t>
        </is>
      </c>
      <c r="C43" s="15" t="inlineStr">
        <is>
          <t>단독입찰 제안(LOA 대기)</t>
        </is>
      </c>
      <c r="D43" s="56" t="n">
        <v>180000</v>
      </c>
      <c r="E43" s="18">
        <f>'4_매출_거래처'!AW38</f>
        <v>400000</v>
      </c>
      <c r="F43" s="44">
        <f>E43-D43</f>
        <v>220000</v>
      </c>
      <c r="G43" s="18">
        <f>'4_매출_거래처'!AW82</f>
        <v>400000</v>
      </c>
    </row>
    <row r="44">
      <c r="A44" s="15" t="inlineStr">
        <is>
          <t>싱가포르</t>
        </is>
      </c>
      <c r="B44" s="15" t="inlineStr">
        <is>
          <t>IMH 스마트 욕창 케어 R&amp;D</t>
        </is>
      </c>
      <c r="C44" s="15" t="inlineStr">
        <is>
          <t>계약</t>
        </is>
      </c>
      <c r="D44" s="56" t="n">
        <v>120000</v>
      </c>
      <c r="E44" s="18">
        <f>'4_매출_거래처'!AW39</f>
        <v>180000</v>
      </c>
      <c r="F44" s="44">
        <f>E44-D44</f>
        <v>60000</v>
      </c>
      <c r="G44" s="18">
        <f>'4_매출_거래처'!AW83</f>
        <v>180000</v>
      </c>
    </row>
    <row r="45">
      <c r="A45" s="15" t="inlineStr">
        <is>
          <t>호주</t>
        </is>
      </c>
      <c r="B45" s="15" t="inlineStr">
        <is>
          <t>Healthbeats(호주·뉴질랜드)</t>
        </is>
      </c>
      <c r="C45" s="15" t="inlineStr">
        <is>
          <t>계약</t>
        </is>
      </c>
      <c r="D45" s="56" t="n">
        <v>120000</v>
      </c>
      <c r="E45" s="18">
        <f>'4_매출_거래처'!AW40</f>
        <v>300000</v>
      </c>
      <c r="F45" s="44">
        <f>E45-D45</f>
        <v>180000</v>
      </c>
      <c r="G45" s="18">
        <f>'4_매출_거래처'!AW84</f>
        <v>300000</v>
      </c>
    </row>
    <row r="46">
      <c r="A46" s="15" t="inlineStr">
        <is>
          <t>일본</t>
        </is>
      </c>
      <c r="B46" s="15" t="inlineStr">
        <is>
          <t>일본 신규 시설·재가 채널(하트키움·TAIS 외 직접 도입)</t>
        </is>
      </c>
      <c r="C46" s="15" t="inlineStr">
        <is>
          <t>신규</t>
        </is>
      </c>
      <c r="E46" s="18">
        <f>'4_매출_거래처'!AW41</f>
        <v>0</v>
      </c>
      <c r="G46" s="18">
        <f>'4_매출_거래처'!AW85</f>
        <v>0</v>
      </c>
    </row>
    <row r="47">
      <c r="A47" s="15" t="inlineStr">
        <is>
          <t>싱가포르·말레이시아 외</t>
        </is>
      </c>
      <c r="B47" s="15" t="inlineStr">
        <is>
          <t>동남아 병원·요양그룹 확대(IHH·NTUC·SingHealth·Econ·ACG 전환)</t>
        </is>
      </c>
      <c r="C47" s="15" t="inlineStr">
        <is>
          <t>신규</t>
        </is>
      </c>
      <c r="E47" s="18">
        <f>'4_매출_거래처'!AW42</f>
        <v>162400</v>
      </c>
      <c r="G47" s="18">
        <f>'4_매출_거래처'!AW86</f>
        <v>162400</v>
      </c>
    </row>
    <row r="48">
      <c r="A48" s="15" t="inlineStr">
        <is>
          <t>유럽</t>
        </is>
      </c>
      <c r="B48" s="15" t="inlineStr">
        <is>
          <t>유럽 총판 확대(NL·DE·PL·PT·북유럽)</t>
        </is>
      </c>
      <c r="C48" s="15" t="inlineStr">
        <is>
          <t>신규</t>
        </is>
      </c>
      <c r="E48" s="18">
        <f>'4_매출_거래처'!AW43</f>
        <v>389760</v>
      </c>
      <c r="G48" s="18">
        <f>'4_매출_거래처'!AW87</f>
        <v>389760</v>
      </c>
    </row>
    <row r="49">
      <c r="A49" s="15" t="inlineStr">
        <is>
          <t>미국</t>
        </is>
      </c>
      <c r="B49" s="15" t="inlineStr">
        <is>
          <t>미국 의료유통 채널(Shelter Device PoC → 2029 유통 진입)</t>
        </is>
      </c>
      <c r="C49" s="15" t="inlineStr">
        <is>
          <t>신규</t>
        </is>
      </c>
      <c r="E49" s="18">
        <f>'4_매출_거래처'!AW44</f>
        <v>162400</v>
      </c>
      <c r="G49" s="18">
        <f>'4_매출_거래처'!AW88</f>
        <v>162400</v>
      </c>
    </row>
    <row r="50">
      <c r="A50" s="15" t="inlineStr">
        <is>
          <t>글로벌</t>
        </is>
      </c>
      <c r="B50" s="15" t="inlineStr">
        <is>
          <t>삼성 글로벌 채널(B2B 오퍼링 번들·시니어 모바일 앱)</t>
        </is>
      </c>
      <c r="C50" s="15" t="inlineStr">
        <is>
          <t>신규</t>
        </is>
      </c>
      <c r="E50" s="18">
        <f>'4_매출_거래처'!AW45</f>
        <v>97440</v>
      </c>
      <c r="G50" s="18">
        <f>'4_매출_거래처'!AW89</f>
        <v>97440</v>
      </c>
    </row>
    <row r="51">
      <c r="A51" s="15" t="inlineStr">
        <is>
          <t>싱가포르</t>
        </is>
      </c>
      <c r="B51" s="15" t="inlineStr">
        <is>
          <t>Vanguard Healthcare(거래처 매출표에 없음 — 미반영)</t>
        </is>
      </c>
      <c r="C51" s="15" t="inlineStr">
        <is>
          <t>계약</t>
        </is>
      </c>
      <c r="D51" s="56" t="n">
        <v>285840</v>
      </c>
      <c r="E51" s="44" t="n">
        <v>0</v>
      </c>
      <c r="F51" s="44">
        <f>E51-D51</f>
        <v>-285840</v>
      </c>
      <c r="G51" s="44" t="n">
        <v>0</v>
      </c>
    </row>
    <row r="52">
      <c r="B52" s="12" t="inlineStr">
        <is>
          <t>합계</t>
        </is>
      </c>
      <c r="D52" s="28">
        <f>SUM(D15:D51)</f>
        <v>10302040</v>
      </c>
      <c r="E52" s="28">
        <f>SUM(E15:E51)</f>
        <v>10005000</v>
      </c>
      <c r="G52" s="28">
        <f>SUM(G15:G51)</f>
        <v>10005000</v>
      </c>
      <c r="H52" s="117" t="inlineStr">
        <is>
          <t>D 합계 = IR p.25 표 합계 10,302,040천원. E 합계 = 4_매출_거래처 2027 A합계(매출표 거래처 구성 기반, IR 차트 10,005,000천원과 일치)</t>
        </is>
      </c>
    </row>
    <row r="53">
      <c r="B53" s="118" t="inlineStr">
        <is>
          <t>※ 매출표는 IR p.25와 거래처 구성이 다름(국내 온라인·APP 확대, 일본 하트키움 3.6억, 인도·독일 신규 등). D열은 IR 표와 대응되는 항목만 표기</t>
        </is>
      </c>
    </row>
    <row r="54"/>
    <row r="55"/>
    <row r="56">
      <c r="A56" s="3" t="inlineStr">
        <is>
          <t>3. IR p.25 표의 단계 구성(IR 자료 기준, Sunway 포함 전체 10,302,040천원)</t>
        </is>
      </c>
    </row>
    <row r="57">
      <c r="A57" s="11" t="inlineStr">
        <is>
          <t>단계</t>
        </is>
      </c>
      <c r="B57" s="11" t="inlineStr"/>
      <c r="C57" s="11" t="inlineStr">
        <is>
          <t>금액</t>
        </is>
      </c>
      <c r="D57" s="11" t="inlineStr">
        <is>
          <t>비중</t>
        </is>
      </c>
    </row>
    <row r="58">
      <c r="A58" s="15" t="inlineStr">
        <is>
          <t>계약</t>
        </is>
      </c>
      <c r="C58" s="56" t="n">
        <v>5415840</v>
      </c>
      <c r="D58" s="58">
        <f>IFERROR(C58/SUM($C$58:$C$62),0)</f>
        <v>0.525705588407733</v>
      </c>
      <c r="E58" s="118" t="inlineStr">
        <is>
          <t>※ NHG는 IR p.25 표 분류(계약) 기준으로 집계. 현재 단계는 단독입찰 제안(LOA 대기).</t>
        </is>
      </c>
    </row>
    <row r="59">
      <c r="A59" s="15" t="inlineStr">
        <is>
          <t>등록 완료</t>
        </is>
      </c>
      <c r="C59" s="56" t="n">
        <v>2500000</v>
      </c>
      <c r="D59" s="58">
        <f>IFERROR(C59/SUM($C$58:$C$62),0)</f>
        <v>0.242670383729824</v>
      </c>
    </row>
    <row r="60">
      <c r="A60" s="15" t="inlineStr">
        <is>
          <t>진행 중</t>
        </is>
      </c>
      <c r="C60" s="56" t="n">
        <v>1986200</v>
      </c>
      <c r="D60" s="58">
        <f>IFERROR(C60/SUM($C$58:$C$62),0)</f>
        <v>0.192796766465671</v>
      </c>
    </row>
    <row r="61">
      <c r="A61" s="15" t="inlineStr">
        <is>
          <t>PoC / R&amp;D</t>
        </is>
      </c>
      <c r="C61" s="56" t="n">
        <v>300000</v>
      </c>
      <c r="D61" s="58">
        <f>IFERROR(C61/SUM($C$58:$C$62),0)</f>
        <v>0.0291204460475789</v>
      </c>
    </row>
    <row r="62">
      <c r="A62" s="15" t="inlineStr">
        <is>
          <t>접촉</t>
        </is>
      </c>
      <c r="C62" s="56" t="n">
        <v>100000</v>
      </c>
      <c r="D62" s="58">
        <f>IFERROR(C62/SUM($C$58:$C$62),0)</f>
        <v>0.00970681534919298</v>
      </c>
    </row>
    <row r="63">
      <c r="A63" s="12" t="inlineStr">
        <is>
          <t>합계</t>
        </is>
      </c>
      <c r="C63" s="28">
        <f>SUM(C58:C62)</f>
        <v>10302040</v>
      </c>
      <c r="D63" s="119">
        <f>SUM(D58:D62)</f>
        <v>1</v>
      </c>
    </row>
    <row r="64"/>
    <row r="65"/>
    <row r="66">
      <c r="A66" s="3" t="inlineStr">
        <is>
          <t>4. 내재 KPI — IR 목표가 요구하는 이용자·시설 수 vs IR SOM</t>
        </is>
      </c>
    </row>
    <row r="67">
      <c r="A67" s="11" t="inlineStr">
        <is>
          <t>지표</t>
        </is>
      </c>
      <c r="B67" s="11" t="inlineStr"/>
      <c r="C67" s="11" t="n">
        <v>2026</v>
      </c>
      <c r="D67" s="11" t="n">
        <v>2027</v>
      </c>
      <c r="E67" s="11" t="n">
        <v>2028</v>
      </c>
      <c r="F67" s="11" t="n">
        <v>2029</v>
      </c>
      <c r="G67" s="11" t="n">
        <v>2030</v>
      </c>
    </row>
    <row r="68">
      <c r="A68" s="15" t="inlineStr">
        <is>
          <t>IR 목표가 요구하는 평균 유료 이용자(명)</t>
        </is>
      </c>
      <c r="C68" s="18">
        <f>C6/'8_가정'!$C$11</f>
        <v>1000</v>
      </c>
      <c r="D68" s="18">
        <f>D6/'8_가정'!$C$11</f>
        <v>8337.5</v>
      </c>
      <c r="E68" s="18">
        <f>E6/'8_가정'!$C$11</f>
        <v>27500</v>
      </c>
      <c r="F68" s="18">
        <f>F6/'8_가정'!$C$11</f>
        <v>58333.3333333333</v>
      </c>
      <c r="G68" s="18">
        <f>G6/'8_가정'!$C$11</f>
        <v>130000</v>
      </c>
      <c r="H68" s="118" t="inlineStr">
        <is>
          <t>IR 매출 ÷ ARPU(120만원)</t>
        </is>
      </c>
    </row>
    <row r="69">
      <c r="A69" s="15" t="inlineStr">
        <is>
          <t>선택 시나리오 추정 유료 이용자(명)</t>
        </is>
      </c>
      <c r="C69" s="18">
        <f>'3_연간손익'!D26</f>
        <v>934.686208333333</v>
      </c>
      <c r="D69" s="18">
        <f>'3_연간손익'!E26</f>
        <v>7856.9</v>
      </c>
      <c r="E69" s="18">
        <f>'3_연간손익'!F26</f>
        <v>24986.2098666667</v>
      </c>
      <c r="F69" s="18">
        <f>'3_연간손익'!G26</f>
        <v>50165.5202333333</v>
      </c>
      <c r="G69" s="18">
        <f>'3_연간손익'!H26</f>
        <v>105594.409623467</v>
      </c>
      <c r="H69" s="118" t="inlineStr">
        <is>
          <t>구독형 매출 ÷ ARPU</t>
        </is>
      </c>
    </row>
    <row r="70">
      <c r="A70" s="15" t="inlineStr">
        <is>
          <t>필요 도입 시설 수(곳) — IR 이용자 ÷ 시설당 150명</t>
        </is>
      </c>
      <c r="C70" s="18">
        <f>C68/'8_가정'!$C$12</f>
        <v>6.66666666666667</v>
      </c>
      <c r="D70" s="18">
        <f>D68/'8_가정'!$C$12</f>
        <v>55.5833333333333</v>
      </c>
      <c r="E70" s="18">
        <f>E68/'8_가정'!$C$12</f>
        <v>183.333333333333</v>
      </c>
      <c r="F70" s="18">
        <f>F68/'8_가정'!$C$12</f>
        <v>388.888888888889</v>
      </c>
      <c r="G70" s="18">
        <f>G68/'8_가정'!$C$12</f>
        <v>866.666666666667</v>
      </c>
      <c r="H70" s="118" t="inlineStr">
        <is>
          <t>시설+재가·유통 채널 혼합이므로 상한 지표</t>
        </is>
      </c>
    </row>
    <row r="71">
      <c r="A71" s="15" t="inlineStr">
        <is>
          <t>IR SOM 이용자 대비 비중</t>
        </is>
      </c>
      <c r="C71" s="16">
        <f>C68/'8_가정'!$C$13</f>
        <v>0.004</v>
      </c>
      <c r="D71" s="16">
        <f>D68/'8_가정'!$C$13</f>
        <v>0.03335</v>
      </c>
      <c r="E71" s="16">
        <f>E68/'8_가정'!$C$13</f>
        <v>0.11</v>
      </c>
      <c r="F71" s="16">
        <f>F68/'8_가정'!$C$13</f>
        <v>0.233333333333333</v>
      </c>
      <c r="G71" s="16">
        <f>G68/'8_가정'!$C$13</f>
        <v>0.52</v>
      </c>
      <c r="H71" s="118" t="inlineStr">
        <is>
          <t>SOM 25만 명(3년 목표)</t>
        </is>
      </c>
    </row>
    <row r="72">
      <c r="A72" s="15" t="inlineStr">
        <is>
          <t>지정 거래처 매출 비중(S1)</t>
        </is>
      </c>
      <c r="C72" s="16">
        <f>IFERROR(SUM('4_매출_거래처'!AV10:AV40)/C7,0)</f>
        <v>1</v>
      </c>
      <c r="D72" s="16">
        <f>IFERROR(SUM('4_매출_거래처'!AW10:AW40)/D7,0)</f>
        <v>0.918840579710145</v>
      </c>
      <c r="E72" s="16">
        <f>IFERROR(SUM('4_매출_거래처'!AX10:AX40)/E7,0)</f>
        <v>0.567923151515152</v>
      </c>
      <c r="F72" s="16">
        <f>IFERROR(SUM('4_매출_거래처'!AY10:AY40)/F7,0)</f>
        <v>0.427840057142857</v>
      </c>
      <c r="G72" s="16">
        <f>IFERROR(SUM('4_매출_거래처'!AZ10:AZ40)/G7,0)</f>
        <v>0.263793920205128</v>
      </c>
      <c r="H72" s="118" t="inlineStr">
        <is>
          <t>나머지는 신규 파이프라인·삼성채널</t>
        </is>
      </c>
    </row>
    <row r="73">
      <c r="A73" s="15" t="inlineStr">
        <is>
          <t>삼성 글로벌 채널 비중(S1)</t>
        </is>
      </c>
      <c r="C73" s="16">
        <f>IFERROR('4_매출_거래처'!AV45/C7,0)</f>
        <v>0</v>
      </c>
      <c r="D73" s="16">
        <f>IFERROR('4_매출_거래처'!AW45/D7,0)</f>
        <v>0.00973913043478261</v>
      </c>
      <c r="E73" s="16">
        <f>IFERROR('4_매출_거래처'!AX45/E7,0)</f>
        <v>0.0800000000000001</v>
      </c>
      <c r="F73" s="16">
        <f>IFERROR('4_매출_거래처'!AY45/F7,0)</f>
        <v>0.0600000000000001</v>
      </c>
      <c r="G73" s="16">
        <f>IFERROR('4_매출_거래처'!AZ45/G7,0)</f>
        <v>0.05</v>
      </c>
      <c r="H73" s="118" t="inlineStr">
        <is>
          <t>2028~30: IR × 삼성 비중(8_가정 §2b)</t>
        </is>
      </c>
    </row>
    <row r="74"/>
    <row r="75"/>
    <row r="76">
      <c r="A76" s="3" t="inlineStr">
        <is>
          <t>5. 정합 검증 (모두 "OK"여야 함)</t>
        </is>
      </c>
    </row>
    <row r="77">
      <c r="A77" s="15" t="inlineStr">
        <is>
          <t>S1 매출 = IR 목표: 2027~2030 정확 일치(2026은 거래처 매출표 사실 기준, §1 참조)</t>
        </is>
      </c>
      <c r="D77" s="115" t="str">
        <f>IF(AND(ABS(D9)&lt;0.0001,ABS(E9)&lt;0.0001,ABS(F9)&lt;0.0001,ABS(G9)&lt;0.0001),"OK","확인")</f>
        <v>OK</v>
      </c>
    </row>
    <row r="78">
      <c r="A78" s="15" t="inlineStr">
        <is>
          <t>신규 파이프라인 코호트(일본·동남아·유럽·미국) 2028~30 ≥ 0</t>
        </is>
      </c>
      <c r="D78" s="116" t="str">
        <f>IF(MIN('4_매출_거래처'!AX41:AZ44)&gt;=0,"OK","확인")</f>
        <v>OK</v>
      </c>
    </row>
    <row r="79">
      <c r="A79" s="15" t="inlineStr">
        <is>
          <t>삼성 글로벌 채널 ≥ 0</t>
        </is>
      </c>
      <c r="D79" s="116" t="str">
        <f>IF(MIN('4_매출_거래처'!AX45:AZ45)&gt;=0,"OK","확인")</f>
        <v>OK</v>
      </c>
    </row>
    <row r="80">
      <c r="A80" s="15" t="inlineStr">
        <is>
          <t>4번 시트 B합계 = 5번 제품합계 (월·FY·연·5개년합계 전 열)</t>
        </is>
      </c>
      <c r="D80" s="116" t="str">
        <f>IF(SUMPRODUCT(ABS('5_매출_제품지역'!C16:AF16))&lt;0.5,"OK","확인")</f>
        <v>OK</v>
      </c>
    </row>
    <row r="81">
      <c r="A81" s="15" t="inlineStr">
        <is>
          <t>4번 시트 B합계 = 2번 손익계산서 매출액 (전 열)</t>
        </is>
      </c>
      <c r="D81" s="116" t="str">
        <f>IF(SUMPRODUCT(ABS('2_손익계산서'!C22:AF22))&lt;0.5,"OK","확인")</f>
        <v>OK</v>
      </c>
    </row>
    <row r="82">
      <c r="A82" s="15" t="inlineStr">
        <is>
          <t>5번 시트 카테고리(베이비+엘더리)·지역·채널·근거수준 합계 = 제품합계 (전 열)</t>
        </is>
      </c>
      <c r="D82" s="116" t="str">
        <f>IF(SUMPRODUCT(ABS('5_매출_제품지역'!C21:AF21))+SUMPRODUCT(ABS('5_매출_제품지역'!C32:AF32))+SUMPRODUCT(ABS('5_매출_제품지역'!C44:AF44))+SUMPRODUCT(ABS('5_매출_제품지역'!C51:AF51))&lt;0.5,"OK","확인")</f>
        <v>OK</v>
      </c>
    </row>
    <row r="83">
      <c r="A83" s="15" t="inlineStr">
        <is>
          <t>3_연간손익 검증행(순이익 일치·제품/카테고리/지역/채널/근거수준 합계 = 매출액)</t>
        </is>
      </c>
      <c r="D83" s="116" t="str">
        <f>IF(SUMPRODUCT(ABS('3_연간손익'!D29:H29))+SUMPRODUCT(ABS('3_연간손익'!D30:H30))&lt;0.5,"OK","확인")</f>
        <v>OK</v>
      </c>
    </row>
    <row r="84">
      <c r="A84" s="15" t="inlineStr">
        <is>
          <t>1_요약 매출·영업이익(억원) = 3_연간손익 (2026~2030)</t>
        </is>
      </c>
      <c r="D84" s="116" t="str">
        <f>IF(ABS('1_요약'!D8*100000-'3_연간손익'!D7)+ABS('1_요약'!D12*100000-'3_연간손익'!D13)+ABS('1_요약'!E8*100000-'3_연간손익'!E7)+ABS('1_요약'!E12*100000-'3_연간손익'!E13)+ABS('1_요약'!F8*100000-'3_연간손익'!F7)+ABS('1_요약'!F12*100000-'3_연간손익'!F13)+ABS('1_요약'!G8*100000-'3_연간손익'!G7)+ABS('1_요약'!G12*100000-'3_연간손익'!G13)+ABS('1_요약'!H8*100000-'3_연간손익'!H7)+ABS('1_요약'!H12*100000-'3_연간손익'!H13)&lt;1,"OK","확인")</f>
        <v>OK</v>
      </c>
    </row>
    <row r="85">
      <c r="A85" s="15" t="inlineStr">
        <is>
          <t>6_거래처현황 2027 합계 = 4번 시트 A합계</t>
        </is>
      </c>
      <c r="D85" s="116" t="str">
        <f>IF(ABS('6_거래처현황'!$H$43)&lt;0.5,"OK","확인")</f>
        <v>OK</v>
      </c>
    </row>
    <row r="86">
      <c r="A86" s="15" t="inlineStr">
        <is>
          <t>시나리오 격차: S2 = S1×80%, S3 = S1×60% (9_시나리오 점검)</t>
        </is>
      </c>
      <c r="D86" s="116" t="str">
        <f>IF(COUNTIF('9_시나리오'!$C$43:$G$43,"OK")=5,"OK","확인")</f>
        <v>OK</v>
      </c>
    </row>
    <row r="87">
      <c r="A87" s="15" t="inlineStr">
        <is>
          <t>제품 믹스 프로파일 합계 100%</t>
        </is>
      </c>
      <c r="D87" s="116" t="str">
        <f>'8_가정'!$C$89</f>
        <v>OK</v>
      </c>
    </row>
    <row r="88"/>
    <row r="89"/>
    <row r="90">
      <c r="A90" s="3" t="inlineStr">
        <is>
          <t>6. 성장 연속성 — 2027년 12월 run-rate 대비 2028년 매출(선택 시나리오)</t>
        </is>
      </c>
    </row>
    <row r="91">
      <c r="A91" s="15" t="inlineStr">
        <is>
          <t>2027-12 월 매출(천원)</t>
        </is>
      </c>
      <c r="D91" s="18">
        <f>'2_손익계산서'!AA19</f>
        <v>1141055</v>
      </c>
    </row>
    <row r="92">
      <c r="A92" s="15" t="inlineStr">
        <is>
          <t>2027-12 월 매출 연환산(천원)</t>
        </is>
      </c>
      <c r="D92" s="44">
        <f>D91*12</f>
        <v>13692660</v>
      </c>
    </row>
    <row r="93">
      <c r="A93" s="15" t="inlineStr">
        <is>
          <t>2028 매출(천원)</t>
        </is>
      </c>
      <c r="D93" s="18">
        <f>'2_손익계산서'!AC19</f>
        <v>33000000</v>
      </c>
    </row>
    <row r="94">
      <c r="A94" s="15" t="inlineStr">
        <is>
          <t>2028 매출 ÷ 2027-12 연환산(배)</t>
        </is>
      </c>
      <c r="D94" s="120">
        <f>IFERROR(D93/D92,0)</f>
        <v>2.41005034814273</v>
      </c>
      <c r="E94" s="118" t="inlineStr">
        <is>
          <t>※ 2027 월 매출: 불규칙 발주 거래처는 월 약 9.6% 성장곡선(인원 8→22명), 계약형·단계형은 매출표 패턴 유지 → 전체 월 매출 4.88억 → 11.41억(월평균 약 8.0% 증가). 2028에는 일본·미국 신규 파이프라인과 삼성 채널이 본격 반영</t>
        </is>
      </c>
    </row>
    <row r="95">
      <c r="A95" s="15" t="inlineStr">
        <is>
          <t>2028 평균 월 매출(천원)</t>
        </is>
      </c>
      <c r="D95" s="44">
        <f>D93/12</f>
        <v>2750000</v>
      </c>
    </row>
    <row r="96"/>
    <row r="97"/>
    <row r="98">
      <c r="A98" s="3" t="inlineStr">
        <is>
          <t>7. 계약 통화 → 원화 환산(참고, 모델 미반영) — IR p.25 표 금액과의 비교</t>
        </is>
      </c>
    </row>
    <row r="99">
      <c r="A99" s="11" t="inlineStr">
        <is>
          <t>거래처</t>
        </is>
      </c>
      <c r="B99" s="11" t="inlineStr">
        <is>
          <t>계약 통화·금액</t>
        </is>
      </c>
      <c r="C99" s="11" t="inlineStr">
        <is>
          <t>금액(현지통화)</t>
        </is>
      </c>
      <c r="D99" s="11" t="inlineStr">
        <is>
          <t>환율(8_가정)</t>
        </is>
      </c>
      <c r="E99" s="11" t="inlineStr">
        <is>
          <t>원화 환산(천원)</t>
        </is>
      </c>
      <c r="F99" s="11" t="inlineStr">
        <is>
          <t>IR 표(천원)</t>
        </is>
      </c>
      <c r="G99" s="11" t="inlineStr">
        <is>
          <t>상향 여지(천원)</t>
        </is>
      </c>
    </row>
    <row r="100">
      <c r="A100" s="15" t="inlineStr">
        <is>
          <t>NHG(KTPH·TTSH·WH) — RFP 초안 기준</t>
        </is>
      </c>
      <c r="B100" s="64" t="inlineStr">
        <is>
          <t>SGD</t>
        </is>
      </c>
      <c r="C100" s="56" t="n">
        <v>180000</v>
      </c>
      <c r="D100" s="17">
        <f>'8_가정'!$C$8</f>
        <v>1096</v>
      </c>
      <c r="E100" s="44">
        <f>C100*D100/1000</f>
        <v>197280</v>
      </c>
      <c r="F100" s="56" t="n">
        <v>180000</v>
      </c>
      <c r="G100" s="44">
        <f>E100-F100</f>
        <v>17280</v>
      </c>
    </row>
    <row r="101">
      <c r="A101" s="15" t="inlineStr">
        <is>
          <t>IMH 욕창 R&amp;D(연)</t>
        </is>
      </c>
      <c r="B101" s="64" t="inlineStr">
        <is>
          <t>SGD</t>
        </is>
      </c>
      <c r="C101" s="56" t="n">
        <v>120000</v>
      </c>
      <c r="D101" s="17">
        <f>'8_가정'!$C$8</f>
        <v>1096</v>
      </c>
      <c r="E101" s="44">
        <f>C101*D101/1000</f>
        <v>131520</v>
      </c>
      <c r="F101" s="56" t="n">
        <v>120000</v>
      </c>
      <c r="G101" s="44">
        <f>E101-F101</f>
        <v>11520</v>
      </c>
    </row>
    <row r="102">
      <c r="A102" s="15" t="inlineStr">
        <is>
          <t>Vanguard 입소자 300명 구독(연)</t>
        </is>
      </c>
      <c r="B102" s="64" t="inlineStr">
        <is>
          <t>USD</t>
        </is>
      </c>
      <c r="C102" s="56" t="n">
        <v>285840</v>
      </c>
      <c r="D102" s="17">
        <f>'8_가정'!$C$7</f>
        <v>1400</v>
      </c>
      <c r="E102" s="44">
        <f>C102*D102/1000</f>
        <v>400176</v>
      </c>
      <c r="F102" s="56" t="n">
        <v>285840</v>
      </c>
      <c r="G102" s="44">
        <f>E102-F102</f>
        <v>114336</v>
      </c>
    </row>
    <row r="103">
      <c r="A103" s="15" t="inlineStr">
        <is>
          <t>Intega 첫 수출(2026-01)</t>
        </is>
      </c>
      <c r="B103" s="64" t="inlineStr">
        <is>
          <t>USD</t>
        </is>
      </c>
      <c r="C103" s="56" t="n">
        <v>17440</v>
      </c>
      <c r="D103" s="17">
        <f>'8_가정'!$C$7</f>
        <v>1400</v>
      </c>
      <c r="E103" s="44">
        <f>C103*D103/1000</f>
        <v>24416</v>
      </c>
    </row>
    <row r="104">
      <c r="A104" s="118" t="inlineStr">
        <is>
          <t>※ 환산은 IR 고정 환율(1,400원/달러 기준 교차환율, 8_가정). 거래처 매출표는 건별 적용 환율(SGD 약 1,050, EUR 약 1,304 등)로 환산되어 값이 다를 수 있음</t>
        </is>
      </c>
    </row>
    <row r="105"/>
    <row r="106">
      <c r="A106" s="3" t="inlineStr">
        <is>
          <t>8. 지역 구성 — 모델(S1) vs IR p.24 차트 막대 비중(측정치)</t>
        </is>
      </c>
    </row>
    <row r="107">
      <c r="A107" s="11" t="inlineStr">
        <is>
          <t>지역</t>
        </is>
      </c>
      <c r="B107" s="11" t="inlineStr"/>
      <c r="C107" s="11" t="inlineStr">
        <is>
          <t>모델 2027</t>
        </is>
      </c>
      <c r="D107" s="11" t="inlineStr">
        <is>
          <t>모델 2028</t>
        </is>
      </c>
      <c r="E107" s="11" t="inlineStr">
        <is>
          <t>모델 2029</t>
        </is>
      </c>
      <c r="F107" s="11" t="inlineStr">
        <is>
          <t>모델 2030</t>
        </is>
      </c>
      <c r="G107" s="11" t="inlineStr">
        <is>
          <t>차트 2027</t>
        </is>
      </c>
      <c r="H107" s="11" t="inlineStr">
        <is>
          <t>차트 2028</t>
        </is>
      </c>
      <c r="I107" s="11" t="inlineStr">
        <is>
          <t>차트 2029</t>
        </is>
      </c>
      <c r="J107" s="11" t="inlineStr">
        <is>
          <t>차트 2030</t>
        </is>
      </c>
    </row>
    <row r="108">
      <c r="A108" s="15" t="inlineStr">
        <is>
          <t>한국</t>
        </is>
      </c>
      <c r="C108" s="16">
        <f>IFERROR('3_연간손익'!E46/'3_연간손익'!E7,0)</f>
        <v>0.642978510744628</v>
      </c>
      <c r="D108" s="16">
        <f>IFERROR('3_연간손익'!F46/'3_연간손익'!F7,0)</f>
        <v>0.356068606060606</v>
      </c>
      <c r="E108" s="16">
        <f>IFERROR('3_연간손익'!G46/'3_연간손익'!G7,0)</f>
        <v>0.243941771428571</v>
      </c>
      <c r="F108" s="16">
        <f>IFERROR('3_연간손익'!H46/'3_연간손익'!H7,0)</f>
        <v>0.141209161230769</v>
      </c>
      <c r="G108" s="111" t="n">
        <v>0.11</v>
      </c>
      <c r="H108" s="16">
        <f>'8_가정'!$E$32/100</f>
        <v>0.114</v>
      </c>
      <c r="I108" s="16">
        <f>'8_가정'!$F$32/100</f>
        <v>0.117</v>
      </c>
      <c r="J108" s="16">
        <f>'8_가정'!$G$32/100</f>
        <v>0.061</v>
      </c>
    </row>
    <row r="109">
      <c r="A109" s="15" t="inlineStr">
        <is>
          <t>일본</t>
        </is>
      </c>
      <c r="C109" s="16">
        <f>IFERROR('3_연간손익'!E47/'3_연간손익'!E7,0)</f>
        <v>0.047976011994003</v>
      </c>
      <c r="D109" s="16">
        <f>IFERROR('3_연간손익'!F47/'3_연간손익'!F7,0)</f>
        <v>0.274996</v>
      </c>
      <c r="E109" s="16">
        <f>IFERROR('3_연간손익'!G47/'3_연간손익'!G7,0)</f>
        <v>0.416971254942566</v>
      </c>
      <c r="F109" s="16">
        <f>IFERROR('3_연간손익'!H47/'3_연간손익'!H7,0)</f>
        <v>0.388049260317741</v>
      </c>
      <c r="G109" s="111" t="n">
        <v>0.51</v>
      </c>
      <c r="H109" s="16">
        <f>'8_가정'!$E$28/100</f>
        <v>0.443</v>
      </c>
      <c r="I109" s="16">
        <f>'8_가정'!$F$28/100</f>
        <v>0.543</v>
      </c>
      <c r="J109" s="16">
        <f>'8_가정'!$G$28/100</f>
        <v>0.458</v>
      </c>
    </row>
    <row r="110">
      <c r="A110" s="15" t="inlineStr">
        <is>
          <t>동남아·APAC</t>
        </is>
      </c>
      <c r="C110" s="16">
        <f>IFERROR('3_연간손익'!E48/'3_연간손익'!E7,0)</f>
        <v>0.179150424787606</v>
      </c>
      <c r="D110" s="16">
        <f>IFERROR('3_연간손익'!F48/'3_연간손익'!F7,0)</f>
        <v>0.116702591422122</v>
      </c>
      <c r="E110" s="16">
        <f>IFERROR('3_연간손익'!G48/'3_연간손익'!G7,0)</f>
        <v>0.104434789451545</v>
      </c>
      <c r="F110" s="16">
        <f>IFERROR('3_연간손익'!H48/'3_연간손익'!H7,0)</f>
        <v>0.097435949643101</v>
      </c>
      <c r="G110" s="111" t="n">
        <v>0.12</v>
      </c>
      <c r="H110" s="16">
        <f>'8_가정'!$E$30/100</f>
        <v>0.188</v>
      </c>
      <c r="I110" s="16">
        <f>'8_가정'!$F$30/100</f>
        <v>0.136</v>
      </c>
      <c r="J110" s="16">
        <f>'8_가정'!$G$30/100</f>
        <v>0.115</v>
      </c>
    </row>
    <row r="111">
      <c r="A111" s="15" t="inlineStr">
        <is>
          <t>인도</t>
        </is>
      </c>
      <c r="C111" s="16">
        <f>IFERROR('3_연간손익'!E49/'3_연간손익'!E7,0)</f>
        <v>0.0199900049975013</v>
      </c>
      <c r="D111" s="16">
        <f>IFERROR('3_연간손익'!F49/'3_연간손익'!F7,0)</f>
        <v>0.0139393939393939</v>
      </c>
      <c r="E111" s="16">
        <f>IFERROR('3_연간손익'!G49/'3_연간손익'!G7,0)</f>
        <v>0.018</v>
      </c>
      <c r="F111" s="16">
        <f>IFERROR('3_연간손익'!H49/'3_연간손익'!H7,0)</f>
        <v>0.0132051282051282</v>
      </c>
      <c r="G111" s="121" t="inlineStr">
        <is>
          <t>-</t>
        </is>
      </c>
      <c r="H111" s="121" t="inlineStr">
        <is>
          <t>-</t>
        </is>
      </c>
      <c r="I111" s="121" t="inlineStr">
        <is>
          <t>-</t>
        </is>
      </c>
      <c r="J111" s="121" t="inlineStr">
        <is>
          <t>-</t>
        </is>
      </c>
    </row>
    <row r="112">
      <c r="A112" s="15" t="inlineStr">
        <is>
          <t>유럽</t>
        </is>
      </c>
      <c r="C112" s="16">
        <f>IFERROR('3_연간손익'!E50/'3_연간손익'!E7,0)</f>
        <v>0.0839340329835083</v>
      </c>
      <c r="D112" s="16">
        <f>IFERROR('3_연간손익'!F50/'3_연간손익'!F7,0)</f>
        <v>0.0459361264108352</v>
      </c>
      <c r="E112" s="16">
        <f>IFERROR('3_연간손익'!G50/'3_연간손익'!G7,0)</f>
        <v>0.0898446350428733</v>
      </c>
      <c r="F112" s="16">
        <f>IFERROR('3_연간손익'!H50/'3_연간손익'!H7,0)</f>
        <v>0.0838796436058</v>
      </c>
      <c r="G112" s="111" t="n">
        <v>0.06</v>
      </c>
      <c r="H112" s="16">
        <f>'8_가정'!$E$31/100</f>
        <v>0.074</v>
      </c>
      <c r="I112" s="16">
        <f>'8_가정'!$F$31/100</f>
        <v>0.117</v>
      </c>
      <c r="J112" s="16">
        <f>'8_가정'!$G$31/100</f>
        <v>0.099</v>
      </c>
    </row>
    <row r="113">
      <c r="A113" s="15" t="inlineStr">
        <is>
          <t>미국</t>
        </is>
      </c>
      <c r="C113" s="16">
        <f>IFERROR('3_연간손익'!E51/'3_연간손익'!E7,0)</f>
        <v>0.016231884057971</v>
      </c>
      <c r="D113" s="16">
        <f>IFERROR('3_연간손익'!F51/'3_연간손익'!F7,0)</f>
        <v>0.112357282167043</v>
      </c>
      <c r="E113" s="16">
        <f>IFERROR('3_연간손익'!G51/'3_연간손익'!G7,0)</f>
        <v>0.0668075491344443</v>
      </c>
      <c r="F113" s="16">
        <f>IFERROR('3_연간손익'!H51/'3_연간손익'!H7,0)</f>
        <v>0.22622085699746</v>
      </c>
      <c r="G113" s="111" t="n">
        <v>0.2</v>
      </c>
      <c r="H113" s="16">
        <f>'8_가정'!$E$29/100</f>
        <v>0.181</v>
      </c>
      <c r="I113" s="16">
        <f>'8_가정'!$F$29/100</f>
        <v>0.087</v>
      </c>
      <c r="J113" s="16">
        <f>'8_가정'!$G$29/100</f>
        <v>0.267</v>
      </c>
    </row>
    <row r="114">
      <c r="A114" s="15" t="inlineStr">
        <is>
          <t>글로벌(삼성채널)</t>
        </is>
      </c>
      <c r="C114" s="16">
        <f>IFERROR('3_연간손익'!E52/'3_연간손익'!E7,0)</f>
        <v>0.00973913043478261</v>
      </c>
      <c r="D114" s="16">
        <f>IFERROR('3_연간손익'!F52/'3_연간손익'!F7,0)</f>
        <v>0.0800000000000001</v>
      </c>
      <c r="E114" s="16">
        <f>IFERROR('3_연간손익'!G52/'3_연간손익'!G7,0)</f>
        <v>0.0600000000000001</v>
      </c>
      <c r="F114" s="16">
        <f>IFERROR('3_연간손익'!H52/'3_연간손익'!H7,0)</f>
        <v>0.05</v>
      </c>
      <c r="G114" s="121" t="inlineStr">
        <is>
          <t>-</t>
        </is>
      </c>
      <c r="H114" s="121" t="inlineStr">
        <is>
          <t>-</t>
        </is>
      </c>
      <c r="I114" s="121" t="inlineStr">
        <is>
          <t>-</t>
        </is>
      </c>
      <c r="J114" s="121" t="inlineStr">
        <is>
          <t>-</t>
        </is>
      </c>
    </row>
    <row r="115"/>
    <row r="116">
      <c r="A116" s="118" t="inlineStr">
        <is>
          <t>※ 2027은 거래처 매출표 구조(한국 중심, IR p.25 표와 일관) 유지. 2028~30은 일본·미국·동남아·유럽을 차트 비중으로 배분(8_가정 §2b)하고 한국·인도는 거래처별 성장, 삼성 글로벌 채널은 별도 비중. 차트에는 삼성·인도 구분이 없고 막대 높이가 라벨과 불일치해 비중만 참고</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tabColor rgb="00C00000"/>
    <outlinePr summaryBelow="1" summaryRight="1"/>
    <pageSetUpPr fitToPage="1"/>
  </sheetPr>
  <dimension ref="A1:E26"/>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44" customWidth="1" min="3" max="3"/>
    <col width="80" customWidth="1" min="4" max="4"/>
    <col width="46" customWidth="1" min="5" max="5"/>
  </cols>
  <sheetData>
    <row r="1">
      <c r="A1" s="1" t="inlineStr">
        <is>
          <t>★제출전_확인사항 (삭제 후 제출)</t>
        </is>
      </c>
    </row>
    <row r="2">
      <c r="A2" s="2" t="inlineStr">
        <is>
          <t>투자사에 제출하기 전에 아래 항목을 확인·반영하고 이 시트를 삭제하세요.</t>
        </is>
      </c>
    </row>
    <row r="4">
      <c r="A4" s="11" t="inlineStr">
        <is>
          <t>#</t>
        </is>
      </c>
      <c r="B4" s="11" t="inlineStr">
        <is>
          <t>시트</t>
        </is>
      </c>
      <c r="C4" s="11" t="inlineStr">
        <is>
          <t>확인할 내용</t>
        </is>
      </c>
      <c r="D4" s="11" t="inlineStr">
        <is>
          <t>현재 반영 및 근거</t>
        </is>
      </c>
      <c r="E4" s="11" t="inlineStr">
        <is>
          <t>조치 제안</t>
        </is>
      </c>
    </row>
    <row r="5" ht="56" customHeight="1">
      <c r="A5" s="8" t="n">
        <v>1</v>
      </c>
      <c r="B5" s="80" t="inlineStr">
        <is>
          <t>4_매출_거래처 · 전 시트</t>
        </is>
      </c>
      <c r="C5" s="122" t="inlineStr">
        <is>
          <t>2026·2027 매출 기준과 IR 대비 [2026-10-10 반영]</t>
        </is>
      </c>
      <c r="D5" s="80" t="inlineStr">
        <is>
          <t>2026은 거래처 매출표 사실 기준 12.01억(IR 12.0억 대비 +0.1%). 2027은 IR 차트 100.05억과 정확히 일치하도록 조정: 진행 중 국내 요양병원·시설 29.98억 → IR p.25 표 19.86억, 2027 신규 파이프라인(동남아·유럽·미국·삼성 채널) 10.0억 → 8.12억(×0.812). 계약·기존 거래처는 변경 없음. 2028~2030도 IR 330억·700억·1,560억과 정확히 일치</t>
        </is>
      </c>
      <c r="E5" s="80" t="inlineStr">
        <is>
          <t>반영 완료. 거래처별 2027 금액(특히 요양병원·시설 19.86억)이 영업 계획과 맞는지 최종 확인</t>
        </is>
      </c>
    </row>
    <row r="6" ht="42" customHeight="1">
      <c r="A6" s="8" t="n">
        <v>2</v>
      </c>
      <c r="B6" s="80" t="inlineStr">
        <is>
          <t>4_매출_거래처 · 2_손익계산서</t>
        </is>
      </c>
      <c r="C6" s="122" t="inlineStr">
        <is>
          <t>2027 월별 배분 — 월 인원 비용과 매칭 [2026-10-10 반영]</t>
        </is>
      </c>
      <c r="D6" s="80" t="inlineStr">
        <is>
          <t>분기·격월 등 불규칙 발주 거래처(18곳)는 첫 발주 월부터 월 9.6% 성장곡선(인원 8→22명 증가율)으로 배분, 계약형(APP 월 정액 등)·단계형 거래처는 매출표 패턴 유지. 2027 월 매출 4.88억 → 11.41억으로 매월 증가하며 월 매출/인원은 약 0.52~0.66억 범위. Punnita 잔금 2,000만원은 2027-01 고정</t>
        </is>
      </c>
      <c r="E6" s="80" t="inlineStr">
        <is>
          <t>반영 완료. 실제 발주·출고 일정이 확정되면 해당 월로 교체</t>
        </is>
      </c>
    </row>
    <row r="7" ht="56" customHeight="1">
      <c r="A7" s="8" t="n">
        <v>3</v>
      </c>
      <c r="B7" s="80" t="inlineStr">
        <is>
          <t>4_매출_거래처 · 6_거래처현황</t>
        </is>
      </c>
      <c r="C7" s="122" t="inlineStr">
        <is>
          <t>인도 거래처 3행(케랄라·뉴델리·뭄바이) 및 2028~30 연간 입력</t>
        </is>
      </c>
      <c r="D7" s="80" t="inlineStr">
        <is>
          <t>인도 지역(신설)로 집계. 케랄라 2027 6,000만원(매출표 2회 발주 → 2027-08~12 월별 성장곡선 배분), 뉴델리 2026-12 2,000만원 + 2027 6,000만원, 뭄바이 2027 8,000만원, 뉴델리·뭄바이 2028~30 연간 입력(각 2.0억·6.0억·10억 = 합계 4억·12억·20억)을 사용자 입력 그대로 반영. 단계 "진행 중"·근거수준 B·총판·믹스 DIST는 모델 분류(가정)</t>
        </is>
      </c>
      <c r="E7" s="80" t="inlineStr">
        <is>
          <t>디스트리뷰터 계약·최소 발주량·인허가(CDSCO 등) 근거 확인. 2030 연 20억은 근거 자료 필요</t>
        </is>
      </c>
    </row>
    <row r="8" ht="42" customHeight="1">
      <c r="A8" s="8" t="n">
        <v>4</v>
      </c>
      <c r="B8" s="80" t="inlineStr">
        <is>
          <t>2_손익계산서 · 5_매출_제품지역</t>
        </is>
      </c>
      <c r="C8" s="122" t="inlineStr">
        <is>
          <t>베이비/엘더리 카테고리 매출 표시 [2026-10-10 반영]</t>
        </is>
      </c>
      <c r="D8" s="80" t="inlineStr">
        <is>
          <t>2_손익계산서 매출액을 "1. 베이비 매출(제품별) + 2. 엘더리 매출(제품별) = 매출액" 구조로 변경(5번 시트 G블록 카테고리×제품, 검증 행 포함). 분류: 믹스 BABY 행(네이버·쿠팡·기타 B2C·B2B 국내 베이비, APP 유아, Little Loft, Punnita, Swara Baby, 신규 거래선-2) = 베이비, 나머지 = 엘더리</t>
        </is>
      </c>
      <c r="E8" s="80" t="inlineStr">
        <is>
          <t>네이버·쿠팡 "엘더리" 행의 상품 구성과 베이비 B2B의 분류가 맞는지 확인</t>
        </is>
      </c>
    </row>
    <row r="9" ht="56" customHeight="1">
      <c r="A9" s="8" t="n">
        <v>5</v>
      </c>
      <c r="B9" s="80" t="inlineStr">
        <is>
          <t>4_매출_거래처</t>
        </is>
      </c>
      <c r="C9" s="122" t="inlineStr">
        <is>
          <t>매출표 입력값 후속 확정 사항 [2026-10-09·10 반영]</t>
        </is>
      </c>
      <c r="D9" s="80" t="inlineStr">
        <is>
          <t>(1) 피플앤테크놀로지(구 피플앤피플): 2026-11 4,000천원 유지, (2) 국내 B2B 기타 2026-11: −3,950 → +3,950천원, (3) Punnita: 12월 2,000만원 = USD 30,000 발주의 선금 50%, 잔금 50%(2,000만원)는 2027-01에 반영(수령월은 가정), (4) IMH: SGD 45,000을 2026-10·11월 50%씩(각 23,625천원), (5) NEUCA: 폴란드 총판으로 표기</t>
        </is>
      </c>
      <c r="E9" s="80" t="inlineStr">
        <is>
          <t>Punnita 잔금의 실제 수령·인식 월 확인(월이 다르면 4_매출_거래처 A블록 해당 셀만 이동). 매출 인식 시점(선금 수령 vs 납품)에 대한 회계 기준도 확인</t>
        </is>
      </c>
    </row>
    <row r="10" ht="56" customHeight="1">
      <c r="A10" s="8" t="n">
        <v>6</v>
      </c>
      <c r="B10" s="80" t="inlineStr">
        <is>
          <t>2_손익계산서 · 7_비용인력</t>
        </is>
      </c>
      <c r="C10" s="122" t="inlineStr">
        <is>
          <t>2026 영업이익 흑자 구조</t>
        </is>
      </c>
      <c r="D10" s="80" t="inlineStr">
        <is>
          <t>매출 12.01억에서 영업이익 소폭 흑자가 되도록 (1) 인건비 총액의 40%(= 연구 인력 인건비 전액, 8_가정 연구 인력 비중 40% 기준)를 개발비(무형자산)로 자본화(2025 판관비 4.27억이 급여 총액보다 낮은 구조와 일관), (2) 2026 마케팅 1.2%·해외 출장 0.45억·기타 판관비 2.0%로 가정. 정부과제 보조금은 비용 처리분(경상 연구개발비)만 영업외수익으로 인정(0.77억, GDIN 0.35억 포함)</t>
        </is>
      </c>
      <c r="E10" s="80" t="inlineStr">
        <is>
          <t>실제 2026 1~9월 비용(급여·마케팅·출장)과 대조해 교체. 감사인과 자본화 요건·비율, 정부보조금 회계처리 확인. 자본화율을 낮추면 영업이익은 마이너스로 돌아섬</t>
        </is>
      </c>
    </row>
    <row r="11" ht="56" customHeight="1">
      <c r="A11" s="8" t="n">
        <v>7</v>
      </c>
      <c r="B11" s="80" t="inlineStr">
        <is>
          <t>9_시나리오 · 8_가정</t>
        </is>
      </c>
      <c r="C11" s="122" t="inlineStr">
        <is>
          <t>S1 100% / S2 80% / S3 60% 시나리오 방식</t>
        </is>
      </c>
      <c r="D11" s="80" t="inlineStr">
        <is>
          <t>각 연도 매출을 S1의 100%·80%·60%로 일률 적용(거래처별 확률·지연 없음). 2026은 1~9월 실적을 고정하고 10~12월에 계수를 역산 적용하므로 S2·S3의 10~12월 매출은 S1 대비 약 74%·47%(8_가정 §2 G열). 인원은 2027년부터 매출 달성률에 75% 탄력 연동(기존 7명 하한, 2026은 현 인력 유지), 임차·출장·상각 등 고정비는 S1 수준 유지(무대응 보수 가정)</t>
        </is>
      </c>
      <c r="E11" s="80" t="inlineStr">
        <is>
          <t>달성률(8_가정 §2)은 입력값이므로 협의에 따라 조정 가능. 투자사 설명 시 "무대응 보수안"임을 명시</t>
        </is>
      </c>
    </row>
    <row r="12" ht="42" customHeight="1">
      <c r="A12" s="8" t="n">
        <v>8</v>
      </c>
      <c r="B12" s="80" t="inlineStr">
        <is>
          <t>6_거래처현황 · 4_매출_거래처 · 10_IR정합</t>
        </is>
      </c>
      <c r="C12" s="122" t="inlineStr">
        <is>
          <t>NHG(KTPH·TTSH·Woodlands) 단계 표기 [2026-10-10 반영]</t>
        </is>
      </c>
      <c r="D12" s="80" t="inlineStr">
        <is>
          <t>모델 전 시트에서 "단독입찰 제안(LOA 대기)"으로 정정. 입찰 자료: RFP(KTPH-RFP-26-165-MJ) 2026-09-18 마감·제안서 제출, SGD 180,000은 보증금(10% = S$18,000) 산정 기준의 초안값, LOA 미확인. 거래처 매출표의 2026-12 KTPH SGD 180,000(188,957천원)·2027 4억은 유지</t>
        </is>
      </c>
      <c r="E12" s="80" t="inlineStr">
        <is>
          <t>IR 슬라이드 p.14~17·25와 회사연혁의 "계약" 표기를 "단독입찰 제안(LOA 대기)"으로 정정. LOA 수령 시 단계 갱신</t>
        </is>
      </c>
    </row>
    <row r="13" ht="42" customHeight="1">
      <c r="A13" s="8" t="n">
        <v>9</v>
      </c>
      <c r="B13" s="80" t="inlineStr">
        <is>
          <t>10_IR정합</t>
        </is>
      </c>
      <c r="C13" s="122" t="inlineStr">
        <is>
          <t>IR p.25 2027 표의 통화·단위</t>
        </is>
      </c>
      <c r="D13" s="80" t="inlineStr">
        <is>
          <t>표 단위는 천원이나 NHG(SGD 180,000)·IMH(SGD 120,000)·Vanguard(USD 285,840)는 현지 통화 수치로 보임. 환산 시 상향(예: Vanguard USD 285,840 ≈ 4.0억원 vs 표 2.86억). 10_IR정합 §2는 IR 표 수치를 그대로 비교</t>
        </is>
      </c>
      <c r="E13" s="80" t="inlineStr">
        <is>
          <t>계약서 통화 기준으로 원화 환산 후 표 정정 또는 각주 추가. 환율은 8_가정</t>
        </is>
      </c>
    </row>
    <row r="14" ht="70" customHeight="1">
      <c r="A14" s="8" t="n">
        <v>10</v>
      </c>
      <c r="B14" s="80" t="inlineStr">
        <is>
          <t>10_IR정합 · 1_요약</t>
        </is>
      </c>
      <c r="C14" s="122" t="inlineStr">
        <is>
          <t>IR 차트 기준 정합(대표 숫자·지역 구성) [2026-10-10 반영]</t>
        </is>
      </c>
      <c r="D14" s="80" t="inlineStr">
        <is>
          <t>대표 숫자 = IR p.24 차트(1,200 / 10,005 / 33,000 / 70,000 / 156,000백만원). 2027은 차트 총액과 일치, 지역 구성은 매출표 구조(한국 중심, IR p.25 표와 일관). 2028~30은 일본·미국·동남아·유럽을 차트 막대 비중으로 배분(8_가정 §2b), 삼성 채널 8%/6%/5%: 2030 일본 39%·미국 23%·한국 14%·동남아 10%·유럽 8%(10_IR정합 §8). IR 표 합계(10,302,040)는 차트보다 297,040 큼(≈Sunway PoC)</t>
        </is>
      </c>
      <c r="E14" s="80" t="inlineStr">
        <is>
          <t>IR 차트 막대 높이를 라벨 값에 맞게 수정(2026 막대 약 3.5 vs 라벨 12 등)하고, 2027 지역 구성(차트 일본 약 51% vs 표·계획 한국 중심)을 슬라이드에서 통일</t>
        </is>
      </c>
    </row>
    <row r="15" ht="40" customHeight="1">
      <c r="A15" s="8" t="n">
        <v>11</v>
      </c>
      <c r="B15" s="80" t="inlineStr">
        <is>
          <t>4_매출_거래처</t>
        </is>
      </c>
      <c r="C15" s="122" t="inlineStr">
        <is>
          <t>노인요양시설 "구독자 2만 명 = 1,980,000 USD"(IR p.10)</t>
        </is>
      </c>
      <c r="D15" s="80" t="inlineStr">
        <is>
          <t>20,000명 × 99,000원 = 19.8억원은 월 매출 규모이며 USD가 아님. 2027 표의 노인요양병원 19.86억은 연 매출로 해석(약 1,670명 구독 수준). 2만 명은 중장기 목표로만 활용</t>
        </is>
      </c>
      <c r="E15" s="80" t="inlineStr">
        <is>
          <t>슬라이드 문구(단위·기간) 정정. 연 매출로 환산하면 2만 명 = 약 238억원</t>
        </is>
      </c>
    </row>
    <row r="16" ht="40" customHeight="1">
      <c r="A16" s="8" t="n">
        <v>12</v>
      </c>
      <c r="B16" s="80" t="inlineStr">
        <is>
          <t>6_거래처현황</t>
        </is>
      </c>
      <c r="C16" s="122" t="inlineStr">
        <is>
          <t>거래처명·국가 표기 통일 [2026-10-10 반영]</t>
        </is>
      </c>
      <c r="D16" s="80" t="inlineStr">
        <is>
          <t>GISI Distribution(IR p.25 표기 GIV)으로 전 시트 통일, NEUCA 폴란드 총판, Armedion 독일 총판(IR 미표기 신규), Healthbeats 호주·뉴질랜드 총판, 피플앤테크놀로지(구 피플앤피플)</t>
        </is>
      </c>
      <c r="E16" s="80" t="inlineStr">
        <is>
          <t>IR 슬라이드의 GIV·NEUCA(스페인) 표기를 GISI Distribution·폴란드로 정정</t>
        </is>
      </c>
    </row>
    <row r="17" ht="40" customHeight="1">
      <c r="A17" s="8" t="n">
        <v>13</v>
      </c>
      <c r="B17" s="80" t="inlineStr">
        <is>
          <t>6_거래처현황</t>
        </is>
      </c>
      <c r="C17" s="122" t="inlineStr">
        <is>
          <t>Vanguard Healthcare — IR 계약 확정 vs 거래처 매출표 미포함</t>
        </is>
      </c>
      <c r="D17" s="80" t="inlineStr">
        <is>
          <t>IR p.18·25는 "계약 확정(연 USD 285,840)"이나 거래처 매출표에 없어 모델에 미반영(10_IR정합 §2에 IR 값만 표시). IR p.14 제목·입찰자료는 PoC로 표기</t>
        </is>
      </c>
      <c r="E17" s="80" t="inlineStr">
        <is>
          <t>계약서/PO 확인 후 매출표에 반영하거나 IR 표기 정정</t>
        </is>
      </c>
    </row>
    <row r="18" ht="40" customHeight="1">
      <c r="A18" s="8" t="n">
        <v>14</v>
      </c>
      <c r="B18" s="80" t="inlineStr">
        <is>
          <t>4_매출_거래처</t>
        </is>
      </c>
      <c r="C18" s="122" t="inlineStr">
        <is>
          <t>거래처별 2025·2026 상반기 매출(투자사 양식 "거래처 현황" 시트)</t>
        </is>
      </c>
      <c r="D18" s="80" t="inlineStr">
        <is>
          <t>2026-01~09는 매출표 실적을 사용. 2025 거래처별 매출 자료는 없음</t>
        </is>
      </c>
      <c r="E18" s="80" t="inlineStr">
        <is>
          <t>회계 장부·세금계산서 기준 상위 10개 거래처·비중 작성 후 모델 반영</t>
        </is>
      </c>
    </row>
    <row r="19" ht="40" customHeight="1">
      <c r="A19" s="8" t="n">
        <v>15</v>
      </c>
      <c r="B19" s="80" t="inlineStr">
        <is>
          <t>7_비용인력 · 8_가정</t>
        </is>
      </c>
      <c r="C19" s="122" t="inlineStr">
        <is>
          <t>개발비(자산 19.8억) 상각 시점·내용연수, 개발비 자본화 정책</t>
        </is>
      </c>
      <c r="D19" s="80" t="inlineStr">
        <is>
          <t>2025 판관비·매출원가에 상각이 보이지 않아 상품화 시점(2027-01)부터 5년 정액(연 약 4.0억) 반영, 2027~ 신규 자본화분은 다음 해부터 5년 상각 가산</t>
        </is>
      </c>
      <c r="E19" s="80" t="inlineStr">
        <is>
          <t>2025 감사보고서 주석(무형자산) 확인 후 상각비·자본화 정책 수정</t>
        </is>
      </c>
    </row>
    <row r="20" ht="40" customHeight="1">
      <c r="A20" s="8" t="n">
        <v>16</v>
      </c>
      <c r="B20" s="80" t="inlineStr">
        <is>
          <t>8_가정</t>
        </is>
      </c>
      <c r="C20" s="122" t="inlineStr">
        <is>
          <t>법인세율·이월결손금·중소기업 요건</t>
        </is>
      </c>
      <c r="D20" s="80" t="inlineStr">
        <is>
          <t>2026 귀속 10/20/22/25%(2025 세법개정 반영 여부는 출처 메모 참조), 이월결손금 약 30.3억은 자본 구조에서 역산한 추정치, 중소기업 한도 100% 공제</t>
        </is>
      </c>
      <c r="E20" s="80" t="inlineStr">
        <is>
          <t>세무사 확인(세무상 결손금, 중소기업 졸업 시점, 세액공제·최저한세)</t>
        </is>
      </c>
    </row>
    <row r="21" ht="40" customHeight="1">
      <c r="A21" s="8" t="n">
        <v>17</v>
      </c>
      <c r="B21" s="80" t="inlineStr">
        <is>
          <t>7_비용인력 · 8_가정</t>
        </is>
      </c>
      <c r="C21" s="122" t="inlineStr">
        <is>
          <t>인원 계획·급여·차입금·이자율</t>
        </is>
      </c>
      <c r="D21" s="80" t="inlineStr">
        <is>
          <t>현재 7명(2026-09 급상여대장) → 22 → 85 → 130 → 260명(S1), 차입금 12 → 20 → 60 → 100 → 120억. 투자 유치(증자) 반영 없음 — 자금조달에 따라 이자비용이 줄어들 수 있음</t>
        </is>
      </c>
      <c r="E21" s="80" t="inlineStr">
        <is>
          <t>투자 라운드·사용처 확정 후 인력·차입 가정과 BS·CF 계획 연계</t>
        </is>
      </c>
    </row>
    <row r="22" ht="40" customHeight="1">
      <c r="A22" s="8" t="n">
        <v>18</v>
      </c>
      <c r="B22" s="80" t="inlineStr">
        <is>
          <t>1_요약 · 3_연간손익</t>
        </is>
      </c>
      <c r="C22" s="122" t="inlineStr">
        <is>
          <t>2030 영업이익률 수준</t>
        </is>
      </c>
      <c r="D22" s="80" t="inlineStr">
        <is>
          <t>2030 S1 영업이익률은 약 16%로 동종 벤치마크(Essity FY2025 EBITA 14.1%, Ontex 조정 EBITDA 10.0%)보다 높음. 인당 매출 8억원(평균 195명 기준; 기말 260명 기준 6억원)과 고정비 비중 하락이 원인</t>
        </is>
      </c>
      <c r="E22" s="80" t="inlineStr">
        <is>
          <t>투자사 질의 대비: 인원·마케팅·R&amp;D 비용을 상향하거나 마진 도약 근거(소프트웨어 구독 비중, 규모의 경제)를 준비</t>
        </is>
      </c>
    </row>
    <row r="23" ht="42" customHeight="1">
      <c r="A23" s="8" t="n">
        <v>19</v>
      </c>
      <c r="B23" s="80" t="inlineStr">
        <is>
          <t>8_가정 · 6_거래처현황</t>
        </is>
      </c>
      <c r="C23" s="122" t="inlineStr">
        <is>
          <t>Hansoms(Xiamen) 현물출자 [2026-10-10 반영]</t>
        </is>
      </c>
      <c r="D23" s="80" t="inlineStr">
        <is>
          <t>계약 효력 2026-08, 약 2,500만원 상당 제품 납품 완료(최대 USD 448k 상당). 현물출자로 받은 재고는 공정가치로 재고자산·자본(신주) 인식 후 판매 시 매출원가로 처리되므로 손익(원가율) 영향 없음 — 현금 지출 절감 효과만 있어 손익계산서에는 별도 반영하지 않음</t>
        </is>
      </c>
      <c r="E23" s="80" t="inlineStr">
        <is>
          <t>감사인과 현물출자 재고의 공정가치 평가·신주 발행 회계처리 확인. 잔여 납품 일정 확인</t>
        </is>
      </c>
    </row>
    <row r="24" ht="40" customHeight="1">
      <c r="A24" s="8" t="n">
        <v>20</v>
      </c>
      <c r="B24" s="80" t="inlineStr">
        <is>
          <t>9_시나리오</t>
        </is>
      </c>
      <c r="C24" s="122" t="inlineStr">
        <is>
          <t>스냅샷 갱신</t>
        </is>
      </c>
      <c r="D24" s="80" t="inlineStr">
        <is>
          <t>시나리오 표는 값 스냅샷. 입력을 바꾼 뒤 "점검" 행이 "갱신 필요"이면 시나리오별로 다시 선택해 값을 확인</t>
        </is>
      </c>
      <c r="E24" s="80" t="inlineStr">
        <is>
          <t>필요 시 S1/S2/S3를 순서대로 선택해 수치를 복사 갱신</t>
        </is>
      </c>
    </row>
    <row r="25" ht="40" customHeight="1">
      <c r="A25" s="8" t="n">
        <v>21</v>
      </c>
      <c r="B25" s="80" t="inlineStr">
        <is>
          <t>2_손익계산서 · 7_비용인력</t>
        </is>
      </c>
      <c r="C25" s="122" t="inlineStr">
        <is>
          <t>운전자본·자금 계획</t>
        </is>
      </c>
      <c r="D25" s="80" t="inlineStr">
        <is>
          <t>7_비용인력 F절에 순운전자본 참고 추정을 두었음(매출채권 60일·재고 60일·매입채무 45일 가정). 현금흐름·BS는 범위 밖</t>
        </is>
      </c>
      <c r="E25" s="80" t="inlineStr">
        <is>
          <t>투자 라운드 규모와 차입 가정 연계한 자금계획 별도 준비</t>
        </is>
      </c>
    </row>
    <row r="26" ht="40" customHeight="1">
      <c r="A26" s="8" t="n">
        <v>22</v>
      </c>
      <c r="B26" s="80" t="inlineStr">
        <is>
          <t>1_요약 · 10_IR정합</t>
        </is>
      </c>
      <c r="C26" s="122" t="inlineStr">
        <is>
          <t>2028~2030 신규 파이프라인·삼성 채널 비중</t>
        </is>
      </c>
      <c r="D26" s="80" t="inlineStr">
        <is>
          <t>2030년 S1에서 지정 거래처 약 26%, 신규 파이프라인 코호트(일본·동남아·유럽·미국) 약 69%, 삼성 글로벌 채널 5%(8_가정 §2b). 투자사가 가장 먼저 질문할 지점</t>
        </is>
      </c>
      <c r="E26" s="80" t="inlineStr">
        <is>
          <t>삼성 채널·미국 유통·일본 신규 시설에 대해 마일스톤(계약 목표 시점·채널 수)을 사전 준비</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(주)모닛</dc:creator>
  <dc:title>(주)모닛 5개년 사업계획(손익계산서) 2026-2030</dc:title>
  <dc:subject>5개년 사업계획 — IR 매출 전망 기반 손익계산서</dc:subject>
  <dcterms:created xsi:type="dcterms:W3CDTF">2026-10-10T09:39:37Z</dcterms:created>
  <dcterms:modified xsi:type="dcterms:W3CDTF">2026-10-10T09:39:38Z</dcterms:modified>
</cp:coreProperties>
</file>