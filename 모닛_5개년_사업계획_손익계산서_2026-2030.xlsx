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요약" sheetId="1" state="visible" r:id="rId1"/>
    <sheet name="2_손익계산서" sheetId="2" state="visible" r:id="rId2"/>
    <sheet name="3_연간손익" sheetId="3" state="visible" r:id="rId3"/>
    <sheet name="4_매출_거래처" sheetId="4" state="visible" r:id="rId4"/>
    <sheet name="5_매출_제품지역" sheetId="5" state="visible" r:id="rId5"/>
    <sheet name="6_거래처현황" sheetId="6" state="visible" r:id="rId6"/>
    <sheet name="7_비용인력" sheetId="7" state="visible" r:id="rId7"/>
    <sheet name="8_가정" sheetId="8" state="visible" r:id="rId8"/>
    <sheet name="9_시나리오" sheetId="9" state="visible" r:id="rId9"/>
    <sheet name="10_IR정합" sheetId="10" state="visible" r:id="rId10"/>
    <sheet name="★제출전_확인사항(삭제후제출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(#,##0);&quot;-&quot;"/>
    <numFmt numFmtId="165" formatCode="#,##0.0;(#,##0.0);&quot;-&quot;"/>
    <numFmt numFmtId="166" formatCode="0%;(0%);&quot;-&quot;"/>
    <numFmt numFmtId="167" formatCode="0.0%;(0.0%);&quot;-&quot;"/>
    <numFmt numFmtId="168" formatCode="#,##0.00;(#,##0.00);&quot;-&quot;"/>
    <numFmt numFmtId="169" formatCode="0.00%;(0.00%);&quot;-&quot;"/>
    <numFmt numFmtId="170" formatCode="0.00&quot;x&quot;"/>
  </numFmts>
  <fonts count="25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i val="1"/>
      <color rgb="00595959"/>
      <sz val="9"/>
    </font>
    <font>
      <name val="맑은 고딕"/>
      <b val="1"/>
      <color rgb="00FFFFFF"/>
      <sz val="10"/>
    </font>
    <font>
      <name val="맑은 고딕"/>
      <b val="1"/>
      <color rgb="00FFFFFF"/>
      <sz val="9"/>
    </font>
    <font>
      <name val="맑은 고딕"/>
      <b val="1"/>
      <color rgb="00000000"/>
      <sz val="9"/>
    </font>
    <font>
      <name val="맑은 고딕"/>
      <color rgb="00000000"/>
      <sz val="9"/>
    </font>
    <font>
      <name val="맑은 고딕"/>
      <color rgb="000000FF"/>
      <sz val="9"/>
    </font>
    <font>
      <name val="맑은 고딕"/>
      <b val="1"/>
      <color rgb="00008000"/>
      <sz val="9"/>
    </font>
    <font>
      <name val="맑은 고딕"/>
      <b val="1"/>
      <color rgb="001F3864"/>
      <sz val="9"/>
    </font>
    <font>
      <name val="맑은 고딕"/>
      <color rgb="00000000"/>
      <sz val="8"/>
    </font>
    <font>
      <name val="맑은 고딕"/>
      <color rgb="00595959"/>
      <sz val="9"/>
    </font>
    <font>
      <name val="맑은 고딕"/>
      <b val="1"/>
      <color rgb="001F3864"/>
      <sz val="10"/>
    </font>
    <font>
      <name val="맑은 고딕"/>
      <color rgb="007F7F7F"/>
      <sz val="9"/>
    </font>
    <font>
      <name val="맑은 고딕"/>
      <color rgb="00008000"/>
      <sz val="9"/>
    </font>
    <font>
      <name val="맑은 고딕"/>
      <color rgb="007F7F7F"/>
      <sz val="8"/>
    </font>
    <font>
      <name val="맑은 고딕"/>
      <i val="1"/>
      <color rgb="00008000"/>
      <sz val="9"/>
    </font>
    <font>
      <name val="맑은 고딕"/>
      <b val="1"/>
      <color rgb="000000FF"/>
      <sz val="9"/>
    </font>
    <font>
      <name val="맑은 고딕"/>
      <i val="1"/>
      <color rgb="00000000"/>
      <sz val="9"/>
    </font>
    <font>
      <name val="맑은 고딕"/>
      <i val="1"/>
      <color rgb="000000FF"/>
      <sz val="9"/>
    </font>
    <font>
      <name val="맑은 고딕"/>
      <i val="1"/>
      <color rgb="007F7F7F"/>
      <sz val="9"/>
    </font>
    <font>
      <name val="맑은 고딕"/>
      <b val="1"/>
      <color rgb="000000FF"/>
      <sz val="10"/>
    </font>
    <font>
      <name val="맑은 고딕"/>
      <color rgb="000563C1"/>
      <sz val="9"/>
      <u val="single"/>
    </font>
    <font>
      <name val="맑은 고딕"/>
      <color rgb="00404040"/>
      <sz val="9"/>
    </font>
    <font>
      <name val="맑은 고딕"/>
      <color rgb="00595959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FFF2A8"/>
      </patternFill>
    </fill>
    <fill>
      <patternFill patternType="solid">
        <fgColor rgb="00DEEAF6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21" fillId="4" borderId="3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0" fontId="13" fillId="0" borderId="0" applyAlignment="1" pivotButton="0" quotePrefix="0" xfId="0">
      <alignment vertical="center"/>
    </xf>
    <xf numFmtId="1" fontId="6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22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165" fontId="8" fillId="0" borderId="0" applyAlignment="1" pivotButton="0" quotePrefix="0" xfId="0">
      <alignment vertical="center"/>
    </xf>
    <xf numFmtId="167" fontId="2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7" fontId="14" fillId="0" borderId="0" applyAlignment="1" pivotButton="0" quotePrefix="0" xfId="0">
      <alignment vertical="center"/>
    </xf>
    <xf numFmtId="165" fontId="14" fillId="0" borderId="0" applyAlignment="1" pivotButton="0" quotePrefix="0" xfId="0">
      <alignment vertical="center"/>
    </xf>
    <xf numFmtId="164" fontId="14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4" fillId="2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center" vertical="center" wrapText="1"/>
    </xf>
    <xf numFmtId="164" fontId="5" fillId="5" borderId="0" applyAlignment="1" pivotButton="0" quotePrefix="0" xfId="0">
      <alignment vertical="center"/>
    </xf>
    <xf numFmtId="164" fontId="14" fillId="6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4" fontId="5" fillId="5" borderId="1" applyAlignment="1" pivotButton="0" quotePrefix="0" xfId="0">
      <alignment vertical="center"/>
    </xf>
    <xf numFmtId="164" fontId="5" fillId="6" borderId="1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167" fontId="2" fillId="5" borderId="0" applyAlignment="1" pivotButton="0" quotePrefix="0" xfId="0">
      <alignment vertical="center"/>
    </xf>
    <xf numFmtId="167" fontId="2" fillId="6" borderId="0" applyAlignment="1" pivotButton="0" quotePrefix="0" xfId="0">
      <alignment vertical="center"/>
    </xf>
    <xf numFmtId="0" fontId="5" fillId="7" borderId="0" applyAlignment="1" pivotButton="0" quotePrefix="0" xfId="0">
      <alignment vertical="center"/>
    </xf>
    <xf numFmtId="164" fontId="5" fillId="7" borderId="0" applyAlignment="1" pivotButton="0" quotePrefix="0" xfId="0">
      <alignment vertical="center"/>
    </xf>
    <xf numFmtId="164" fontId="5" fillId="6" borderId="0" applyAlignment="1" pivotButton="0" quotePrefix="0" xfId="0">
      <alignment vertical="center"/>
    </xf>
    <xf numFmtId="164" fontId="8" fillId="5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4" fontId="5" fillId="7" borderId="2" applyAlignment="1" pivotButton="0" quotePrefix="0" xfId="0">
      <alignment vertical="center"/>
    </xf>
    <xf numFmtId="164" fontId="5" fillId="5" borderId="2" applyAlignment="1" pivotButton="0" quotePrefix="0" xfId="0">
      <alignment vertical="center"/>
    </xf>
    <xf numFmtId="164" fontId="5" fillId="6" borderId="2" applyAlignment="1" pivotButton="0" quotePrefix="0" xfId="0">
      <alignment vertical="center"/>
    </xf>
    <xf numFmtId="164" fontId="16" fillId="0" borderId="0" applyAlignment="1" pivotButton="0" quotePrefix="0" xfId="0">
      <alignment vertical="center"/>
    </xf>
    <xf numFmtId="164" fontId="16" fillId="5" borderId="0" applyAlignment="1" pivotButton="0" quotePrefix="0" xfId="0">
      <alignment vertical="center"/>
    </xf>
    <xf numFmtId="164" fontId="16" fillId="6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164" fontId="6" fillId="6" borderId="0" applyAlignment="1" pivotButton="0" quotePrefix="0" xfId="0">
      <alignment vertical="center"/>
    </xf>
    <xf numFmtId="165" fontId="14" fillId="5" borderId="0" applyAlignment="1" pivotButton="0" quotePrefix="0" xfId="0">
      <alignment vertical="center"/>
    </xf>
    <xf numFmtId="165" fontId="14" fillId="6" borderId="0" applyAlignment="1" pivotButton="0" quotePrefix="0" xfId="0">
      <alignment vertical="center"/>
    </xf>
    <xf numFmtId="164" fontId="14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7" fontId="6" fillId="6" borderId="0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164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19" fillId="0" borderId="0" applyAlignment="1" pivotButton="0" quotePrefix="0" xfId="0">
      <alignment vertical="center"/>
    </xf>
    <xf numFmtId="167" fontId="6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164" fontId="13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right" vertical="center"/>
    </xf>
    <xf numFmtId="1" fontId="11" fillId="0" borderId="0" applyAlignment="1" pivotButton="0" quotePrefix="0" xfId="0">
      <alignment horizontal="center" vertical="center"/>
    </xf>
    <xf numFmtId="1" fontId="13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vertical="center"/>
    </xf>
    <xf numFmtId="164" fontId="7" fillId="4" borderId="0" applyAlignment="1" pivotButton="0" quotePrefix="0" xfId="0">
      <alignment vertical="center"/>
    </xf>
    <xf numFmtId="168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1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169" fontId="6" fillId="0" borderId="0" applyAlignment="1" pivotButton="0" quotePrefix="0" xfId="0">
      <alignment vertical="center"/>
    </xf>
    <xf numFmtId="1" fontId="14" fillId="0" borderId="0" applyAlignment="1" pivotButton="0" quotePrefix="0" xfId="0">
      <alignment vertical="center"/>
    </xf>
    <xf numFmtId="167" fontId="11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14" fillId="0" borderId="0" applyAlignment="1" pivotButton="0" quotePrefix="0" xfId="0">
      <alignment vertical="top"/>
    </xf>
    <xf numFmtId="0" fontId="13" fillId="0" borderId="0" applyAlignment="1" pivotButton="0" quotePrefix="0" xfId="0">
      <alignment horizontal="right" vertical="top"/>
    </xf>
    <xf numFmtId="165" fontId="6" fillId="5" borderId="0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5" fontId="6" fillId="6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66" fontId="6" fillId="6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6" fillId="0" borderId="0" applyAlignment="1" pivotButton="0" quotePrefix="0" xfId="0">
      <alignment vertical="center" wrapText="1"/>
    </xf>
    <xf numFmtId="165" fontId="7" fillId="4" borderId="0" applyAlignment="1" pivotButton="0" quotePrefix="0" xfId="0">
      <alignment vertical="center"/>
    </xf>
    <xf numFmtId="166" fontId="7" fillId="4" borderId="0" applyAlignment="1" pivotButton="0" quotePrefix="0" xfId="0">
      <alignment vertical="center"/>
    </xf>
    <xf numFmtId="1" fontId="7" fillId="4" borderId="0" applyAlignment="1" pivotButton="0" quotePrefix="0" xfId="0">
      <alignment vertical="center"/>
    </xf>
    <xf numFmtId="166" fontId="8" fillId="0" borderId="0" applyAlignment="1" pivotButton="0" quotePrefix="0" xfId="0">
      <alignment vertical="center"/>
    </xf>
    <xf numFmtId="167" fontId="7" fillId="4" borderId="0" applyAlignment="1" pivotButton="0" quotePrefix="0" xfId="0">
      <alignment vertical="center"/>
    </xf>
    <xf numFmtId="167" fontId="7" fillId="0" borderId="0" applyAlignment="1" pivotButton="0" quotePrefix="0" xfId="0">
      <alignment vertical="center"/>
    </xf>
    <xf numFmtId="165" fontId="23" fillId="0" borderId="0" applyAlignment="1" pivotButton="0" quotePrefix="0" xfId="0">
      <alignment vertical="center"/>
    </xf>
    <xf numFmtId="167" fontId="23" fillId="0" borderId="0" applyAlignment="1" pivotButton="0" quotePrefix="0" xfId="0">
      <alignment vertical="center"/>
    </xf>
    <xf numFmtId="164" fontId="23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7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지역별 매출 추이 (억원)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한국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'1_요약'!$D$24:$H$24</f>
            </numRef>
          </val>
        </ser>
        <ser>
          <idx val="1"/>
          <order val="1"/>
          <tx>
            <v>일본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'1_요약'!$D$25:$H$25</f>
            </numRef>
          </val>
        </ser>
        <ser>
          <idx val="2"/>
          <order val="2"/>
          <tx>
            <v>동남아·APAC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'1_요약'!$D$26:$H$26</f>
            </numRef>
          </val>
        </ser>
        <ser>
          <idx val="3"/>
          <order val="3"/>
          <tx>
            <v>유럽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'1_요약'!$D$27:$H$27</f>
            </numRef>
          </val>
        </ser>
        <ser>
          <idx val="4"/>
          <order val="4"/>
          <tx>
            <v>미국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'1_요약'!$D$28:$H$28</f>
            </numRef>
          </val>
        </ser>
        <ser>
          <idx val="5"/>
          <order val="5"/>
          <tx>
            <v>글로벌(삼성채널)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'1_요약'!$D$29:$H$29</f>
            </numRef>
          </val>
        </ser>
        <ser>
          <idx val="6"/>
          <order val="6"/>
          <tx>
            <v>기존 소액·기타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'1_요약'!$D$30:$H$30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매출액(억원)과 영업이익률</a:t>
            </a:r>
          </a:p>
        </rich>
      </tx>
    </title>
    <plotArea>
      <barChart>
        <barDir val="col"/>
        <grouping val="clustered"/>
        <ser>
          <idx val="0"/>
          <order val="0"/>
          <tx>
            <v>매출액(억원)</v>
          </tx>
          <spPr>
            <a:ln>
              <a:prstDash val="solid"/>
            </a:ln>
          </spPr>
          <cat>
            <numRef>
              <f>'1_요약'!$D$7:$H$7</f>
            </numRef>
          </cat>
          <val>
            <numRef>
              <f>'1_요약'!$D$8:$H$8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v>영업이익률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'1_요약'!$D$13:$H$13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MONIT 사업계획</author>
  </authors>
  <commentList>
    <comment ref="M26" authorId="0" shapeId="0">
      <text>
        <t>IR 2026 매출 목표(1,200백만원)에서 지정 거래처 2026 매출(S1 가중)을 뺀 값 = 기존 소액·기타 거래처 매출(조정). 거래처별 실적이 확정되면 이 값을 실적으로 교체하세요.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6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2_&#49552;&#51061;&#44228;&#49328;&#49436;'!A1" TargetMode="External" Id="rId1" /><Relationship Type="http://schemas.openxmlformats.org/officeDocument/2006/relationships/hyperlink" Target="#'10_IR&#51221;&#54633;'!A1" TargetMode="External" Id="rId2" /><Relationship Type="http://schemas.openxmlformats.org/officeDocument/2006/relationships/hyperlink" Target="#'9_&#49884;&#45208;&#47532;&#50724;'!A1" TargetMode="External" Id="rId3" /><Relationship Type="http://schemas.openxmlformats.org/officeDocument/2006/relationships/hyperlink" Target="#'&#9733;&#51228;&#52636;&#51204;_&#54869;&#51064;&#49324;&#54637;(&#49325;&#51228;&#54980;&#51228;&#52636;)'!A1" TargetMode="External" Id="rId4" /><Relationship Type="http://schemas.openxmlformats.org/officeDocument/2006/relationships/drawing" Target="/xl/drawings/drawing1.xml" Id="rId5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5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3" customWidth="1" min="10" max="10"/>
  </cols>
  <sheetData>
    <row r="1">
      <c r="A1" s="1" t="inlineStr">
        <is>
          <t>(주)모닛 5개년 사업계획 요약 (2026~2030)</t>
        </is>
      </c>
    </row>
    <row r="2">
      <c r="A2" s="2" t="inlineStr">
        <is>
          <t>AIoT 스마트 기저귀 케어(MECS PRO) · 글로벌 매출 전망 기반 손익계산서 — 단위: 억원(별도 표기 제외)</t>
        </is>
      </c>
    </row>
    <row r="3"/>
    <row r="4">
      <c r="A4" s="3" t="inlineStr">
        <is>
          <t>시나리오 선택 ▶</t>
        </is>
      </c>
      <c r="C4" s="4" t="inlineStr">
        <is>
          <t>S1 경영계획(IR 정합)</t>
        </is>
      </c>
      <c r="D4" s="5" t="n"/>
      <c r="E4" s="6" t="n"/>
      <c r="F4" s="2" t="inlineStr">
        <is>
          <t>← 드롭다운으로 전환(모든 시트가 연동)</t>
        </is>
      </c>
    </row>
    <row r="5">
      <c r="A5" s="7" t="inlineStr">
        <is>
          <t>시나리오 번호(계산용)</t>
        </is>
      </c>
      <c r="C5" s="8">
        <f>IFERROR(MATCH(C4,'8_가정'!$C$26:$E$26,0),1)</f>
        <v>1</v>
      </c>
    </row>
    <row r="6">
      <c r="A6" s="9" t="inlineStr">
        <is>
          <t>바로가기 ▶</t>
        </is>
      </c>
      <c r="C6" s="10" t="inlineStr">
        <is>
          <t>2_손익계산서</t>
        </is>
      </c>
      <c r="E6" s="10" t="inlineStr">
        <is>
          <t>10_IR정합</t>
        </is>
      </c>
      <c r="G6" s="10" t="inlineStr">
        <is>
          <t>9_시나리오</t>
        </is>
      </c>
      <c r="I6" s="10" t="inlineStr">
        <is>
          <t>★제출전_확인사항</t>
        </is>
      </c>
    </row>
    <row r="7">
      <c r="A7" s="11" t="inlineStr">
        <is>
          <t>핵심 지표</t>
        </is>
      </c>
      <c r="C7" s="11" t="inlineStr">
        <is>
          <t>2025A</t>
        </is>
      </c>
      <c r="D7" s="11" t="inlineStr">
        <is>
          <t>2026E</t>
        </is>
      </c>
      <c r="E7" s="11" t="inlineStr">
        <is>
          <t>2027E</t>
        </is>
      </c>
      <c r="F7" s="11" t="inlineStr">
        <is>
          <t>2028E</t>
        </is>
      </c>
      <c r="G7" s="11" t="inlineStr">
        <is>
          <t>2029E</t>
        </is>
      </c>
      <c r="H7" s="11" t="inlineStr">
        <is>
          <t>2030E</t>
        </is>
      </c>
      <c r="I7" s="11" t="inlineStr">
        <is>
          <t>CAGR('25~'30)</t>
        </is>
      </c>
    </row>
    <row r="8">
      <c r="A8" s="12" t="inlineStr">
        <is>
          <t>매출액</t>
        </is>
      </c>
      <c r="C8" s="13">
        <f>'3_연간손익'!C7/100000</f>
        <v>8.54163091</v>
      </c>
      <c r="D8" s="13">
        <f>'3_연간손익'!D7/100000</f>
        <v>12</v>
      </c>
      <c r="E8" s="13">
        <f>'3_연간손익'!E7/100000</f>
        <v>100.0204</v>
      </c>
      <c r="F8" s="13">
        <f>'3_연간손익'!F7/100000</f>
        <v>330</v>
      </c>
      <c r="G8" s="13">
        <f>'3_연간손익'!G7/100000</f>
        <v>700</v>
      </c>
      <c r="H8" s="13">
        <f>'3_연간손익'!H7/100000</f>
        <v>1560</v>
      </c>
      <c r="I8" s="14">
        <f>IFERROR(('3_연간손익'!H7/'3_연간손익'!C7)^(1/5)-1,"n/a")</f>
        <v>1.83345786870168</v>
      </c>
    </row>
    <row r="9">
      <c r="A9" s="15" t="inlineStr">
        <is>
          <t xml:space="preserve">  전년 대비 성장률</t>
        </is>
      </c>
      <c r="C9" s="16">
        <f>'3_연간손익'!C7/'3_연간손익'!B7-1</f>
        <v>0.0538414710121797</v>
      </c>
      <c r="D9" s="16">
        <f>'3_연간손익'!D8</f>
        <v>0.404883929830211</v>
      </c>
      <c r="E9" s="16">
        <f>'3_연간손익'!E8</f>
        <v>7.33503333333333</v>
      </c>
      <c r="F9" s="16">
        <f>'3_연간손익'!F8</f>
        <v>2.29932693730479</v>
      </c>
      <c r="G9" s="16">
        <f>'3_연간손익'!G8</f>
        <v>1.12121212121212</v>
      </c>
      <c r="H9" s="16">
        <f>'3_연간손익'!H8</f>
        <v>1.22857142857143</v>
      </c>
    </row>
    <row r="10">
      <c r="A10" s="15" t="inlineStr">
        <is>
          <t>매출총이익</t>
        </is>
      </c>
      <c r="C10" s="17">
        <f>'3_연간손익'!C10/100000</f>
        <v>4.53435387</v>
      </c>
      <c r="D10" s="17">
        <f>'3_연간손익'!D10/100000</f>
        <v>5.69602889265537</v>
      </c>
      <c r="E10" s="17">
        <f>'3_연간손익'!E10/100000</f>
        <v>39.70696944</v>
      </c>
      <c r="F10" s="17">
        <f>'3_연간손익'!F10/100000</f>
        <v>130.740831629043</v>
      </c>
      <c r="G10" s="17">
        <f>'3_연간손익'!G10/100000</f>
        <v>279.249885140102</v>
      </c>
      <c r="H10" s="17">
        <f>'3_연간손익'!H10/100000</f>
        <v>637.123055449323</v>
      </c>
      <c r="I10" s="14">
        <f>IFERROR(('3_연간손익'!H10/'3_연간손익'!C10)^(1/5)-1,"n/a")</f>
        <v>1.68869526377231</v>
      </c>
    </row>
    <row r="11">
      <c r="A11" s="15" t="inlineStr">
        <is>
          <t xml:space="preserve">  매출총이익률</t>
        </is>
      </c>
      <c r="C11" s="16">
        <f>'3_연간손익'!C11</f>
        <v>0.530853407010535</v>
      </c>
      <c r="D11" s="16">
        <f>'3_연간손익'!D11</f>
        <v>0.474669074387947</v>
      </c>
      <c r="E11" s="16">
        <f>'3_연간손익'!E11</f>
        <v>0.396988708703425</v>
      </c>
      <c r="F11" s="16">
        <f>'3_연간손익'!F11</f>
        <v>0.396184338269827</v>
      </c>
      <c r="G11" s="16">
        <f>'3_연간손익'!G11</f>
        <v>0.398928407343003</v>
      </c>
      <c r="H11" s="16">
        <f>'3_연간손익'!H11</f>
        <v>0.408412215031618</v>
      </c>
    </row>
    <row r="12">
      <c r="A12" s="12" t="inlineStr">
        <is>
          <t>영업이익</t>
        </is>
      </c>
      <c r="C12" s="13">
        <f>'3_연간손익'!C13/100000</f>
        <v>0.26795791</v>
      </c>
      <c r="D12" s="13">
        <f>'3_연간손익'!D13/100000</f>
        <v>-0.700931107344632</v>
      </c>
      <c r="E12" s="13">
        <f>'3_연간손익'!E13/100000</f>
        <v>6.60993944</v>
      </c>
      <c r="F12" s="13">
        <f>'3_연간손익'!F13/100000</f>
        <v>30.8793016290429</v>
      </c>
      <c r="G12" s="13">
        <f>'3_연간손익'!G13/100000</f>
        <v>79.3051551401019</v>
      </c>
      <c r="H12" s="13">
        <f>'3_연간손익'!H13/100000</f>
        <v>214.119925449323</v>
      </c>
      <c r="I12" s="14">
        <f>IFERROR(('3_연간손익'!H13/'3_연간손익'!C13)^(1/5)-1,"n/a")</f>
        <v>2.80643221565146</v>
      </c>
    </row>
    <row r="13">
      <c r="A13" s="15" t="inlineStr">
        <is>
          <t xml:space="preserve">  영업이익률</t>
        </is>
      </c>
      <c r="C13" s="16">
        <f>'3_연간손익'!C14</f>
        <v>0.0313708134691575</v>
      </c>
      <c r="D13" s="16">
        <f>'3_연간손익'!D14</f>
        <v>-0.0584109256120527</v>
      </c>
      <c r="E13" s="16">
        <f>'3_연간손익'!E14</f>
        <v>0.0660859128737737</v>
      </c>
      <c r="F13" s="16">
        <f>'3_연간손익'!F14</f>
        <v>0.0935736413001299</v>
      </c>
      <c r="G13" s="16">
        <f>'3_연간손익'!G14</f>
        <v>0.113293078771574</v>
      </c>
      <c r="H13" s="16">
        <f>'3_연간손익'!H14</f>
        <v>0.137256362467515</v>
      </c>
    </row>
    <row r="14">
      <c r="A14" s="15" t="inlineStr">
        <is>
          <t>당기순이익</t>
        </is>
      </c>
      <c r="C14" s="17">
        <f>'3_연간손익'!C21/100000</f>
        <v>0.0516718499999997</v>
      </c>
      <c r="D14" s="17">
        <f>'3_연간손익'!D21/100000</f>
        <v>-0.626821427344632</v>
      </c>
      <c r="E14" s="17">
        <f>'3_연간손익'!E21/100000</f>
        <v>6.24193944</v>
      </c>
      <c r="F14" s="17">
        <f>'3_연간손익'!F21/100000</f>
        <v>28.4775097078692</v>
      </c>
      <c r="G14" s="17">
        <f>'3_연간손익'!G21/100000</f>
        <v>59.0828210092795</v>
      </c>
      <c r="H14" s="17">
        <f>'3_연간손익'!H21/100000</f>
        <v>162.920663490587</v>
      </c>
      <c r="I14" s="14">
        <f>IFERROR(('3_연간손익'!H21/'3_연간손익'!C21)^(1/5)-1,"n/a")</f>
        <v>4.00892388037824</v>
      </c>
    </row>
    <row r="15">
      <c r="A15" s="15" t="inlineStr">
        <is>
          <t>EBITDA</t>
        </is>
      </c>
      <c r="D15" s="17">
        <f>'3_연간손익'!D23/100000</f>
        <v>-0.520931107344632</v>
      </c>
      <c r="E15" s="17">
        <f>'3_연간손익'!E23/100000</f>
        <v>10.96946944</v>
      </c>
      <c r="F15" s="17">
        <f>'3_연간손익'!F23/100000</f>
        <v>35.7388316290429</v>
      </c>
      <c r="G15" s="17">
        <f>'3_연간손익'!G23/100000</f>
        <v>85.0646851401019</v>
      </c>
      <c r="H15" s="17">
        <f>'3_연간손익'!H23/100000</f>
        <v>221.079455449323</v>
      </c>
    </row>
    <row r="16">
      <c r="A16" s="15" t="inlineStr">
        <is>
          <t>인원(기말, 명)</t>
        </is>
      </c>
      <c r="D16" s="18">
        <f>'3_연간손익'!D24</f>
        <v>9</v>
      </c>
      <c r="E16" s="18">
        <f>'3_연간손익'!E24</f>
        <v>22</v>
      </c>
      <c r="F16" s="18">
        <f>'3_연간손익'!F24</f>
        <v>85</v>
      </c>
      <c r="G16" s="18">
        <f>'3_연간손익'!G24</f>
        <v>130</v>
      </c>
      <c r="H16" s="18">
        <f>'3_연간손익'!H24</f>
        <v>260</v>
      </c>
    </row>
    <row r="17">
      <c r="A17" s="15" t="inlineStr">
        <is>
          <t>인당 매출(백만원)</t>
        </is>
      </c>
      <c r="D17" s="17">
        <f>'3_연간손익'!D25</f>
        <v>163.636363636364</v>
      </c>
      <c r="E17" s="17">
        <f>'3_연간손익'!E25</f>
        <v>641.842139037433</v>
      </c>
      <c r="F17" s="17">
        <f>'3_연간손익'!F25</f>
        <v>616.822429906542</v>
      </c>
      <c r="G17" s="17">
        <f>'3_연간손익'!G25</f>
        <v>651.162790697674</v>
      </c>
      <c r="H17" s="17">
        <f>'3_연간손익'!H25</f>
        <v>800</v>
      </c>
    </row>
    <row r="18">
      <c r="A18" s="15" t="inlineStr">
        <is>
          <t>추정 유료 이용자(명, 평균)</t>
        </is>
      </c>
      <c r="D18" s="18">
        <f>'3_연간손익'!D26</f>
        <v>950</v>
      </c>
      <c r="E18" s="18">
        <f>'3_연간손익'!E26</f>
        <v>8012.73233333333</v>
      </c>
      <c r="F18" s="18">
        <f>'3_연간손익'!F26</f>
        <v>25314.3276219453</v>
      </c>
      <c r="G18" s="18">
        <f>'3_연간손익'!G26</f>
        <v>50824.2010157023</v>
      </c>
      <c r="H18" s="18">
        <f>'3_연간손익'!H26</f>
        <v>106776.188196769</v>
      </c>
    </row>
    <row r="19">
      <c r="A19" s="15" t="inlineStr">
        <is>
          <t>IR 매출 목표</t>
        </is>
      </c>
      <c r="D19" s="17">
        <f>'3_연간손익'!D27/100000</f>
        <v>12</v>
      </c>
      <c r="E19" s="17">
        <f>'3_연간손익'!E27/100000</f>
        <v>100.05</v>
      </c>
      <c r="F19" s="17">
        <f>'3_연간손익'!F27/100000</f>
        <v>330</v>
      </c>
      <c r="G19" s="17">
        <f>'3_연간손익'!G27/100000</f>
        <v>700</v>
      </c>
      <c r="H19" s="17">
        <f>'3_연간손익'!H27/100000</f>
        <v>1560</v>
      </c>
    </row>
    <row r="20">
      <c r="A20" s="15" t="inlineStr">
        <is>
          <t>IR 대비 달성률</t>
        </is>
      </c>
      <c r="D20" s="16">
        <f>'3_연간손익'!D28</f>
        <v>1</v>
      </c>
      <c r="E20" s="16">
        <f>'3_연간손익'!E28</f>
        <v>0.999704147926037</v>
      </c>
      <c r="F20" s="16">
        <f>'3_연간손익'!F28</f>
        <v>1</v>
      </c>
      <c r="G20" s="16">
        <f>'3_연간손익'!G28</f>
        <v>1</v>
      </c>
      <c r="H20" s="16">
        <f>'3_연간손익'!H28</f>
        <v>1</v>
      </c>
    </row>
    <row r="21"/>
    <row r="22">
      <c r="A22" s="3" t="inlineStr">
        <is>
          <t>지역별 매출 (억원)</t>
        </is>
      </c>
    </row>
    <row r="23">
      <c r="A23" s="11" t="inlineStr">
        <is>
          <t>지역</t>
        </is>
      </c>
      <c r="C23" s="11" t="inlineStr"/>
      <c r="D23" s="11" t="n">
        <v>2026</v>
      </c>
      <c r="E23" s="11" t="n">
        <v>2027</v>
      </c>
      <c r="F23" s="11" t="n">
        <v>2028</v>
      </c>
      <c r="G23" s="11" t="n">
        <v>2029</v>
      </c>
      <c r="H23" s="11" t="n">
        <v>2030</v>
      </c>
    </row>
    <row r="24">
      <c r="A24" s="15" t="inlineStr">
        <is>
          <t>한국</t>
        </is>
      </c>
      <c r="D24" s="17">
        <f>'3_연간손익'!D41/100000</f>
        <v>0.456349206349206</v>
      </c>
      <c r="E24" s="17">
        <f>'3_연간손익'!E41/100000</f>
        <v>49.862</v>
      </c>
      <c r="F24" s="17">
        <f>'3_연간손익'!F41/100000</f>
        <v>106.856166666667</v>
      </c>
      <c r="G24" s="17">
        <f>'3_연간손익'!G41/100000</f>
        <v>165.255483333333</v>
      </c>
      <c r="H24" s="17">
        <f>'3_연간손익'!H41/100000</f>
        <v>233.401558333333</v>
      </c>
    </row>
    <row r="25">
      <c r="A25" s="15" t="inlineStr">
        <is>
          <t>일본</t>
        </is>
      </c>
      <c r="D25" s="17">
        <f>'3_연간손익'!D42/100000</f>
        <v>8.32</v>
      </c>
      <c r="E25" s="17">
        <f>'3_연간손익'!E42/100000</f>
        <v>36</v>
      </c>
      <c r="F25" s="17">
        <f>'3_연간손익'!F42/100000</f>
        <v>113.426666666667</v>
      </c>
      <c r="G25" s="17">
        <f>'3_연간손익'!G42/100000</f>
        <v>226.525333333333</v>
      </c>
      <c r="H25" s="17">
        <f>'3_연간손익'!H42/100000</f>
        <v>490.928</v>
      </c>
    </row>
    <row r="26">
      <c r="A26" s="15" t="inlineStr">
        <is>
          <t>동남아·APAC</t>
        </is>
      </c>
      <c r="D26" s="17">
        <f>'3_연간손익'!D43/100000</f>
        <v>2.16023389830509</v>
      </c>
      <c r="E26" s="17">
        <f>'3_연간손익'!E43/100000</f>
        <v>12.1584</v>
      </c>
      <c r="F26" s="17">
        <f>'3_연간손익'!F43/100000</f>
        <v>41.4039982452642</v>
      </c>
      <c r="G26" s="17">
        <f>'3_연간손익'!G43/100000</f>
        <v>91.3266403668993</v>
      </c>
      <c r="H26" s="17">
        <f>'3_연간손익'!H43/100000</f>
        <v>215.747752288734</v>
      </c>
    </row>
    <row r="27">
      <c r="A27" s="15" t="inlineStr">
        <is>
          <t>유럽</t>
        </is>
      </c>
      <c r="D27" s="17">
        <f>'3_연간손익'!D44/100000</f>
        <v>0</v>
      </c>
      <c r="E27" s="17">
        <f>'3_연간손익'!E44/100000</f>
        <v>2</v>
      </c>
      <c r="F27" s="17">
        <f>'3_연간손익'!F44/100000</f>
        <v>17.6470588235294</v>
      </c>
      <c r="G27" s="17">
        <f>'3_연간손익'!G44/100000</f>
        <v>43.164705882353</v>
      </c>
      <c r="H27" s="17">
        <f>'3_연간손익'!H44/100000</f>
        <v>126.263529411765</v>
      </c>
    </row>
    <row r="28">
      <c r="A28" s="15" t="inlineStr">
        <is>
          <t>미국</t>
        </is>
      </c>
      <c r="D28" s="17">
        <f>'3_연간손익'!D45/100000</f>
        <v>0</v>
      </c>
      <c r="E28" s="17">
        <f>'3_연간손익'!E45/100000</f>
        <v>0</v>
      </c>
      <c r="F28" s="17">
        <f>'3_연간손익'!F45/100000</f>
        <v>10</v>
      </c>
      <c r="G28" s="17">
        <f>'3_연간손익'!G45/100000</f>
        <v>75</v>
      </c>
      <c r="H28" s="17">
        <f>'3_연간손익'!H45/100000</f>
        <v>300</v>
      </c>
    </row>
    <row r="29">
      <c r="A29" s="15" t="inlineStr">
        <is>
          <t>글로벌(삼성채널)</t>
        </is>
      </c>
      <c r="D29" s="17">
        <f>'3_연간손익'!D46/100000</f>
        <v>0</v>
      </c>
      <c r="E29" s="17">
        <f>'3_연간손익'!E46/100000</f>
        <v>0</v>
      </c>
      <c r="F29" s="17">
        <f>'3_연간손익'!F46/100000</f>
        <v>40.6661095978731</v>
      </c>
      <c r="G29" s="17">
        <f>'3_연간손익'!G46/100000</f>
        <v>98.7278370840811</v>
      </c>
      <c r="H29" s="17">
        <f>'3_연간손익'!H46/100000</f>
        <v>193.659159966168</v>
      </c>
    </row>
    <row r="30">
      <c r="A30" s="15" t="inlineStr">
        <is>
          <t>기존 소액·기타</t>
        </is>
      </c>
      <c r="D30" s="17">
        <f>'3_연간손익'!D47/100000</f>
        <v>1.06341689534571</v>
      </c>
      <c r="E30" s="17">
        <f>'3_연간손익'!E47/100000</f>
        <v>0</v>
      </c>
      <c r="F30" s="17">
        <f>'3_연간손익'!F47/100000</f>
        <v>0</v>
      </c>
      <c r="G30" s="17">
        <f>'3_연간손익'!G47/100000</f>
        <v>0</v>
      </c>
      <c r="H30" s="17">
        <f>'3_연간손익'!H47/100000</f>
        <v>0</v>
      </c>
    </row>
    <row r="31">
      <c r="A31" s="12" t="inlineStr">
        <is>
          <t>합계</t>
        </is>
      </c>
      <c r="D31" s="19">
        <f>SUM(D24:D30)</f>
        <v>12</v>
      </c>
      <c r="E31" s="19">
        <f>SUM(E24:E30)</f>
        <v>100.0204</v>
      </c>
      <c r="F31" s="19">
        <f>SUM(F24:F30)</f>
        <v>330</v>
      </c>
      <c r="G31" s="19">
        <f>SUM(G24:G30)</f>
        <v>700</v>
      </c>
      <c r="H31" s="19">
        <f>SUM(H24:H30)</f>
        <v>1560</v>
      </c>
    </row>
    <row r="32"/>
    <row r="33">
      <c r="A33" s="3" t="inlineStr">
        <is>
          <t>근거수준별 매출 비중 — 얼마나 "확정"에 기대고 있는가</t>
        </is>
      </c>
    </row>
    <row r="34">
      <c r="A34" s="11" t="inlineStr">
        <is>
          <t>근거수준</t>
        </is>
      </c>
      <c r="C34" s="11" t="inlineStr"/>
      <c r="D34" s="11" t="n">
        <v>2026</v>
      </c>
      <c r="E34" s="11" t="n">
        <v>2027</v>
      </c>
      <c r="F34" s="11" t="n">
        <v>2028</v>
      </c>
      <c r="G34" s="11" t="n">
        <v>2029</v>
      </c>
      <c r="H34" s="11" t="n">
        <v>2030</v>
      </c>
    </row>
    <row r="35">
      <c r="A35" s="15" t="inlineStr">
        <is>
          <t>A 계약·기존 거래</t>
        </is>
      </c>
      <c r="D35" s="16">
        <f>'3_연간손익'!D63</f>
        <v>0.976851851851852</v>
      </c>
      <c r="E35" s="16">
        <f>'3_연간손익'!E63</f>
        <v>0.523477210649028</v>
      </c>
      <c r="F35" s="16">
        <f>'3_연간손익'!F63</f>
        <v>0.322043013102108</v>
      </c>
      <c r="G35" s="16">
        <f>'3_연간손익'!G63</f>
        <v>0.233217609487727</v>
      </c>
      <c r="H35" s="16">
        <f>'3_연간손익'!H63</f>
        <v>0.149213280124754</v>
      </c>
    </row>
    <row r="36">
      <c r="A36" s="15" t="inlineStr">
        <is>
          <t>B 등록·입찰·협의 단계</t>
        </is>
      </c>
      <c r="D36" s="16">
        <f>'3_연간손익'!D64</f>
        <v>0.0231481481481482</v>
      </c>
      <c r="E36" s="16">
        <f>'3_연간손익'!E64</f>
        <v>0.476522789350972</v>
      </c>
      <c r="F36" s="16">
        <f>'3_연간손익'!F64</f>
        <v>0.327453624480095</v>
      </c>
      <c r="G36" s="16">
        <f>'3_연간손익'!G64</f>
        <v>0.264314051820728</v>
      </c>
      <c r="H36" s="16">
        <f>'3_연간손익'!H64</f>
        <v>0.181774437845651</v>
      </c>
    </row>
    <row r="37">
      <c r="A37" s="15" t="inlineStr">
        <is>
          <t>C 신규 파이프라인(미확정)</t>
        </is>
      </c>
      <c r="D37" s="16">
        <f>'3_연간손익'!D65</f>
        <v>0</v>
      </c>
      <c r="E37" s="16">
        <f>'3_연간손익'!E65</f>
        <v>0</v>
      </c>
      <c r="F37" s="16">
        <f>'3_연간손익'!F65</f>
        <v>0.350503362417797</v>
      </c>
      <c r="G37" s="16">
        <f>'3_연간손익'!G65</f>
        <v>0.502468338691544</v>
      </c>
      <c r="H37" s="16">
        <f>'3_연간손익'!H65</f>
        <v>0.669012282029595</v>
      </c>
    </row>
    <row r="38"/>
    <row r="39">
      <c r="A39" s="3" t="inlineStr">
        <is>
          <t>제품별 매출 (억원)</t>
        </is>
      </c>
    </row>
    <row r="40">
      <c r="A40" s="11" t="inlineStr">
        <is>
          <t>제품</t>
        </is>
      </c>
      <c r="C40" s="11" t="inlineStr"/>
      <c r="D40" s="11" t="n">
        <v>2026</v>
      </c>
      <c r="E40" s="11" t="n">
        <v>2027</v>
      </c>
      <c r="F40" s="11" t="n">
        <v>2028</v>
      </c>
      <c r="G40" s="11" t="n">
        <v>2029</v>
      </c>
      <c r="H40" s="11" t="n">
        <v>2030</v>
      </c>
    </row>
    <row r="41">
      <c r="A41" s="15" t="inlineStr">
        <is>
          <t>스마트 기저귀(전용 기저귀·패드, 소모품)</t>
        </is>
      </c>
      <c r="D41" s="17">
        <f>'3_연간손익'!D32/100000</f>
        <v>7.25943389830508</v>
      </c>
      <c r="E41" s="17">
        <f>'3_연간손익'!E32/100000</f>
        <v>70.820912</v>
      </c>
      <c r="F41" s="17">
        <f>'3_연간손익'!F32/100000</f>
        <v>224.646060717049</v>
      </c>
      <c r="G41" s="17">
        <f>'3_연간손익'!G32/100000</f>
        <v>444.054780379329</v>
      </c>
      <c r="H41" s="17">
        <f>'3_연간손익'!H32/100000</f>
        <v>918.810519461216</v>
      </c>
    </row>
    <row r="42">
      <c r="A42" s="15" t="inlineStr">
        <is>
          <t>센서·BLE 게이트웨이(하드웨어)</t>
        </is>
      </c>
      <c r="D42" s="17">
        <f>'3_연간손익'!D33/100000</f>
        <v>2.95707344632768</v>
      </c>
      <c r="E42" s="17">
        <f>'3_연간손익'!E33/100000</f>
        <v>14.754632</v>
      </c>
      <c r="F42" s="17">
        <f>'3_연간손익'!F33/100000</f>
        <v>40.7828236210037</v>
      </c>
      <c r="G42" s="17">
        <f>'3_연간손익'!G33/100000</f>
        <v>83.7530434807511</v>
      </c>
      <c r="H42" s="17">
        <f>'3_연간손익'!H33/100000</f>
        <v>178.233898230025</v>
      </c>
    </row>
    <row r="43">
      <c r="A43" s="15" t="inlineStr">
        <is>
          <t>앱·웹 모니터링 구독(SW·AI)</t>
        </is>
      </c>
      <c r="D43" s="17">
        <f>'3_연간손익'!D34/100000</f>
        <v>1.18349265536723</v>
      </c>
      <c r="E43" s="17">
        <f>'3_연간손익'!E34/100000</f>
        <v>10.577244</v>
      </c>
      <c r="F43" s="17">
        <f>'3_연간손익'!F34/100000</f>
        <v>38.3430471252908</v>
      </c>
      <c r="G43" s="17">
        <f>'3_연간손익'!G34/100000</f>
        <v>82.0825883283483</v>
      </c>
      <c r="H43" s="17">
        <f>'3_연간손익'!H34/100000</f>
        <v>184.26984066999</v>
      </c>
    </row>
    <row r="44">
      <c r="A44" s="15" t="inlineStr">
        <is>
          <t>바이탈 모니터링 센서(60GHz, 2026 Q4 출시)</t>
        </is>
      </c>
      <c r="D44" s="17">
        <f>'3_연간손익'!D35/100000</f>
        <v>0</v>
      </c>
      <c r="E44" s="17">
        <f>'3_연간손익'!E35/100000</f>
        <v>2.397612</v>
      </c>
      <c r="F44" s="17">
        <f>'3_연간손익'!F35/100000</f>
        <v>18.0545126997009</v>
      </c>
      <c r="G44" s="17">
        <f>'3_연간손익'!G35/100000</f>
        <v>59.2712676010103</v>
      </c>
      <c r="H44" s="17">
        <f>'3_연간손익'!H35/100000</f>
        <v>175.145197535902</v>
      </c>
    </row>
    <row r="45">
      <c r="A45" s="15" t="inlineStr">
        <is>
          <t>스마트 욕창 케어(2027 Q4 출시)</t>
        </is>
      </c>
      <c r="D45" s="17">
        <f>'3_연간손익'!D36/100000</f>
        <v>0</v>
      </c>
      <c r="E45" s="17">
        <f>'3_연간손익'!E36/100000</f>
        <v>0</v>
      </c>
      <c r="F45" s="17">
        <f>'3_연간손익'!F36/100000</f>
        <v>4.22823364499834</v>
      </c>
      <c r="G45" s="17">
        <f>'3_연간손익'!G36/100000</f>
        <v>23.19896346888</v>
      </c>
      <c r="H45" s="17">
        <f>'3_연간손익'!H36/100000</f>
        <v>81.820640903544</v>
      </c>
    </row>
    <row r="46">
      <c r="A46" s="15" t="inlineStr">
        <is>
          <t>R&amp;D·PoC 용역</t>
        </is>
      </c>
      <c r="D46" s="17">
        <f>'3_연간손익'!D37/100000</f>
        <v>0.6</v>
      </c>
      <c r="E46" s="17">
        <f>'3_연간손익'!E37/100000</f>
        <v>1.47</v>
      </c>
      <c r="F46" s="17">
        <f>'3_연간손익'!F37/100000</f>
        <v>3.94532219195746</v>
      </c>
      <c r="G46" s="17">
        <f>'3_연간손익'!G37/100000</f>
        <v>7.63935674168162</v>
      </c>
      <c r="H46" s="17">
        <f>'3_연간손익'!H37/100000</f>
        <v>21.7199031993234</v>
      </c>
    </row>
    <row r="47"/>
    <row r="48"/>
    <row r="49">
      <c r="A49" s="3" t="inlineStr">
        <is>
          <t>읽는 법 · 핵심 전제</t>
        </is>
      </c>
    </row>
    <row r="50">
      <c r="A50" s="20" t="inlineStr">
        <is>
          <t>• 헤드라인(S1)은 IR 자료의 2026~2030 매출 전망(12억·100억·330억·700억·1,560억)과 수식으로 일치하며, 거래처·제품·지역으로 분해되어 있습니다.</t>
        </is>
      </c>
    </row>
    <row r="51">
      <c r="A51" s="20" t="inlineStr">
        <is>
          <t>• 2026~2027은 월별(2_손익계산서), 2028~2030은 연간입니다. 2026-01~09는 회계 확정 전 추정치이므로 실적 확정 시 교체가 필요합니다.</t>
        </is>
      </c>
    </row>
    <row r="52">
      <c r="A52" s="20" t="inlineStr">
        <is>
          <t>• 2027 거래처 합계는 IR p.25 표(Sunway PoC 제외)와 일치합니다. 2028~30은 지정 거래처 성장 + 신규 파이프라인(미확정) + 삼성 글로벌 채널(잔차)로 구성되며 위 근거수준 표에서 비중을 공개합니다.</t>
        </is>
      </c>
    </row>
    <row r="53">
      <c r="A53" s="20" t="inlineStr">
        <is>
          <t>• S2(기준)·S3(보수)는 계약 단계별 확률·지연·성장 배수·신규 달성률을 적용한 투자사 관점 위험 조정안입니다(9_시나리오 비교).</t>
        </is>
      </c>
    </row>
    <row r="54">
      <c r="A54" s="20" t="inlineStr">
        <is>
          <t>• 파란색 = 입력값, 검정 = 수식(산출 시트), 초록 = 계산 시트 간 연동, 노란 배경 = 핵심 가정. 제출 전 "★제출전_확인사항" 시트의 항목을 반영하고 해당 시트는 삭제하세요.</t>
        </is>
      </c>
    </row>
  </sheetData>
  <mergeCells count="1">
    <mergeCell ref="C4:E4"/>
  </mergeCells>
  <dataValidations count="1">
    <dataValidation sqref="C4" showDropDown="0" showInputMessage="0" showErrorMessage="1" allowBlank="0" errorTitle="시나리오 선택" error="목록에서 선택하세요." type="list" errorStyle="stop">
      <formula1>"S1 경영계획(IR 정합),S2 기준(확률가중),S3 보수"</formula1>
    </dataValidation>
  </dataValidations>
  <hyperlinks>
    <hyperlink xmlns:r="http://schemas.openxmlformats.org/officeDocument/2006/relationships" ref="C6" r:id="rId1"/>
    <hyperlink xmlns:r="http://schemas.openxmlformats.org/officeDocument/2006/relationships" ref="E6" r:id="rId2"/>
    <hyperlink xmlns:r="http://schemas.openxmlformats.org/officeDocument/2006/relationships" ref="G6" r:id="rId3"/>
    <hyperlink xmlns:r="http://schemas.openxmlformats.org/officeDocument/2006/relationships" ref="I6" r:id="rId4"/>
  </hyperlinks>
  <pageMargins left="0.75" right="0.75" top="1" bottom="1" header="0.5" footer="0.5"/>
  <pageSetup orientation="landscape" fitToHeight="0" fitToWidth="1"/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AF66"/>
  <sheetViews>
    <sheetView zoomScale="85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2" customWidth="1" min="2" max="2"/>
    <col outlineLevel="1" width="10.5" customWidth="1" min="3" max="14"/>
    <col width="10.5" customWidth="1" min="15" max="15"/>
    <col outlineLevel="1" width="10.5" customWidth="1" min="16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</cols>
  <sheetData>
    <row r="1">
      <c r="A1" s="1" t="inlineStr">
        <is>
          <t>(주)모닛 5개년 사업계획 — 손익계산서 (2026~2030)</t>
        </is>
      </c>
    </row>
    <row r="2">
      <c r="A2" s="2" t="str">
        <f>"단위: 천원  |  시나리오: "&amp;'1_요약'!$C$4&amp;"  |  2026-01~09는 회계 확정 전 추정(실적 확정 시 교체), 2026-10부터 계획"</f>
        <v>단위: 천원  |  시나리오: S1 경영계획(IR 정합)  |  2026-01~09는 회계 확정 전 추정(실적 확정 시 교체), 2026-10부터 계획</v>
      </c>
    </row>
    <row r="3"/>
    <row r="4"/>
    <row r="5">
      <c r="A5" s="21" t="inlineStr">
        <is>
          <t>계정과목</t>
        </is>
      </c>
      <c r="B5" s="21" t="inlineStr">
        <is>
          <t>비고</t>
        </is>
      </c>
      <c r="C5" s="11" t="inlineStr">
        <is>
          <t>2026-01</t>
        </is>
      </c>
      <c r="D5" s="11" t="inlineStr">
        <is>
          <t>2026-02</t>
        </is>
      </c>
      <c r="E5" s="11" t="inlineStr">
        <is>
          <t>2026-03</t>
        </is>
      </c>
      <c r="F5" s="11" t="inlineStr">
        <is>
          <t>2026-04</t>
        </is>
      </c>
      <c r="G5" s="11" t="inlineStr">
        <is>
          <t>2026-05</t>
        </is>
      </c>
      <c r="H5" s="11" t="inlineStr">
        <is>
          <t>2026-06</t>
        </is>
      </c>
      <c r="I5" s="11" t="inlineStr">
        <is>
          <t>2026-07</t>
        </is>
      </c>
      <c r="J5" s="11" t="inlineStr">
        <is>
          <t>2026-08</t>
        </is>
      </c>
      <c r="K5" s="11" t="inlineStr">
        <is>
          <t>2026-09</t>
        </is>
      </c>
      <c r="L5" s="11" t="inlineStr">
        <is>
          <t>2026-10</t>
        </is>
      </c>
      <c r="M5" s="11" t="inlineStr">
        <is>
          <t>2026-11</t>
        </is>
      </c>
      <c r="N5" s="11" t="inlineStr">
        <is>
          <t>2026-12</t>
        </is>
      </c>
      <c r="O5" s="11" t="inlineStr">
        <is>
          <t>FY2026</t>
        </is>
      </c>
      <c r="P5" s="11" t="inlineStr">
        <is>
          <t>2027-01</t>
        </is>
      </c>
      <c r="Q5" s="11" t="inlineStr">
        <is>
          <t>2027-02</t>
        </is>
      </c>
      <c r="R5" s="11" t="inlineStr">
        <is>
          <t>2027-03</t>
        </is>
      </c>
      <c r="S5" s="11" t="inlineStr">
        <is>
          <t>2027-04</t>
        </is>
      </c>
      <c r="T5" s="11" t="inlineStr">
        <is>
          <t>2027-05</t>
        </is>
      </c>
      <c r="U5" s="11" t="inlineStr">
        <is>
          <t>2027-06</t>
        </is>
      </c>
      <c r="V5" s="11" t="inlineStr">
        <is>
          <t>2027-07</t>
        </is>
      </c>
      <c r="W5" s="11" t="inlineStr">
        <is>
          <t>2027-08</t>
        </is>
      </c>
      <c r="X5" s="11" t="inlineStr">
        <is>
          <t>2027-09</t>
        </is>
      </c>
      <c r="Y5" s="11" t="inlineStr">
        <is>
          <t>2027-10</t>
        </is>
      </c>
      <c r="Z5" s="11" t="inlineStr">
        <is>
          <t>2027-11</t>
        </is>
      </c>
      <c r="AA5" s="11" t="inlineStr">
        <is>
          <t>2027-12</t>
        </is>
      </c>
      <c r="AB5" s="11" t="inlineStr">
        <is>
          <t>FY2027</t>
        </is>
      </c>
      <c r="AC5" s="11" t="inlineStr">
        <is>
          <t>2028E</t>
        </is>
      </c>
      <c r="AD5" s="11" t="inlineStr">
        <is>
          <t>2029E</t>
        </is>
      </c>
      <c r="AE5" s="11" t="inlineStr">
        <is>
          <t>2030E</t>
        </is>
      </c>
      <c r="AF5" s="11" t="inlineStr">
        <is>
          <t>5개년 합계</t>
        </is>
      </c>
    </row>
    <row r="6">
      <c r="A6" s="22" t="inlineStr"/>
      <c r="B6" s="22" t="inlineStr"/>
      <c r="C6" s="22" t="inlineStr">
        <is>
          <t>추정</t>
        </is>
      </c>
      <c r="D6" s="22" t="inlineStr">
        <is>
          <t>추정</t>
        </is>
      </c>
      <c r="E6" s="22" t="inlineStr">
        <is>
          <t>추정</t>
        </is>
      </c>
      <c r="F6" s="22" t="inlineStr">
        <is>
          <t>추정</t>
        </is>
      </c>
      <c r="G6" s="22" t="inlineStr">
        <is>
          <t>추정</t>
        </is>
      </c>
      <c r="H6" s="22" t="inlineStr">
        <is>
          <t>추정</t>
        </is>
      </c>
      <c r="I6" s="22" t="inlineStr">
        <is>
          <t>추정</t>
        </is>
      </c>
      <c r="J6" s="22" t="inlineStr">
        <is>
          <t>추정</t>
        </is>
      </c>
      <c r="K6" s="22" t="inlineStr">
        <is>
          <t>추정</t>
        </is>
      </c>
      <c r="L6" s="22" t="inlineStr">
        <is>
          <t>계획</t>
        </is>
      </c>
      <c r="M6" s="22" t="inlineStr">
        <is>
          <t>계획</t>
        </is>
      </c>
      <c r="N6" s="22" t="inlineStr">
        <is>
          <t>계획</t>
        </is>
      </c>
      <c r="O6" s="22" t="inlineStr">
        <is>
          <t>FY합계</t>
        </is>
      </c>
      <c r="P6" s="22" t="inlineStr">
        <is>
          <t>계획</t>
        </is>
      </c>
      <c r="Q6" s="22" t="inlineStr">
        <is>
          <t>계획</t>
        </is>
      </c>
      <c r="R6" s="22" t="inlineStr">
        <is>
          <t>계획</t>
        </is>
      </c>
      <c r="S6" s="22" t="inlineStr">
        <is>
          <t>계획</t>
        </is>
      </c>
      <c r="T6" s="22" t="inlineStr">
        <is>
          <t>계획</t>
        </is>
      </c>
      <c r="U6" s="22" t="inlineStr">
        <is>
          <t>계획</t>
        </is>
      </c>
      <c r="V6" s="22" t="inlineStr">
        <is>
          <t>계획</t>
        </is>
      </c>
      <c r="W6" s="22" t="inlineStr">
        <is>
          <t>계획</t>
        </is>
      </c>
      <c r="X6" s="22" t="inlineStr">
        <is>
          <t>계획</t>
        </is>
      </c>
      <c r="Y6" s="22" t="inlineStr">
        <is>
          <t>계획</t>
        </is>
      </c>
      <c r="Z6" s="22" t="inlineStr">
        <is>
          <t>계획</t>
        </is>
      </c>
      <c r="AA6" s="22" t="inlineStr">
        <is>
          <t>계획</t>
        </is>
      </c>
      <c r="AB6" s="22" t="inlineStr">
        <is>
          <t>FY합계</t>
        </is>
      </c>
      <c r="AC6" s="22" t="inlineStr">
        <is>
          <t>계획(연)</t>
        </is>
      </c>
      <c r="AD6" s="22" t="inlineStr">
        <is>
          <t>계획(연)</t>
        </is>
      </c>
      <c r="AE6" s="22" t="inlineStr">
        <is>
          <t>계획(연)</t>
        </is>
      </c>
      <c r="AF6" s="22" t="inlineStr">
        <is>
          <t>합계</t>
        </is>
      </c>
    </row>
    <row r="7">
      <c r="A7" s="3" t="inlineStr">
        <is>
          <t>Ⅰ. 매출액</t>
        </is>
      </c>
    </row>
    <row r="8">
      <c r="A8" s="15" t="inlineStr">
        <is>
          <t xml:space="preserve">  스마트 기저귀(전용 기저귀·패드, 소모품)</t>
        </is>
      </c>
      <c r="C8" s="18">
        <f>'5_매출_제품지역'!C9</f>
        <v>43411.4045377096</v>
      </c>
      <c r="D8" s="18">
        <f>'5_매출_제품지역'!D9</f>
        <v>44462.2519953367</v>
      </c>
      <c r="E8" s="18">
        <f>'5_매출_제품지역'!E9</f>
        <v>45513.0994529639</v>
      </c>
      <c r="F8" s="18">
        <f>'5_매출_제품지역'!F9</f>
        <v>46563.946910591</v>
      </c>
      <c r="G8" s="18">
        <f>'5_매출_제품지역'!G9</f>
        <v>47614.7943682181</v>
      </c>
      <c r="H8" s="18">
        <f>'5_매출_제품지역'!H9</f>
        <v>48665.6418258452</v>
      </c>
      <c r="I8" s="18">
        <f>'5_매출_제품지역'!I9</f>
        <v>54125.3781723612</v>
      </c>
      <c r="J8" s="18">
        <f>'5_매출_제품지역'!J9</f>
        <v>59585.1145188772</v>
      </c>
      <c r="K8" s="18">
        <f>'5_매출_제품지역'!K9</f>
        <v>65044.8508653932</v>
      </c>
      <c r="L8" s="18">
        <f>'5_매출_제품지역'!L9</f>
        <v>72124.9575822796</v>
      </c>
      <c r="M8" s="18">
        <f>'5_매출_제품지역'!M9</f>
        <v>85557.064299166</v>
      </c>
      <c r="N8" s="18">
        <f>'5_매출_제품지역'!N9</f>
        <v>113274.885301767</v>
      </c>
      <c r="O8" s="23">
        <f>SUM(C8:N8)</f>
        <v>725943.389830508</v>
      </c>
      <c r="P8" s="18">
        <f>'5_매출_제품지역'!O9</f>
        <v>187701.963509999</v>
      </c>
      <c r="Q8" s="18">
        <f>'5_매출_제품지역'!P9</f>
        <v>271090.226622777</v>
      </c>
      <c r="R8" s="18">
        <f>'5_매출_제품지역'!Q9</f>
        <v>354478.489735555</v>
      </c>
      <c r="S8" s="18">
        <f>'5_매출_제품지역'!R9</f>
        <v>436815.905390706</v>
      </c>
      <c r="T8" s="18">
        <f>'5_매출_제품지역'!S9</f>
        <v>519153.321045857</v>
      </c>
      <c r="U8" s="18">
        <f>'5_매출_제품지역'!T9</f>
        <v>601490.736701008</v>
      </c>
      <c r="V8" s="18">
        <f>'5_매출_제품지역'!U9</f>
        <v>679419.26346727</v>
      </c>
      <c r="W8" s="18">
        <f>'5_매출_제품지역'!V9</f>
        <v>749957.594155101</v>
      </c>
      <c r="X8" s="18">
        <f>'5_매출_제품지역'!W9</f>
        <v>820495.924842931</v>
      </c>
      <c r="Y8" s="18">
        <f>'5_매출_제품지역'!X9</f>
        <v>820495.924842931</v>
      </c>
      <c r="Z8" s="18">
        <f>'5_매출_제품지역'!Y9</f>
        <v>820495.924842931</v>
      </c>
      <c r="AA8" s="18">
        <f>'5_매출_제품지역'!Z9</f>
        <v>820495.924842931</v>
      </c>
      <c r="AB8" s="23">
        <f>SUM(P8:AA8)</f>
        <v>7082091.2</v>
      </c>
      <c r="AC8" s="24">
        <f>'5_매출_제품지역'!AC9</f>
        <v>22464606.0717049</v>
      </c>
      <c r="AD8" s="24">
        <f>'5_매출_제품지역'!AD9</f>
        <v>44405478.0379329</v>
      </c>
      <c r="AE8" s="24">
        <f>'5_매출_제품지역'!AE9</f>
        <v>91881051.9461216</v>
      </c>
      <c r="AF8" s="25">
        <f>O8+AB8+AC8+AD8+AE8</f>
        <v>166559170.64559</v>
      </c>
    </row>
    <row r="9">
      <c r="A9" s="15" t="inlineStr">
        <is>
          <t xml:space="preserve">  센서·BLE 게이트웨이(하드웨어)</t>
        </is>
      </c>
      <c r="C9" s="18">
        <f>'5_매출_제품지역'!C10</f>
        <v>17112.4097569725</v>
      </c>
      <c r="D9" s="18">
        <f>'5_매출_제품지역'!D10</f>
        <v>17586.9860281589</v>
      </c>
      <c r="E9" s="18">
        <f>'5_매출_제품지역'!E10</f>
        <v>18061.5622993454</v>
      </c>
      <c r="F9" s="18">
        <f>'5_매출_제품지역'!F10</f>
        <v>18536.1385705318</v>
      </c>
      <c r="G9" s="18">
        <f>'5_매출_제품지역'!G10</f>
        <v>19010.7148417182</v>
      </c>
      <c r="H9" s="18">
        <f>'5_매출_제품지역'!H10</f>
        <v>19485.2911129047</v>
      </c>
      <c r="I9" s="18">
        <f>'5_매출_제품지역'!I10</f>
        <v>21950.9784952022</v>
      </c>
      <c r="J9" s="18">
        <f>'5_매출_제품지역'!J10</f>
        <v>24416.6658774998</v>
      </c>
      <c r="K9" s="18">
        <f>'5_매출_제품지역'!K10</f>
        <v>26882.3532597973</v>
      </c>
      <c r="L9" s="18">
        <f>'5_매출_제품지역'!L10</f>
        <v>31662.8554569097</v>
      </c>
      <c r="M9" s="18">
        <f>'5_매출_제품지역'!M10</f>
        <v>37078.5576540221</v>
      </c>
      <c r="N9" s="18">
        <f>'5_매출_제품지역'!N10</f>
        <v>43922.8312797059</v>
      </c>
      <c r="O9" s="23">
        <f>SUM(C9:N9)</f>
        <v>295707.344632768</v>
      </c>
      <c r="P9" s="18">
        <f>'5_매출_제품지역'!O10</f>
        <v>52607.704564613</v>
      </c>
      <c r="Q9" s="18">
        <f>'5_매출_제품지역'!P10</f>
        <v>65601.4681205062</v>
      </c>
      <c r="R9" s="18">
        <f>'5_매출_제품지역'!Q10</f>
        <v>78595.2316763994</v>
      </c>
      <c r="S9" s="18">
        <f>'5_매출_제품지역'!R10</f>
        <v>91148.3172661909</v>
      </c>
      <c r="T9" s="18">
        <f>'5_매출_제품지역'!S10</f>
        <v>103701.402855982</v>
      </c>
      <c r="U9" s="18">
        <f>'5_매출_제품지역'!T10</f>
        <v>158254.488445774</v>
      </c>
      <c r="V9" s="18">
        <f>'5_매출_제품지역'!U10</f>
        <v>168958.685146676</v>
      </c>
      <c r="W9" s="18">
        <f>'5_매출_제품지역'!V10</f>
        <v>177825.626945618</v>
      </c>
      <c r="X9" s="18">
        <f>'5_매출_제품지역'!W10</f>
        <v>144692.56874456</v>
      </c>
      <c r="Y9" s="18">
        <f>'5_매출_제품지역'!X10</f>
        <v>144692.56874456</v>
      </c>
      <c r="Z9" s="18">
        <f>'5_매출_제품지역'!Y10</f>
        <v>144692.56874456</v>
      </c>
      <c r="AA9" s="18">
        <f>'5_매출_제품지역'!Z10</f>
        <v>144692.56874456</v>
      </c>
      <c r="AB9" s="23">
        <f>SUM(P9:AA9)</f>
        <v>1475463.2</v>
      </c>
      <c r="AC9" s="24">
        <f>'5_매출_제품지역'!AC10</f>
        <v>4078282.36210037</v>
      </c>
      <c r="AD9" s="24">
        <f>'5_매출_제품지역'!AD10</f>
        <v>8375304.34807511</v>
      </c>
      <c r="AE9" s="24">
        <f>'5_매출_제품지역'!AE10</f>
        <v>17823389.8230025</v>
      </c>
      <c r="AF9" s="25">
        <f>O9+AB9+AC9+AD9+AE9</f>
        <v>32048147.0778108</v>
      </c>
    </row>
    <row r="10">
      <c r="A10" s="15" t="inlineStr">
        <is>
          <t xml:space="preserve">  앱·웹 모니터링 구독(SW·AI)</t>
        </is>
      </c>
      <c r="C10" s="18">
        <f>'5_매출_제품지역'!C11</f>
        <v>6921.79730965833</v>
      </c>
      <c r="D10" s="18">
        <f>'5_매출_제품지역'!D11</f>
        <v>7091.28883508206</v>
      </c>
      <c r="E10" s="18">
        <f>'5_매출_제품지역'!E11</f>
        <v>7260.78036050578</v>
      </c>
      <c r="F10" s="18">
        <f>'5_매출_제품지역'!F11</f>
        <v>7430.27188592951</v>
      </c>
      <c r="G10" s="18">
        <f>'5_매출_제품지역'!G11</f>
        <v>7599.76341135324</v>
      </c>
      <c r="H10" s="18">
        <f>'5_매출_제품지역'!H11</f>
        <v>7769.25493677697</v>
      </c>
      <c r="I10" s="18">
        <f>'5_매출_제품지역'!I11</f>
        <v>8649.85757331181</v>
      </c>
      <c r="J10" s="18">
        <f>'5_매출_제품지역'!J11</f>
        <v>9530.46020984665</v>
      </c>
      <c r="K10" s="18">
        <f>'5_매출_제품지역'!K11</f>
        <v>10411.0628463815</v>
      </c>
      <c r="L10" s="18">
        <f>'5_매출_제품지역'!L11</f>
        <v>11986.1099273608</v>
      </c>
      <c r="M10" s="18">
        <f>'5_매출_제품지역'!M11</f>
        <v>14513.9570083401</v>
      </c>
      <c r="N10" s="18">
        <f>'5_매출_제품지역'!N11</f>
        <v>19184.6612321765</v>
      </c>
      <c r="O10" s="23">
        <f>SUM(C10:N10)</f>
        <v>118349.265536723</v>
      </c>
      <c r="P10" s="18">
        <f>'5_매출_제품지역'!O11</f>
        <v>28388.5167204735</v>
      </c>
      <c r="Q10" s="18">
        <f>'5_매출_제품지역'!P11</f>
        <v>40295.176506987</v>
      </c>
      <c r="R10" s="18">
        <f>'5_매출_제품지역'!Q11</f>
        <v>52201.8362935005</v>
      </c>
      <c r="S10" s="18">
        <f>'5_매출_제품지역'!R11</f>
        <v>63955.9537071326</v>
      </c>
      <c r="T10" s="18">
        <f>'5_매출_제품지역'!S11</f>
        <v>75710.0711207647</v>
      </c>
      <c r="U10" s="18">
        <f>'5_매출_제품지역'!T11</f>
        <v>96464.1885343968</v>
      </c>
      <c r="V10" s="18">
        <f>'5_매출_제품지역'!U11</f>
        <v>107578.305948029</v>
      </c>
      <c r="W10" s="18">
        <f>'5_매출_제품지역'!V11</f>
        <v>117715.952773426</v>
      </c>
      <c r="X10" s="18">
        <f>'5_매출_제품지역'!W11</f>
        <v>118853.599598823</v>
      </c>
      <c r="Y10" s="18">
        <f>'5_매출_제품지역'!X11</f>
        <v>118853.599598823</v>
      </c>
      <c r="Z10" s="18">
        <f>'5_매출_제품지역'!Y11</f>
        <v>118853.599598823</v>
      </c>
      <c r="AA10" s="18">
        <f>'5_매출_제품지역'!Z11</f>
        <v>118853.599598823</v>
      </c>
      <c r="AB10" s="23">
        <f>SUM(P10:AA10)</f>
        <v>1057724.4</v>
      </c>
      <c r="AC10" s="24">
        <f>'5_매출_제품지역'!AC11</f>
        <v>3834304.71252908</v>
      </c>
      <c r="AD10" s="24">
        <f>'5_매출_제품지역'!AD11</f>
        <v>8208258.83283483</v>
      </c>
      <c r="AE10" s="24">
        <f>'5_매출_제품지역'!AE11</f>
        <v>18426984.066999</v>
      </c>
      <c r="AF10" s="25">
        <f>O10+AB10+AC10+AD10+AE10</f>
        <v>31645621.2778996</v>
      </c>
    </row>
    <row r="11">
      <c r="A11" s="15" t="inlineStr">
        <is>
          <t xml:space="preserve">  바이탈 모니터링 센서(60GHz, 2026 Q4 출시)</t>
        </is>
      </c>
      <c r="C11" s="18">
        <f>'5_매출_제품지역'!C12</f>
        <v>0</v>
      </c>
      <c r="D11" s="18">
        <f>'5_매출_제품지역'!D12</f>
        <v>0</v>
      </c>
      <c r="E11" s="18">
        <f>'5_매출_제품지역'!E12</f>
        <v>0</v>
      </c>
      <c r="F11" s="18">
        <f>'5_매출_제품지역'!F12</f>
        <v>0</v>
      </c>
      <c r="G11" s="18">
        <f>'5_매출_제품지역'!G12</f>
        <v>0</v>
      </c>
      <c r="H11" s="18">
        <f>'5_매출_제품지역'!H12</f>
        <v>0</v>
      </c>
      <c r="I11" s="18">
        <f>'5_매출_제품지역'!I12</f>
        <v>0</v>
      </c>
      <c r="J11" s="18">
        <f>'5_매출_제품지역'!J12</f>
        <v>0</v>
      </c>
      <c r="K11" s="18">
        <f>'5_매출_제품지역'!K12</f>
        <v>0</v>
      </c>
      <c r="L11" s="18">
        <f>'5_매출_제품지역'!L12</f>
        <v>0</v>
      </c>
      <c r="M11" s="18">
        <f>'5_매출_제품지역'!M12</f>
        <v>0</v>
      </c>
      <c r="N11" s="18">
        <f>'5_매출_제품지역'!N12</f>
        <v>0</v>
      </c>
      <c r="O11" s="23">
        <f>SUM(C11:N11)</f>
        <v>0</v>
      </c>
      <c r="P11" s="18">
        <f>'5_매출_제품지역'!O12</f>
        <v>7307.96218724778</v>
      </c>
      <c r="Q11" s="18">
        <f>'5_매출_제품지역'!P12</f>
        <v>9957.00922470683</v>
      </c>
      <c r="R11" s="18">
        <f>'5_매출_제품지역'!Q12</f>
        <v>12606.0562621659</v>
      </c>
      <c r="S11" s="18">
        <f>'5_매출_제품지역'!R12</f>
        <v>15204.2558419978</v>
      </c>
      <c r="T11" s="18">
        <f>'5_매출_제품지역'!S12</f>
        <v>17802.4554218298</v>
      </c>
      <c r="U11" s="18">
        <f>'5_매출_제품지역'!T12</f>
        <v>20400.6550016617</v>
      </c>
      <c r="V11" s="18">
        <f>'5_매출_제품지역'!U12</f>
        <v>22785.5212481603</v>
      </c>
      <c r="W11" s="18">
        <f>'5_매출_제품지역'!V12</f>
        <v>24982.1522005412</v>
      </c>
      <c r="X11" s="18">
        <f>'5_매출_제품지역'!W12</f>
        <v>27178.7831529222</v>
      </c>
      <c r="Y11" s="18">
        <f>'5_매출_제품지역'!X12</f>
        <v>27178.7831529222</v>
      </c>
      <c r="Z11" s="18">
        <f>'5_매출_제품지역'!Y12</f>
        <v>27178.7831529222</v>
      </c>
      <c r="AA11" s="18">
        <f>'5_매출_제품지역'!Z12</f>
        <v>27178.7831529222</v>
      </c>
      <c r="AB11" s="23">
        <f>SUM(P11:AA11)</f>
        <v>239761.2</v>
      </c>
      <c r="AC11" s="24">
        <f>'5_매출_제품지역'!AC12</f>
        <v>1805451.26997009</v>
      </c>
      <c r="AD11" s="24">
        <f>'5_매출_제품지역'!AD12</f>
        <v>5927126.76010103</v>
      </c>
      <c r="AE11" s="24">
        <f>'5_매출_제품지역'!AE12</f>
        <v>17514519.7535902</v>
      </c>
      <c r="AF11" s="25">
        <f>O11+AB11+AC11+AD11+AE11</f>
        <v>25486858.9836613</v>
      </c>
    </row>
    <row r="12">
      <c r="A12" s="15" t="inlineStr">
        <is>
          <t xml:space="preserve">  스마트 욕창 케어(2027 Q4 출시)</t>
        </is>
      </c>
      <c r="C12" s="18">
        <f>'5_매출_제품지역'!C13</f>
        <v>0</v>
      </c>
      <c r="D12" s="18">
        <f>'5_매출_제품지역'!D13</f>
        <v>0</v>
      </c>
      <c r="E12" s="18">
        <f>'5_매출_제품지역'!E13</f>
        <v>0</v>
      </c>
      <c r="F12" s="18">
        <f>'5_매출_제품지역'!F13</f>
        <v>0</v>
      </c>
      <c r="G12" s="18">
        <f>'5_매출_제품지역'!G13</f>
        <v>0</v>
      </c>
      <c r="H12" s="18">
        <f>'5_매출_제품지역'!H13</f>
        <v>0</v>
      </c>
      <c r="I12" s="18">
        <f>'5_매출_제품지역'!I13</f>
        <v>0</v>
      </c>
      <c r="J12" s="18">
        <f>'5_매출_제품지역'!J13</f>
        <v>0</v>
      </c>
      <c r="K12" s="18">
        <f>'5_매출_제품지역'!K13</f>
        <v>0</v>
      </c>
      <c r="L12" s="18">
        <f>'5_매출_제품지역'!L13</f>
        <v>0</v>
      </c>
      <c r="M12" s="18">
        <f>'5_매출_제품지역'!M13</f>
        <v>0</v>
      </c>
      <c r="N12" s="18">
        <f>'5_매출_제품지역'!N13</f>
        <v>0</v>
      </c>
      <c r="O12" s="23">
        <f>SUM(C12:N12)</f>
        <v>0</v>
      </c>
      <c r="P12" s="18">
        <f>'5_매출_제품지역'!O13</f>
        <v>0</v>
      </c>
      <c r="Q12" s="18">
        <f>'5_매출_제품지역'!P13</f>
        <v>0</v>
      </c>
      <c r="R12" s="18">
        <f>'5_매출_제품지역'!Q13</f>
        <v>0</v>
      </c>
      <c r="S12" s="18">
        <f>'5_매출_제품지역'!R13</f>
        <v>0</v>
      </c>
      <c r="T12" s="18">
        <f>'5_매출_제품지역'!S13</f>
        <v>0</v>
      </c>
      <c r="U12" s="18">
        <f>'5_매출_제품지역'!T13</f>
        <v>0</v>
      </c>
      <c r="V12" s="18">
        <f>'5_매출_제품지역'!U13</f>
        <v>0</v>
      </c>
      <c r="W12" s="18">
        <f>'5_매출_제품지역'!V13</f>
        <v>0</v>
      </c>
      <c r="X12" s="18">
        <f>'5_매출_제품지역'!W13</f>
        <v>0</v>
      </c>
      <c r="Y12" s="18">
        <f>'5_매출_제품지역'!X13</f>
        <v>0</v>
      </c>
      <c r="Z12" s="18">
        <f>'5_매출_제품지역'!Y13</f>
        <v>0</v>
      </c>
      <c r="AA12" s="18">
        <f>'5_매출_제품지역'!Z13</f>
        <v>0</v>
      </c>
      <c r="AB12" s="23">
        <f>SUM(P12:AA12)</f>
        <v>0</v>
      </c>
      <c r="AC12" s="24">
        <f>'5_매출_제품지역'!AC13</f>
        <v>422823.364499834</v>
      </c>
      <c r="AD12" s="24">
        <f>'5_매출_제품지역'!AD13</f>
        <v>2319896.346888</v>
      </c>
      <c r="AE12" s="24">
        <f>'5_매출_제품지역'!AE13</f>
        <v>8182064.0903544</v>
      </c>
      <c r="AF12" s="25">
        <f>O12+AB12+AC12+AD12+AE12</f>
        <v>10924783.8017422</v>
      </c>
    </row>
    <row r="13">
      <c r="A13" s="15" t="inlineStr">
        <is>
          <t xml:space="preserve">  R&amp;D·PoC 용역</t>
        </is>
      </c>
      <c r="C13" s="18">
        <f>'5_매출_제품지역'!C14</f>
        <v>0</v>
      </c>
      <c r="D13" s="18">
        <f>'5_매출_제품지역'!D14</f>
        <v>0</v>
      </c>
      <c r="E13" s="18">
        <f>'5_매출_제품지역'!E14</f>
        <v>0</v>
      </c>
      <c r="F13" s="18">
        <f>'5_매출_제품지역'!F14</f>
        <v>0</v>
      </c>
      <c r="G13" s="18">
        <f>'5_매출_제품지역'!G14</f>
        <v>0</v>
      </c>
      <c r="H13" s="18">
        <f>'5_매출_제품지역'!H14</f>
        <v>0</v>
      </c>
      <c r="I13" s="18">
        <f>'5_매출_제품지역'!I14</f>
        <v>10000</v>
      </c>
      <c r="J13" s="18">
        <f>'5_매출_제품지역'!J14</f>
        <v>10000</v>
      </c>
      <c r="K13" s="18">
        <f>'5_매출_제품지역'!K14</f>
        <v>10000</v>
      </c>
      <c r="L13" s="18">
        <f>'5_매출_제품지역'!L14</f>
        <v>10000</v>
      </c>
      <c r="M13" s="18">
        <f>'5_매출_제품지역'!M14</f>
        <v>10000</v>
      </c>
      <c r="N13" s="18">
        <f>'5_매출_제품지역'!N14</f>
        <v>10000</v>
      </c>
      <c r="O13" s="23">
        <f>SUM(C13:N13)</f>
        <v>60000</v>
      </c>
      <c r="P13" s="18">
        <f>'5_매출_제품지역'!O14</f>
        <v>10000</v>
      </c>
      <c r="Q13" s="18">
        <f>'5_매출_제품지역'!P14</f>
        <v>10000</v>
      </c>
      <c r="R13" s="18">
        <f>'5_매출_제품지역'!Q14</f>
        <v>10000</v>
      </c>
      <c r="S13" s="18">
        <f>'5_매출_제품지역'!R14</f>
        <v>10000</v>
      </c>
      <c r="T13" s="18">
        <f>'5_매출_제품지역'!S14</f>
        <v>10000</v>
      </c>
      <c r="U13" s="18">
        <f>'5_매출_제품지역'!T14</f>
        <v>19000</v>
      </c>
      <c r="V13" s="18">
        <f>'5_매출_제품지역'!U14</f>
        <v>19000</v>
      </c>
      <c r="W13" s="18">
        <f>'5_매출_제품지역'!V14</f>
        <v>19000</v>
      </c>
      <c r="X13" s="18">
        <f>'5_매출_제품지역'!W14</f>
        <v>10000</v>
      </c>
      <c r="Y13" s="18">
        <f>'5_매출_제품지역'!X14</f>
        <v>10000</v>
      </c>
      <c r="Z13" s="18">
        <f>'5_매출_제품지역'!Y14</f>
        <v>10000</v>
      </c>
      <c r="AA13" s="18">
        <f>'5_매출_제품지역'!Z14</f>
        <v>10000</v>
      </c>
      <c r="AB13" s="23">
        <f>SUM(P13:AA13)</f>
        <v>147000</v>
      </c>
      <c r="AC13" s="24">
        <f>'5_매출_제품지역'!AC14</f>
        <v>394532.219195746</v>
      </c>
      <c r="AD13" s="24">
        <f>'5_매출_제품지역'!AD14</f>
        <v>763935.674168162</v>
      </c>
      <c r="AE13" s="24">
        <f>'5_매출_제품지역'!AE14</f>
        <v>2171990.31993234</v>
      </c>
      <c r="AF13" s="25">
        <f>O13+AB13+AC13+AD13+AE13</f>
        <v>3537458.21329624</v>
      </c>
    </row>
    <row r="14">
      <c r="A14" s="12" t="inlineStr">
        <is>
          <t>매출액</t>
        </is>
      </c>
      <c r="C14" s="26">
        <f>SUM(C8:C13)</f>
        <v>67445.6116043404</v>
      </c>
      <c r="D14" s="26">
        <f>SUM(D8:D13)</f>
        <v>69140.5268585777</v>
      </c>
      <c r="E14" s="26">
        <f>SUM(E8:E13)</f>
        <v>70835.442112815</v>
      </c>
      <c r="F14" s="26">
        <f>SUM(F8:F13)</f>
        <v>72530.3573670523</v>
      </c>
      <c r="G14" s="26">
        <f>SUM(G8:G13)</f>
        <v>74225.2726212896</v>
      </c>
      <c r="H14" s="26">
        <f>SUM(H8:H13)</f>
        <v>75920.1878755269</v>
      </c>
      <c r="I14" s="26">
        <f>SUM(I8:I13)</f>
        <v>94726.2142408753</v>
      </c>
      <c r="J14" s="26">
        <f>SUM(J8:J13)</f>
        <v>103532.240606224</v>
      </c>
      <c r="K14" s="26">
        <f>SUM(K8:K13)</f>
        <v>112338.266971572</v>
      </c>
      <c r="L14" s="26">
        <f>SUM(L8:L13)</f>
        <v>125773.92296655</v>
      </c>
      <c r="M14" s="26">
        <f>SUM(M8:M13)</f>
        <v>147149.578961528</v>
      </c>
      <c r="N14" s="26">
        <f>SUM(N8:N13)</f>
        <v>186382.377813649</v>
      </c>
      <c r="O14" s="27">
        <f>SUM(O8:O13)</f>
        <v>1200000</v>
      </c>
      <c r="P14" s="26">
        <f>SUM(P8:P13)</f>
        <v>286006.146982333</v>
      </c>
      <c r="Q14" s="26">
        <f>SUM(Q8:Q13)</f>
        <v>396943.880474977</v>
      </c>
      <c r="R14" s="26">
        <f>SUM(R8:R13)</f>
        <v>507881.613967621</v>
      </c>
      <c r="S14" s="26">
        <f>SUM(S8:S13)</f>
        <v>617124.432206027</v>
      </c>
      <c r="T14" s="26">
        <f>SUM(T8:T13)</f>
        <v>726367.250444434</v>
      </c>
      <c r="U14" s="26">
        <f>SUM(U8:U13)</f>
        <v>895610.06868284</v>
      </c>
      <c r="V14" s="26">
        <f>SUM(V8:V13)</f>
        <v>997741.775810136</v>
      </c>
      <c r="W14" s="26">
        <f>SUM(W8:W13)</f>
        <v>1089481.32607469</v>
      </c>
      <c r="X14" s="26">
        <f>SUM(X8:X13)</f>
        <v>1121220.87633924</v>
      </c>
      <c r="Y14" s="26">
        <f>SUM(Y8:Y13)</f>
        <v>1121220.87633924</v>
      </c>
      <c r="Z14" s="26">
        <f>SUM(Z8:Z13)</f>
        <v>1121220.87633924</v>
      </c>
      <c r="AA14" s="26">
        <f>SUM(AA8:AA13)</f>
        <v>1121220.87633924</v>
      </c>
      <c r="AB14" s="27">
        <f>SUM(AB8:AB13)</f>
        <v>10002040</v>
      </c>
      <c r="AC14" s="28">
        <f>SUM(AC8:AC13)</f>
        <v>33000000</v>
      </c>
      <c r="AD14" s="28">
        <f>SUM(AD8:AD13)</f>
        <v>70000000</v>
      </c>
      <c r="AE14" s="28">
        <f>SUM(AE8:AE13)</f>
        <v>156000000</v>
      </c>
      <c r="AF14" s="26">
        <f>SUM(AF8:AF13)</f>
        <v>270202040</v>
      </c>
    </row>
    <row r="15">
      <c r="A15" s="15" t="inlineStr">
        <is>
          <t>전년 대비 성장률</t>
        </is>
      </c>
      <c r="B15" s="29" t="inlineStr">
        <is>
          <t>2026은 2025A 대비</t>
        </is>
      </c>
      <c r="O15" s="30">
        <f>IFERROR(O14/'3_연간손익'!$C$7-1,0)</f>
        <v>0.404883929830211</v>
      </c>
      <c r="AB15" s="30">
        <f>IFERROR(AB14/O14-1,0)</f>
        <v>7.33503333333333</v>
      </c>
      <c r="AC15" s="31">
        <f>IFERROR(AC14/AB14-1,0)</f>
        <v>2.29932693730479</v>
      </c>
      <c r="AD15" s="31">
        <f>IFERROR(AD14/AC14-1,0)</f>
        <v>1.12121212121212</v>
      </c>
      <c r="AE15" s="31">
        <f>IFERROR(AE14/AD14-1,0)</f>
        <v>1.22857142857143</v>
      </c>
    </row>
    <row r="16"/>
    <row r="17">
      <c r="A17" s="3" t="inlineStr">
        <is>
          <t>Ⅱ. 매출원가</t>
        </is>
      </c>
    </row>
    <row r="18">
      <c r="A18" s="15" t="inlineStr">
        <is>
          <t xml:space="preserve">  스마트 기저귀(전용 기저귀·패드, 소모품) 원가</t>
        </is>
      </c>
      <c r="B18" s="29" t="inlineStr">
        <is>
          <t>매출 × 제품 원가율</t>
        </is>
      </c>
      <c r="C18" s="18">
        <f>C8*'8_가정'!$C$35</f>
        <v>24744.5005864945</v>
      </c>
      <c r="D18" s="18">
        <f>D8*'8_가정'!$C$35</f>
        <v>25343.4836373419</v>
      </c>
      <c r="E18" s="18">
        <f>E8*'8_가정'!$C$35</f>
        <v>25942.4666881894</v>
      </c>
      <c r="F18" s="18">
        <f>F8*'8_가정'!$C$35</f>
        <v>26541.4497390369</v>
      </c>
      <c r="G18" s="18">
        <f>G8*'8_가정'!$C$35</f>
        <v>27140.4327898843</v>
      </c>
      <c r="H18" s="18">
        <f>H8*'8_가정'!$C$35</f>
        <v>27739.4158407318</v>
      </c>
      <c r="I18" s="18">
        <f>I8*'8_가정'!$C$35</f>
        <v>30851.4655582459</v>
      </c>
      <c r="J18" s="18">
        <f>J8*'8_가정'!$C$35</f>
        <v>33963.51527576</v>
      </c>
      <c r="K18" s="18">
        <f>K8*'8_가정'!$C$35</f>
        <v>37075.5649932741</v>
      </c>
      <c r="L18" s="18">
        <f>L8*'8_가정'!$C$35</f>
        <v>41111.2258218994</v>
      </c>
      <c r="M18" s="18">
        <f>M8*'8_가정'!$C$35</f>
        <v>48767.5266505246</v>
      </c>
      <c r="N18" s="18">
        <f>N8*'8_가정'!$C$35</f>
        <v>64566.684622007</v>
      </c>
      <c r="O18" s="23">
        <f>SUM(C18:N18)</f>
        <v>413787.73220339</v>
      </c>
      <c r="P18" s="18">
        <f>P8*'8_가정'!$D$35</f>
        <v>118252.237011299</v>
      </c>
      <c r="Q18" s="18">
        <f>Q8*'8_가정'!$D$35</f>
        <v>170786.84277235</v>
      </c>
      <c r="R18" s="18">
        <f>R8*'8_가정'!$D$35</f>
        <v>223321.4485334</v>
      </c>
      <c r="S18" s="18">
        <f>S8*'8_가정'!$D$35</f>
        <v>275194.020396145</v>
      </c>
      <c r="T18" s="18">
        <f>T8*'8_가정'!$D$35</f>
        <v>327066.59225889</v>
      </c>
      <c r="U18" s="18">
        <f>U8*'8_가정'!$D$35</f>
        <v>378939.164121635</v>
      </c>
      <c r="V18" s="18">
        <f>V8*'8_가정'!$D$35</f>
        <v>428034.13598438</v>
      </c>
      <c r="W18" s="18">
        <f>W8*'8_가정'!$D$35</f>
        <v>472473.284317714</v>
      </c>
      <c r="X18" s="18">
        <f>X8*'8_가정'!$D$35</f>
        <v>516912.432651047</v>
      </c>
      <c r="Y18" s="18">
        <f>Y8*'8_가정'!$D$35</f>
        <v>516912.432651047</v>
      </c>
      <c r="Z18" s="18">
        <f>Z8*'8_가정'!$D$35</f>
        <v>516912.432651047</v>
      </c>
      <c r="AA18" s="18">
        <f>AA8*'8_가정'!$D$35</f>
        <v>516912.432651047</v>
      </c>
      <c r="AB18" s="23">
        <f>SUM(P18:AA18)</f>
        <v>4461717.456</v>
      </c>
      <c r="AC18" s="24">
        <f>AC8*'8_가정'!$E$35</f>
        <v>14265024.8555326</v>
      </c>
      <c r="AD18" s="24">
        <f>AD8*'8_가정'!$F$35</f>
        <v>28197478.5540874</v>
      </c>
      <c r="AE18" s="24">
        <f>AE8*'8_가정'!$G$35</f>
        <v>58344467.9857872</v>
      </c>
      <c r="AF18" s="25">
        <f>O18+AB18+AC18+AD18+AE18</f>
        <v>105682476.583611</v>
      </c>
    </row>
    <row r="19">
      <c r="A19" s="15" t="inlineStr">
        <is>
          <t xml:space="preserve">  센서·BLE 게이트웨이(하드웨어) 원가</t>
        </is>
      </c>
      <c r="B19" s="29" t="inlineStr">
        <is>
          <t>매출 × 제품 원가율</t>
        </is>
      </c>
      <c r="C19" s="18">
        <f>C9*'8_가정'!$C$36</f>
        <v>8213.95668334679</v>
      </c>
      <c r="D19" s="18">
        <f>D9*'8_가정'!$C$36</f>
        <v>8441.75329351628</v>
      </c>
      <c r="E19" s="18">
        <f>E9*'8_가정'!$C$36</f>
        <v>8669.54990368577</v>
      </c>
      <c r="F19" s="18">
        <f>F9*'8_가정'!$C$36</f>
        <v>8897.34651385526</v>
      </c>
      <c r="G19" s="18">
        <f>G9*'8_가정'!$C$36</f>
        <v>9125.14312402475</v>
      </c>
      <c r="H19" s="18">
        <f>H9*'8_가정'!$C$36</f>
        <v>9352.93973419424</v>
      </c>
      <c r="I19" s="18">
        <f>I9*'8_가정'!$C$36</f>
        <v>10536.4696776971</v>
      </c>
      <c r="J19" s="18">
        <f>J9*'8_가정'!$C$36</f>
        <v>11719.9996211999</v>
      </c>
      <c r="K19" s="18">
        <f>K9*'8_가정'!$C$36</f>
        <v>12903.5295647027</v>
      </c>
      <c r="L19" s="18">
        <f>L9*'8_가정'!$C$36</f>
        <v>15198.1706193167</v>
      </c>
      <c r="M19" s="18">
        <f>M9*'8_가정'!$C$36</f>
        <v>17797.7076739306</v>
      </c>
      <c r="N19" s="18">
        <f>N9*'8_가정'!$C$36</f>
        <v>21082.9590142588</v>
      </c>
      <c r="O19" s="23">
        <f>SUM(C19:N19)</f>
        <v>141939.525423729</v>
      </c>
      <c r="P19" s="18">
        <f>P9*'8_가정'!$D$36</f>
        <v>29986.3916018294</v>
      </c>
      <c r="Q19" s="18">
        <f>Q9*'8_가정'!$D$36</f>
        <v>37392.8368286885</v>
      </c>
      <c r="R19" s="18">
        <f>R9*'8_가정'!$D$36</f>
        <v>44799.2820555476</v>
      </c>
      <c r="S19" s="18">
        <f>S9*'8_가정'!$D$36</f>
        <v>51954.5408417288</v>
      </c>
      <c r="T19" s="18">
        <f>T9*'8_가정'!$D$36</f>
        <v>59109.7996279099</v>
      </c>
      <c r="U19" s="18">
        <f>U9*'8_가정'!$D$36</f>
        <v>90205.0584140911</v>
      </c>
      <c r="V19" s="18">
        <f>V9*'8_가정'!$D$36</f>
        <v>96306.4505336055</v>
      </c>
      <c r="W19" s="18">
        <f>W9*'8_가정'!$D$36</f>
        <v>101360.607359002</v>
      </c>
      <c r="X19" s="18">
        <f>X9*'8_가정'!$D$36</f>
        <v>82474.7641843992</v>
      </c>
      <c r="Y19" s="18">
        <f>Y9*'8_가정'!$D$36</f>
        <v>82474.7641843992</v>
      </c>
      <c r="Z19" s="18">
        <f>Z9*'8_가정'!$D$36</f>
        <v>82474.7641843992</v>
      </c>
      <c r="AA19" s="18">
        <f>AA9*'8_가정'!$D$36</f>
        <v>82474.7641843992</v>
      </c>
      <c r="AB19" s="23">
        <f>SUM(P19:AA19)</f>
        <v>841014.024</v>
      </c>
      <c r="AC19" s="24">
        <f>AC9*'8_가정'!$E$36</f>
        <v>2283838.1227762</v>
      </c>
      <c r="AD19" s="24">
        <f>AD9*'8_가정'!$F$36</f>
        <v>4606417.39144131</v>
      </c>
      <c r="AE19" s="24">
        <f>AE9*'8_가정'!$G$36</f>
        <v>9624630.50442137</v>
      </c>
      <c r="AF19" s="25">
        <f>O19+AB19+AC19+AD19+AE19</f>
        <v>17497839.5680626</v>
      </c>
    </row>
    <row r="20">
      <c r="A20" s="15" t="inlineStr">
        <is>
          <t xml:space="preserve">  앱·웹 모니터링 구독(SW·AI) 원가</t>
        </is>
      </c>
      <c r="B20" s="29" t="inlineStr">
        <is>
          <t>매출 × 제품 원가율</t>
        </is>
      </c>
      <c r="C20" s="18">
        <f>C10*'8_가정'!$C$37</f>
        <v>1384.35946193167</v>
      </c>
      <c r="D20" s="18">
        <f>D10*'8_가정'!$C$37</f>
        <v>1418.25776701641</v>
      </c>
      <c r="E20" s="18">
        <f>E10*'8_가정'!$C$37</f>
        <v>1452.15607210116</v>
      </c>
      <c r="F20" s="18">
        <f>F10*'8_가정'!$C$37</f>
        <v>1486.0543771859</v>
      </c>
      <c r="G20" s="18">
        <f>G10*'8_가정'!$C$37</f>
        <v>1519.95268227065</v>
      </c>
      <c r="H20" s="18">
        <f>H10*'8_가정'!$C$37</f>
        <v>1553.85098735539</v>
      </c>
      <c r="I20" s="18">
        <f>I10*'8_가정'!$C$37</f>
        <v>1729.97151466236</v>
      </c>
      <c r="J20" s="18">
        <f>J10*'8_가정'!$C$37</f>
        <v>1906.09204196933</v>
      </c>
      <c r="K20" s="18">
        <f>K10*'8_가정'!$C$37</f>
        <v>2082.2125692763</v>
      </c>
      <c r="L20" s="18">
        <f>L10*'8_가정'!$C$37</f>
        <v>2397.22198547215</v>
      </c>
      <c r="M20" s="18">
        <f>M10*'8_가정'!$C$37</f>
        <v>2902.79140166801</v>
      </c>
      <c r="N20" s="18">
        <f>N10*'8_가정'!$C$37</f>
        <v>3836.9322464353</v>
      </c>
      <c r="O20" s="23">
        <f>SUM(C20:N20)</f>
        <v>23669.8531073446</v>
      </c>
      <c r="P20" s="18">
        <f>P10*'8_가정'!$D$37</f>
        <v>6813.24401291364</v>
      </c>
      <c r="Q20" s="18">
        <f>Q10*'8_가정'!$D$37</f>
        <v>9670.84236167687</v>
      </c>
      <c r="R20" s="18">
        <f>R10*'8_가정'!$D$37</f>
        <v>12528.4407104401</v>
      </c>
      <c r="S20" s="18">
        <f>S10*'8_가정'!$D$37</f>
        <v>15349.4288897118</v>
      </c>
      <c r="T20" s="18">
        <f>T10*'8_가정'!$D$37</f>
        <v>18170.4170689835</v>
      </c>
      <c r="U20" s="18">
        <f>U10*'8_가정'!$D$37</f>
        <v>23151.4052482552</v>
      </c>
      <c r="V20" s="18">
        <f>V10*'8_가정'!$D$37</f>
        <v>25818.7934275269</v>
      </c>
      <c r="W20" s="18">
        <f>W10*'8_가정'!$D$37</f>
        <v>28251.8286656222</v>
      </c>
      <c r="X20" s="18">
        <f>X10*'8_가정'!$D$37</f>
        <v>28524.8639037174</v>
      </c>
      <c r="Y20" s="18">
        <f>Y10*'8_가정'!$D$37</f>
        <v>28524.8639037174</v>
      </c>
      <c r="Z20" s="18">
        <f>Z10*'8_가정'!$D$37</f>
        <v>28524.8639037174</v>
      </c>
      <c r="AA20" s="18">
        <f>AA10*'8_가정'!$D$37</f>
        <v>28524.8639037174</v>
      </c>
      <c r="AB20" s="23">
        <f>SUM(P20:AA20)</f>
        <v>253853.856</v>
      </c>
      <c r="AC20" s="24">
        <f>AC10*'8_가정'!$E$37</f>
        <v>881890.083881688</v>
      </c>
      <c r="AD20" s="24">
        <f>AD10*'8_가정'!$F$37</f>
        <v>1805816.94322366</v>
      </c>
      <c r="AE20" s="24">
        <f>AE10*'8_가정'!$G$37</f>
        <v>3869666.65406979</v>
      </c>
      <c r="AF20" s="25">
        <f>O20+AB20+AC20+AD20+AE20</f>
        <v>6834897.39028249</v>
      </c>
    </row>
    <row r="21">
      <c r="A21" s="15" t="inlineStr">
        <is>
          <t xml:space="preserve">  바이탈 모니터링 센서(60GHz, 2026 Q4 출시) 원가</t>
        </is>
      </c>
      <c r="B21" s="29" t="inlineStr">
        <is>
          <t>매출 × 제품 원가율</t>
        </is>
      </c>
      <c r="C21" s="18">
        <f>C11*'8_가정'!$C$38</f>
        <v>0</v>
      </c>
      <c r="D21" s="18">
        <f>D11*'8_가정'!$C$38</f>
        <v>0</v>
      </c>
      <c r="E21" s="18">
        <f>E11*'8_가정'!$C$38</f>
        <v>0</v>
      </c>
      <c r="F21" s="18">
        <f>F11*'8_가정'!$C$38</f>
        <v>0</v>
      </c>
      <c r="G21" s="18">
        <f>G11*'8_가정'!$C$38</f>
        <v>0</v>
      </c>
      <c r="H21" s="18">
        <f>H11*'8_가정'!$C$38</f>
        <v>0</v>
      </c>
      <c r="I21" s="18">
        <f>I11*'8_가정'!$C$38</f>
        <v>0</v>
      </c>
      <c r="J21" s="18">
        <f>J11*'8_가정'!$C$38</f>
        <v>0</v>
      </c>
      <c r="K21" s="18">
        <f>K11*'8_가정'!$C$38</f>
        <v>0</v>
      </c>
      <c r="L21" s="18">
        <f>L11*'8_가정'!$C$38</f>
        <v>0</v>
      </c>
      <c r="M21" s="18">
        <f>M11*'8_가정'!$C$38</f>
        <v>0</v>
      </c>
      <c r="N21" s="18">
        <f>N11*'8_가정'!$C$38</f>
        <v>0</v>
      </c>
      <c r="O21" s="23">
        <f>SUM(C21:N21)</f>
        <v>0</v>
      </c>
      <c r="P21" s="18">
        <f>P11*'8_가정'!$D$38</f>
        <v>4384.77731234867</v>
      </c>
      <c r="Q21" s="18">
        <f>Q11*'8_가정'!$D$38</f>
        <v>5974.2055348241</v>
      </c>
      <c r="R21" s="18">
        <f>R11*'8_가정'!$D$38</f>
        <v>7563.63375729953</v>
      </c>
      <c r="S21" s="18">
        <f>S11*'8_가정'!$D$38</f>
        <v>9122.55350519869</v>
      </c>
      <c r="T21" s="18">
        <f>T11*'8_가정'!$D$38</f>
        <v>10681.4732530978</v>
      </c>
      <c r="U21" s="18">
        <f>U11*'8_가정'!$D$38</f>
        <v>12240.393000997</v>
      </c>
      <c r="V21" s="18">
        <f>V11*'8_가정'!$D$38</f>
        <v>13671.3127488962</v>
      </c>
      <c r="W21" s="18">
        <f>W11*'8_가정'!$D$38</f>
        <v>14989.2913203247</v>
      </c>
      <c r="X21" s="18">
        <f>X11*'8_가정'!$D$38</f>
        <v>16307.2698917533</v>
      </c>
      <c r="Y21" s="18">
        <f>Y11*'8_가정'!$D$38</f>
        <v>16307.2698917533</v>
      </c>
      <c r="Z21" s="18">
        <f>Z11*'8_가정'!$D$38</f>
        <v>16307.2698917533</v>
      </c>
      <c r="AA21" s="18">
        <f>AA11*'8_가정'!$D$38</f>
        <v>16307.2698917533</v>
      </c>
      <c r="AB21" s="23">
        <f>SUM(P21:AA21)</f>
        <v>143856.72</v>
      </c>
      <c r="AC21" s="24">
        <f>AC11*'8_가정'!$E$38</f>
        <v>1047161.73658265</v>
      </c>
      <c r="AD21" s="24">
        <f>AD11*'8_가정'!$F$38</f>
        <v>3319190.98565658</v>
      </c>
      <c r="AE21" s="24">
        <f>AE11*'8_가정'!$G$38</f>
        <v>9457840.66693869</v>
      </c>
      <c r="AF21" s="25">
        <f>O21+AB21+AC21+AD21+AE21</f>
        <v>13968050.1091779</v>
      </c>
    </row>
    <row r="22">
      <c r="A22" s="15" t="inlineStr">
        <is>
          <t xml:space="preserve">  스마트 욕창 케어(2027 Q4 출시) 원가</t>
        </is>
      </c>
      <c r="B22" s="29" t="inlineStr">
        <is>
          <t>매출 × 제품 원가율</t>
        </is>
      </c>
      <c r="C22" s="18">
        <f>C12*'8_가정'!$C$39</f>
        <v>0</v>
      </c>
      <c r="D22" s="18">
        <f>D12*'8_가정'!$C$39</f>
        <v>0</v>
      </c>
      <c r="E22" s="18">
        <f>E12*'8_가정'!$C$39</f>
        <v>0</v>
      </c>
      <c r="F22" s="18">
        <f>F12*'8_가정'!$C$39</f>
        <v>0</v>
      </c>
      <c r="G22" s="18">
        <f>G12*'8_가정'!$C$39</f>
        <v>0</v>
      </c>
      <c r="H22" s="18">
        <f>H12*'8_가정'!$C$39</f>
        <v>0</v>
      </c>
      <c r="I22" s="18">
        <f>I12*'8_가정'!$C$39</f>
        <v>0</v>
      </c>
      <c r="J22" s="18">
        <f>J12*'8_가정'!$C$39</f>
        <v>0</v>
      </c>
      <c r="K22" s="18">
        <f>K12*'8_가정'!$C$39</f>
        <v>0</v>
      </c>
      <c r="L22" s="18">
        <f>L12*'8_가정'!$C$39</f>
        <v>0</v>
      </c>
      <c r="M22" s="18">
        <f>M12*'8_가정'!$C$39</f>
        <v>0</v>
      </c>
      <c r="N22" s="18">
        <f>N12*'8_가정'!$C$39</f>
        <v>0</v>
      </c>
      <c r="O22" s="23">
        <f>SUM(C22:N22)</f>
        <v>0</v>
      </c>
      <c r="P22" s="18">
        <f>P12*'8_가정'!$D$39</f>
        <v>0</v>
      </c>
      <c r="Q22" s="18">
        <f>Q12*'8_가정'!$D$39</f>
        <v>0</v>
      </c>
      <c r="R22" s="18">
        <f>R12*'8_가정'!$D$39</f>
        <v>0</v>
      </c>
      <c r="S22" s="18">
        <f>S12*'8_가정'!$D$39</f>
        <v>0</v>
      </c>
      <c r="T22" s="18">
        <f>T12*'8_가정'!$D$39</f>
        <v>0</v>
      </c>
      <c r="U22" s="18">
        <f>U12*'8_가정'!$D$39</f>
        <v>0</v>
      </c>
      <c r="V22" s="18">
        <f>V12*'8_가정'!$D$39</f>
        <v>0</v>
      </c>
      <c r="W22" s="18">
        <f>W12*'8_가정'!$D$39</f>
        <v>0</v>
      </c>
      <c r="X22" s="18">
        <f>X12*'8_가정'!$D$39</f>
        <v>0</v>
      </c>
      <c r="Y22" s="18">
        <f>Y12*'8_가정'!$D$39</f>
        <v>0</v>
      </c>
      <c r="Z22" s="18">
        <f>Z12*'8_가정'!$D$39</f>
        <v>0</v>
      </c>
      <c r="AA22" s="18">
        <f>AA12*'8_가정'!$D$39</f>
        <v>0</v>
      </c>
      <c r="AB22" s="23">
        <f>SUM(P22:AA22)</f>
        <v>0</v>
      </c>
      <c r="AC22" s="24">
        <f>AC12*'8_가정'!$E$39</f>
        <v>241009.317764905</v>
      </c>
      <c r="AD22" s="24">
        <f>AD12*'8_가정'!$F$39</f>
        <v>1275942.9907884</v>
      </c>
      <c r="AE22" s="24">
        <f>AE12*'8_가정'!$G$39</f>
        <v>4336493.96788783</v>
      </c>
      <c r="AF22" s="25">
        <f>O22+AB22+AC22+AD22+AE22</f>
        <v>5853446.27644114</v>
      </c>
    </row>
    <row r="23">
      <c r="A23" s="15" t="inlineStr">
        <is>
          <t xml:space="preserve">  R&amp;D·PoC 용역 원가</t>
        </is>
      </c>
      <c r="B23" s="29" t="inlineStr">
        <is>
          <t>매출 × 제품 원가율</t>
        </is>
      </c>
      <c r="C23" s="18">
        <f>C13*'8_가정'!$C$40</f>
        <v>0</v>
      </c>
      <c r="D23" s="18">
        <f>D13*'8_가정'!$C$40</f>
        <v>0</v>
      </c>
      <c r="E23" s="18">
        <f>E13*'8_가정'!$C$40</f>
        <v>0</v>
      </c>
      <c r="F23" s="18">
        <f>F13*'8_가정'!$C$40</f>
        <v>0</v>
      </c>
      <c r="G23" s="18">
        <f>G13*'8_가정'!$C$40</f>
        <v>0</v>
      </c>
      <c r="H23" s="18">
        <f>H13*'8_가정'!$C$40</f>
        <v>0</v>
      </c>
      <c r="I23" s="18">
        <f>I13*'8_가정'!$C$40</f>
        <v>5500</v>
      </c>
      <c r="J23" s="18">
        <f>J13*'8_가정'!$C$40</f>
        <v>5500</v>
      </c>
      <c r="K23" s="18">
        <f>K13*'8_가정'!$C$40</f>
        <v>5500</v>
      </c>
      <c r="L23" s="18">
        <f>L13*'8_가정'!$C$40</f>
        <v>5500</v>
      </c>
      <c r="M23" s="18">
        <f>M13*'8_가정'!$C$40</f>
        <v>5500</v>
      </c>
      <c r="N23" s="18">
        <f>N13*'8_가정'!$C$40</f>
        <v>5500</v>
      </c>
      <c r="O23" s="23">
        <f>SUM(C23:N23)</f>
        <v>33000</v>
      </c>
      <c r="P23" s="18">
        <f>P13*'8_가정'!$D$40</f>
        <v>5500</v>
      </c>
      <c r="Q23" s="18">
        <f>Q13*'8_가정'!$D$40</f>
        <v>5500</v>
      </c>
      <c r="R23" s="18">
        <f>R13*'8_가정'!$D$40</f>
        <v>5500</v>
      </c>
      <c r="S23" s="18">
        <f>S13*'8_가정'!$D$40</f>
        <v>5500</v>
      </c>
      <c r="T23" s="18">
        <f>T13*'8_가정'!$D$40</f>
        <v>5500</v>
      </c>
      <c r="U23" s="18">
        <f>U13*'8_가정'!$D$40</f>
        <v>10450</v>
      </c>
      <c r="V23" s="18">
        <f>V13*'8_가정'!$D$40</f>
        <v>10450</v>
      </c>
      <c r="W23" s="18">
        <f>W13*'8_가정'!$D$40</f>
        <v>10450</v>
      </c>
      <c r="X23" s="18">
        <f>X13*'8_가정'!$D$40</f>
        <v>5500</v>
      </c>
      <c r="Y23" s="18">
        <f>Y13*'8_가정'!$D$40</f>
        <v>5500</v>
      </c>
      <c r="Z23" s="18">
        <f>Z13*'8_가정'!$D$40</f>
        <v>5500</v>
      </c>
      <c r="AA23" s="18">
        <f>AA13*'8_가정'!$D$40</f>
        <v>5500</v>
      </c>
      <c r="AB23" s="23">
        <f>SUM(P23:AA23)</f>
        <v>80850</v>
      </c>
      <c r="AC23" s="24">
        <f>AC13*'8_가정'!$E$40</f>
        <v>216992.72055766</v>
      </c>
      <c r="AD23" s="24">
        <f>AD13*'8_가정'!$F$40</f>
        <v>420164.620792489</v>
      </c>
      <c r="AE23" s="24">
        <f>AE13*'8_가정'!$G$40</f>
        <v>1194594.67596278</v>
      </c>
      <c r="AF23" s="25">
        <f>O23+AB23+AC23+AD23+AE23</f>
        <v>1945602.01731293</v>
      </c>
    </row>
    <row r="24">
      <c r="A24" s="15" t="inlineStr">
        <is>
          <t xml:space="preserve">  운영성 매출원가</t>
        </is>
      </c>
      <c r="B24" s="29" t="inlineStr">
        <is>
          <t>물류·관세·보증·클라우드</t>
        </is>
      </c>
      <c r="C24" s="18">
        <f>C14*'8_가정'!$C$41</f>
        <v>1011.68417406511</v>
      </c>
      <c r="D24" s="18">
        <f>D14*'8_가정'!$C$41</f>
        <v>1037.10790287867</v>
      </c>
      <c r="E24" s="18">
        <f>E14*'8_가정'!$C$41</f>
        <v>1062.53163169222</v>
      </c>
      <c r="F24" s="18">
        <f>F14*'8_가정'!$C$41</f>
        <v>1087.95536050578</v>
      </c>
      <c r="G24" s="18">
        <f>G14*'8_가정'!$C$41</f>
        <v>1113.37908931934</v>
      </c>
      <c r="H24" s="18">
        <f>H14*'8_가정'!$C$41</f>
        <v>1138.8028181329</v>
      </c>
      <c r="I24" s="18">
        <f>I14*'8_가정'!$C$41</f>
        <v>1420.89321361313</v>
      </c>
      <c r="J24" s="18">
        <f>J14*'8_가정'!$C$41</f>
        <v>1552.98360909335</v>
      </c>
      <c r="K24" s="18">
        <f>K14*'8_가정'!$C$41</f>
        <v>1685.07400457358</v>
      </c>
      <c r="L24" s="18">
        <f>L14*'8_가정'!$C$41</f>
        <v>1886.60884449825</v>
      </c>
      <c r="M24" s="18">
        <f>M14*'8_가정'!$C$41</f>
        <v>2207.24368442292</v>
      </c>
      <c r="N24" s="18">
        <f>N14*'8_가정'!$C$41</f>
        <v>2795.73566720473</v>
      </c>
      <c r="O24" s="23">
        <f>SUM(C24:N24)</f>
        <v>18000</v>
      </c>
      <c r="P24" s="18">
        <f>P14*'8_가정'!$D$41</f>
        <v>7150.15367455834</v>
      </c>
      <c r="Q24" s="18">
        <f>Q14*'8_가정'!$D$41</f>
        <v>9923.59701187443</v>
      </c>
      <c r="R24" s="18">
        <f>R14*'8_가정'!$D$41</f>
        <v>12697.0403491905</v>
      </c>
      <c r="S24" s="18">
        <f>S14*'8_가정'!$D$41</f>
        <v>15428.1108051507</v>
      </c>
      <c r="T24" s="18">
        <f>T14*'8_가정'!$D$41</f>
        <v>18159.1812611108</v>
      </c>
      <c r="U24" s="18">
        <f>U14*'8_가정'!$D$41</f>
        <v>22390.251717071</v>
      </c>
      <c r="V24" s="18">
        <f>V14*'8_가정'!$D$41</f>
        <v>24943.5443952534</v>
      </c>
      <c r="W24" s="18">
        <f>W14*'8_가정'!$D$41</f>
        <v>27237.0331518672</v>
      </c>
      <c r="X24" s="18">
        <f>X14*'8_가정'!$D$41</f>
        <v>28030.5219084809</v>
      </c>
      <c r="Y24" s="18">
        <f>Y14*'8_가정'!$D$41</f>
        <v>28030.5219084809</v>
      </c>
      <c r="Z24" s="18">
        <f>Z14*'8_가정'!$D$41</f>
        <v>28030.5219084809</v>
      </c>
      <c r="AA24" s="18">
        <f>AA14*'8_가정'!$D$41</f>
        <v>28030.5219084809</v>
      </c>
      <c r="AB24" s="23">
        <f>SUM(P24:AA24)</f>
        <v>250051</v>
      </c>
      <c r="AC24" s="24">
        <f>AC14*'8_가정'!$E$41</f>
        <v>990000</v>
      </c>
      <c r="AD24" s="24">
        <f>AD14*'8_가정'!$F$41</f>
        <v>2450000</v>
      </c>
      <c r="AE24" s="24">
        <f>AE14*'8_가정'!$G$41</f>
        <v>5460000</v>
      </c>
      <c r="AF24" s="25">
        <f>O24+AB24+AC24+AD24+AE24</f>
        <v>9168051</v>
      </c>
    </row>
    <row r="25">
      <c r="A25" s="12" t="inlineStr">
        <is>
          <t>매출원가</t>
        </is>
      </c>
      <c r="C25" s="26">
        <f>SUM(C18:C24)</f>
        <v>35354.500905838</v>
      </c>
      <c r="D25" s="26">
        <f>SUM(D18:D24)</f>
        <v>36240.6026007533</v>
      </c>
      <c r="E25" s="26">
        <f>SUM(E18:E24)</f>
        <v>37126.7042956685</v>
      </c>
      <c r="F25" s="26">
        <f>SUM(F18:F24)</f>
        <v>38012.8059905838</v>
      </c>
      <c r="G25" s="26">
        <f>SUM(G18:G24)</f>
        <v>38898.9076854991</v>
      </c>
      <c r="H25" s="26">
        <f>SUM(H18:H24)</f>
        <v>39785.0093804143</v>
      </c>
      <c r="I25" s="26">
        <f>SUM(I18:I24)</f>
        <v>50038.7999642184</v>
      </c>
      <c r="J25" s="26">
        <f>SUM(J18:J24)</f>
        <v>54642.5905480226</v>
      </c>
      <c r="K25" s="26">
        <f>SUM(K18:K24)</f>
        <v>59246.3811318267</v>
      </c>
      <c r="L25" s="26">
        <f>SUM(L18:L24)</f>
        <v>66093.2272711864</v>
      </c>
      <c r="M25" s="26">
        <f>SUM(M18:M24)</f>
        <v>77175.2694105461</v>
      </c>
      <c r="N25" s="26">
        <f>SUM(N18:N24)</f>
        <v>97782.3115499058</v>
      </c>
      <c r="O25" s="27">
        <f>SUM(O18:O24)</f>
        <v>630397.110734463</v>
      </c>
      <c r="P25" s="26">
        <f>SUM(P18:P24)</f>
        <v>172086.80361295</v>
      </c>
      <c r="Q25" s="26">
        <f>SUM(Q18:Q24)</f>
        <v>239248.324509414</v>
      </c>
      <c r="R25" s="26">
        <f>SUM(R18:R24)</f>
        <v>306409.845405878</v>
      </c>
      <c r="S25" s="26">
        <f>SUM(S18:S24)</f>
        <v>372548.654437935</v>
      </c>
      <c r="T25" s="26">
        <f>SUM(T18:T24)</f>
        <v>438687.463469992</v>
      </c>
      <c r="U25" s="26">
        <f>SUM(U18:U24)</f>
        <v>537376.272502049</v>
      </c>
      <c r="V25" s="26">
        <f>SUM(V18:V24)</f>
        <v>599224.237089662</v>
      </c>
      <c r="W25" s="26">
        <f>SUM(W18:W24)</f>
        <v>654762.04481453</v>
      </c>
      <c r="X25" s="26">
        <f>SUM(X18:X24)</f>
        <v>677749.852539398</v>
      </c>
      <c r="Y25" s="26">
        <f>SUM(Y18:Y24)</f>
        <v>677749.852539398</v>
      </c>
      <c r="Z25" s="26">
        <f>SUM(Z18:Z24)</f>
        <v>677749.852539398</v>
      </c>
      <c r="AA25" s="26">
        <f>SUM(AA18:AA24)</f>
        <v>677749.852539398</v>
      </c>
      <c r="AB25" s="27">
        <f>SUM(AB18:AB24)</f>
        <v>6031343.056</v>
      </c>
      <c r="AC25" s="28">
        <f>SUM(AC18:AC24)</f>
        <v>19925916.8370957</v>
      </c>
      <c r="AD25" s="28">
        <f>SUM(AD18:AD24)</f>
        <v>42075011.4859898</v>
      </c>
      <c r="AE25" s="28">
        <f>SUM(AE18:AE24)</f>
        <v>92287694.4550677</v>
      </c>
      <c r="AF25" s="26">
        <f>SUM(AF18:AF24)</f>
        <v>160950362.944888</v>
      </c>
    </row>
    <row r="26">
      <c r="A26" s="32" t="inlineStr">
        <is>
          <t>매출총이익</t>
        </is>
      </c>
      <c r="C26" s="33">
        <f>C14-C25</f>
        <v>32091.1106985024</v>
      </c>
      <c r="D26" s="33">
        <f>D14-D25</f>
        <v>32899.9242578244</v>
      </c>
      <c r="E26" s="33">
        <f>E14-E25</f>
        <v>33708.7378171464</v>
      </c>
      <c r="F26" s="33">
        <f>F14-F25</f>
        <v>34517.5513764685</v>
      </c>
      <c r="G26" s="33">
        <f>G14-G25</f>
        <v>35326.3649357905</v>
      </c>
      <c r="H26" s="33">
        <f>H14-H25</f>
        <v>36135.1784951125</v>
      </c>
      <c r="I26" s="33">
        <f>I14-I25</f>
        <v>44687.4142766568</v>
      </c>
      <c r="J26" s="33">
        <f>J14-J25</f>
        <v>48889.6500582011</v>
      </c>
      <c r="K26" s="33">
        <f>K14-K25</f>
        <v>53091.8858397453</v>
      </c>
      <c r="L26" s="33">
        <f>L14-L25</f>
        <v>59680.6956953636</v>
      </c>
      <c r="M26" s="33">
        <f>M14-M25</f>
        <v>69974.309550982</v>
      </c>
      <c r="N26" s="33">
        <f>N14-N25</f>
        <v>88600.0662637432</v>
      </c>
      <c r="O26" s="23">
        <f>O14-O25</f>
        <v>569602.889265537</v>
      </c>
      <c r="P26" s="33">
        <f>P14-P25</f>
        <v>113919.343369384</v>
      </c>
      <c r="Q26" s="33">
        <f>Q14-Q25</f>
        <v>157695.555965564</v>
      </c>
      <c r="R26" s="33">
        <f>R14-R25</f>
        <v>201471.768561743</v>
      </c>
      <c r="S26" s="33">
        <f>S14-S25</f>
        <v>244575.777768093</v>
      </c>
      <c r="T26" s="33">
        <f>T14-T25</f>
        <v>287679.786974442</v>
      </c>
      <c r="U26" s="33">
        <f>U14-U25</f>
        <v>358233.796180791</v>
      </c>
      <c r="V26" s="33">
        <f>V14-V25</f>
        <v>398517.538720474</v>
      </c>
      <c r="W26" s="33">
        <f>W14-W25</f>
        <v>434719.281260156</v>
      </c>
      <c r="X26" s="33">
        <f>X14-X25</f>
        <v>443471.023799839</v>
      </c>
      <c r="Y26" s="33">
        <f>Y14-Y25</f>
        <v>443471.023799839</v>
      </c>
      <c r="Z26" s="33">
        <f>Z14-Z25</f>
        <v>443471.023799839</v>
      </c>
      <c r="AA26" s="33">
        <f>AA14-AA25</f>
        <v>443471.023799839</v>
      </c>
      <c r="AB26" s="23">
        <f>AB14-AB25</f>
        <v>3970696.944</v>
      </c>
      <c r="AC26" s="34">
        <f>AC14-AC25</f>
        <v>13074083.1629043</v>
      </c>
      <c r="AD26" s="34">
        <f>AD14-AD25</f>
        <v>27924988.5140102</v>
      </c>
      <c r="AE26" s="34">
        <f>AE14-AE25</f>
        <v>63712305.5449323</v>
      </c>
      <c r="AF26" s="33">
        <f>AF14-AF25</f>
        <v>109251677.055112</v>
      </c>
    </row>
    <row r="27">
      <c r="A27" s="15" t="inlineStr">
        <is>
          <t xml:space="preserve">  매출총이익률</t>
        </is>
      </c>
      <c r="C27" s="14">
        <f>IFERROR(C26/C14,0)</f>
        <v>0.475807245796214</v>
      </c>
      <c r="D27" s="14">
        <f>IFERROR(D26/D14,0)</f>
        <v>0.475841387860972</v>
      </c>
      <c r="E27" s="14">
        <f>IFERROR(E26/E14,0)</f>
        <v>0.475873896057015</v>
      </c>
      <c r="F27" s="14">
        <f>IFERROR(F26/F14,0)</f>
        <v>0.475904884926825</v>
      </c>
      <c r="G27" s="14">
        <f>IFERROR(G26/G14,0)</f>
        <v>0.475934458550686</v>
      </c>
      <c r="H27" s="14">
        <f>IFERROR(H26/H14,0)</f>
        <v>0.475962711714533</v>
      </c>
      <c r="I27" s="14">
        <f>IFERROR(I26/I14,0)</f>
        <v>0.471753406749932</v>
      </c>
      <c r="J27" s="14">
        <f>IFERROR(J26/J14,0)</f>
        <v>0.472216671559817</v>
      </c>
      <c r="K27" s="14">
        <f>IFERROR(K26/K14,0)</f>
        <v>0.472607307118068</v>
      </c>
      <c r="L27" s="14">
        <f>IFERROR(L26/L14,0)</f>
        <v>0.474507706269414</v>
      </c>
      <c r="M27" s="14">
        <f>IFERROR(M26/M14,0)</f>
        <v>0.475531836684878</v>
      </c>
      <c r="N27" s="14">
        <f>IFERROR(N26/N14,0)</f>
        <v>0.475367184940243</v>
      </c>
      <c r="O27" s="30">
        <f>IFERROR(O26/O14,0)</f>
        <v>0.474669074387947</v>
      </c>
      <c r="P27" s="14">
        <f>IFERROR(P26/P14,0)</f>
        <v>0.398310821537765</v>
      </c>
      <c r="Q27" s="14">
        <f>IFERROR(Q26/Q14,0)</f>
        <v>0.397274183385489</v>
      </c>
      <c r="R27" s="14">
        <f>IFERROR(R26/R14,0)</f>
        <v>0.396690415681375</v>
      </c>
      <c r="S27" s="14">
        <f>IFERROR(S26/S14,0)</f>
        <v>0.396315175683145</v>
      </c>
      <c r="T27" s="14">
        <f>IFERROR(T26/T14,0)</f>
        <v>0.396052804966665</v>
      </c>
      <c r="U27" s="14">
        <f>IFERROR(U26/U14,0)</f>
        <v>0.399988576175388</v>
      </c>
      <c r="V27" s="14">
        <f>IFERROR(V26/V14,0)</f>
        <v>0.399419517536879</v>
      </c>
      <c r="W27" s="14">
        <f>IFERROR(W26/W14,0)</f>
        <v>0.399014898976208</v>
      </c>
      <c r="X27" s="14">
        <f>IFERROR(X26/X14,0)</f>
        <v>0.395525121907971</v>
      </c>
      <c r="Y27" s="14">
        <f>IFERROR(Y26/Y14,0)</f>
        <v>0.395525121907971</v>
      </c>
      <c r="Z27" s="14">
        <f>IFERROR(Z26/Z14,0)</f>
        <v>0.395525121907971</v>
      </c>
      <c r="AA27" s="14">
        <f>IFERROR(AA26/AA14,0)</f>
        <v>0.395525121907971</v>
      </c>
      <c r="AB27" s="30">
        <f>IFERROR(AB26/AB14,0)</f>
        <v>0.396988708703425</v>
      </c>
      <c r="AC27" s="31">
        <f>IFERROR(AC26/AC14,0)</f>
        <v>0.396184338269827</v>
      </c>
      <c r="AD27" s="31">
        <f>IFERROR(AD26/AD14,0)</f>
        <v>0.398928407343003</v>
      </c>
      <c r="AE27" s="31">
        <f>IFERROR(AE26/AE14,0)</f>
        <v>0.408412215031618</v>
      </c>
      <c r="AF27" s="14">
        <f>IFERROR(AF26/AF14,0)</f>
        <v>0.40433327984908</v>
      </c>
    </row>
    <row r="28"/>
    <row r="29">
      <c r="A29" s="3" t="inlineStr">
        <is>
          <t>Ⅲ. 판매비와관리비</t>
        </is>
      </c>
    </row>
    <row r="30">
      <c r="A30" s="15" t="inlineStr">
        <is>
          <t xml:space="preserve">  급여</t>
        </is>
      </c>
      <c r="C30" s="18">
        <f>'7_비용인력'!C19</f>
        <v>25200</v>
      </c>
      <c r="D30" s="18">
        <f>'7_비용인력'!D19</f>
        <v>25200</v>
      </c>
      <c r="E30" s="18">
        <f>'7_비용인력'!E19</f>
        <v>25200</v>
      </c>
      <c r="F30" s="18">
        <f>'7_비용인력'!F19</f>
        <v>25200</v>
      </c>
      <c r="G30" s="18">
        <f>'7_비용인력'!G19</f>
        <v>25200</v>
      </c>
      <c r="H30" s="18">
        <f>'7_비용인력'!H19</f>
        <v>25200</v>
      </c>
      <c r="I30" s="18">
        <f>'7_비용인력'!I19</f>
        <v>25200</v>
      </c>
      <c r="J30" s="18">
        <f>'7_비용인력'!J19</f>
        <v>25200</v>
      </c>
      <c r="K30" s="18">
        <f>'7_비용인력'!K19</f>
        <v>25200</v>
      </c>
      <c r="L30" s="18">
        <f>'7_비용인력'!L19</f>
        <v>28800</v>
      </c>
      <c r="M30" s="18">
        <f>'7_비용인력'!M19</f>
        <v>28800</v>
      </c>
      <c r="N30" s="18">
        <f>'7_비용인력'!N19</f>
        <v>32400</v>
      </c>
      <c r="O30" s="35">
        <f>'7_비용인력'!O19</f>
        <v>316800</v>
      </c>
      <c r="P30" s="18">
        <f>'7_비용인력'!P19</f>
        <v>46000</v>
      </c>
      <c r="Q30" s="18">
        <f>'7_비용인력'!Q19</f>
        <v>50600</v>
      </c>
      <c r="R30" s="18">
        <f>'7_비용인력'!R19</f>
        <v>55200</v>
      </c>
      <c r="S30" s="18">
        <f>'7_비용인력'!S19</f>
        <v>59800</v>
      </c>
      <c r="T30" s="18">
        <f>'7_비용인력'!T19</f>
        <v>64400</v>
      </c>
      <c r="U30" s="18">
        <f>'7_비용인력'!U19</f>
        <v>69000</v>
      </c>
      <c r="V30" s="18">
        <f>'7_비용인력'!V19</f>
        <v>73600</v>
      </c>
      <c r="W30" s="18">
        <f>'7_비용인력'!W19</f>
        <v>78200</v>
      </c>
      <c r="X30" s="18">
        <f>'7_비용인력'!X19</f>
        <v>82800</v>
      </c>
      <c r="Y30" s="18">
        <f>'7_비용인력'!Y19</f>
        <v>87400</v>
      </c>
      <c r="Z30" s="18">
        <f>'7_비용인력'!Z19</f>
        <v>92000</v>
      </c>
      <c r="AA30" s="18">
        <f>'7_비용인력'!AA19</f>
        <v>101200</v>
      </c>
      <c r="AB30" s="35">
        <f>'7_비용인력'!AB19</f>
        <v>860200</v>
      </c>
      <c r="AC30" s="24">
        <f>'7_비용인력'!AC19</f>
        <v>3210000</v>
      </c>
      <c r="AD30" s="24">
        <f>'7_비용인력'!AD19</f>
        <v>6966000</v>
      </c>
      <c r="AE30" s="24">
        <f>'7_비용인력'!AE19</f>
        <v>13338000</v>
      </c>
      <c r="AF30" s="36">
        <f>'7_비용인력'!AF19</f>
        <v>24691000</v>
      </c>
    </row>
    <row r="31">
      <c r="A31" s="15" t="inlineStr">
        <is>
          <t xml:space="preserve">  퇴직급여·4대보험·복리후생</t>
        </is>
      </c>
      <c r="C31" s="18">
        <f>'7_비용인력'!C20</f>
        <v>5544</v>
      </c>
      <c r="D31" s="18">
        <f>'7_비용인력'!D20</f>
        <v>5544</v>
      </c>
      <c r="E31" s="18">
        <f>'7_비용인력'!E20</f>
        <v>5544</v>
      </c>
      <c r="F31" s="18">
        <f>'7_비용인력'!F20</f>
        <v>5544</v>
      </c>
      <c r="G31" s="18">
        <f>'7_비용인력'!G20</f>
        <v>5544</v>
      </c>
      <c r="H31" s="18">
        <f>'7_비용인력'!H20</f>
        <v>5544</v>
      </c>
      <c r="I31" s="18">
        <f>'7_비용인력'!I20</f>
        <v>5544</v>
      </c>
      <c r="J31" s="18">
        <f>'7_비용인력'!J20</f>
        <v>5544</v>
      </c>
      <c r="K31" s="18">
        <f>'7_비용인력'!K20</f>
        <v>5544</v>
      </c>
      <c r="L31" s="18">
        <f>'7_비용인력'!L20</f>
        <v>6336</v>
      </c>
      <c r="M31" s="18">
        <f>'7_비용인력'!M20</f>
        <v>6336</v>
      </c>
      <c r="N31" s="18">
        <f>'7_비용인력'!N20</f>
        <v>7128</v>
      </c>
      <c r="O31" s="35">
        <f>'7_비용인력'!O20</f>
        <v>69696</v>
      </c>
      <c r="P31" s="18">
        <f>'7_비용인력'!P20</f>
        <v>10120</v>
      </c>
      <c r="Q31" s="18">
        <f>'7_비용인력'!Q20</f>
        <v>11132</v>
      </c>
      <c r="R31" s="18">
        <f>'7_비용인력'!R20</f>
        <v>12144</v>
      </c>
      <c r="S31" s="18">
        <f>'7_비용인력'!S20</f>
        <v>13156</v>
      </c>
      <c r="T31" s="18">
        <f>'7_비용인력'!T20</f>
        <v>14168</v>
      </c>
      <c r="U31" s="18">
        <f>'7_비용인력'!U20</f>
        <v>15180</v>
      </c>
      <c r="V31" s="18">
        <f>'7_비용인력'!V20</f>
        <v>16192</v>
      </c>
      <c r="W31" s="18">
        <f>'7_비용인력'!W20</f>
        <v>17204</v>
      </c>
      <c r="X31" s="18">
        <f>'7_비용인력'!X20</f>
        <v>18216</v>
      </c>
      <c r="Y31" s="18">
        <f>'7_비용인력'!Y20</f>
        <v>19228</v>
      </c>
      <c r="Z31" s="18">
        <f>'7_비용인력'!Z20</f>
        <v>20240</v>
      </c>
      <c r="AA31" s="18">
        <f>'7_비용인력'!AA20</f>
        <v>22264</v>
      </c>
      <c r="AB31" s="35">
        <f>'7_비용인력'!AB20</f>
        <v>189244</v>
      </c>
      <c r="AC31" s="24">
        <f>'7_비용인력'!AC20</f>
        <v>706200</v>
      </c>
      <c r="AD31" s="24">
        <f>'7_비용인력'!AD20</f>
        <v>1532520</v>
      </c>
      <c r="AE31" s="24">
        <f>'7_비용인력'!AE20</f>
        <v>2934360</v>
      </c>
      <c r="AF31" s="36">
        <f>'7_비용인력'!AF20</f>
        <v>5432020</v>
      </c>
    </row>
    <row r="32">
      <c r="A32" s="15" t="inlineStr">
        <is>
          <t xml:space="preserve">  광고선전·마케팅비</t>
        </is>
      </c>
      <c r="C32" s="18">
        <f>'7_비용인력'!C21</f>
        <v>1011.68417406511</v>
      </c>
      <c r="D32" s="18">
        <f>'7_비용인력'!D21</f>
        <v>1037.10790287867</v>
      </c>
      <c r="E32" s="18">
        <f>'7_비용인력'!E21</f>
        <v>1062.53163169222</v>
      </c>
      <c r="F32" s="18">
        <f>'7_비용인력'!F21</f>
        <v>1087.95536050578</v>
      </c>
      <c r="G32" s="18">
        <f>'7_비용인력'!G21</f>
        <v>1113.37908931934</v>
      </c>
      <c r="H32" s="18">
        <f>'7_비용인력'!H21</f>
        <v>1138.8028181329</v>
      </c>
      <c r="I32" s="18">
        <f>'7_비용인력'!I21</f>
        <v>1420.89321361313</v>
      </c>
      <c r="J32" s="18">
        <f>'7_비용인력'!J21</f>
        <v>1552.98360909335</v>
      </c>
      <c r="K32" s="18">
        <f>'7_비용인력'!K21</f>
        <v>1685.07400457358</v>
      </c>
      <c r="L32" s="18">
        <f>'7_비용인력'!L21</f>
        <v>1886.60884449825</v>
      </c>
      <c r="M32" s="18">
        <f>'7_비용인력'!M21</f>
        <v>2207.24368442292</v>
      </c>
      <c r="N32" s="18">
        <f>'7_비용인력'!N21</f>
        <v>2795.73566720473</v>
      </c>
      <c r="O32" s="35">
        <f>'7_비용인력'!O21</f>
        <v>18000</v>
      </c>
      <c r="P32" s="18">
        <f>'7_비용인력'!P21</f>
        <v>7150.15367455834</v>
      </c>
      <c r="Q32" s="18">
        <f>'7_비용인력'!Q21</f>
        <v>9923.59701187443</v>
      </c>
      <c r="R32" s="18">
        <f>'7_비용인력'!R21</f>
        <v>12697.0403491905</v>
      </c>
      <c r="S32" s="18">
        <f>'7_비용인력'!S21</f>
        <v>15428.1108051507</v>
      </c>
      <c r="T32" s="18">
        <f>'7_비용인력'!T21</f>
        <v>18159.1812611108</v>
      </c>
      <c r="U32" s="18">
        <f>'7_비용인력'!U21</f>
        <v>22390.251717071</v>
      </c>
      <c r="V32" s="18">
        <f>'7_비용인력'!V21</f>
        <v>24943.5443952534</v>
      </c>
      <c r="W32" s="18">
        <f>'7_비용인력'!W21</f>
        <v>27237.0331518672</v>
      </c>
      <c r="X32" s="18">
        <f>'7_비용인력'!X21</f>
        <v>28030.5219084809</v>
      </c>
      <c r="Y32" s="18">
        <f>'7_비용인력'!Y21</f>
        <v>28030.5219084809</v>
      </c>
      <c r="Z32" s="18">
        <f>'7_비용인력'!Z21</f>
        <v>28030.5219084809</v>
      </c>
      <c r="AA32" s="18">
        <f>'7_비용인력'!AA21</f>
        <v>28030.5219084809</v>
      </c>
      <c r="AB32" s="35">
        <f>'7_비용인력'!AB21</f>
        <v>250051</v>
      </c>
      <c r="AC32" s="24">
        <f>'7_비용인력'!AC21</f>
        <v>924000</v>
      </c>
      <c r="AD32" s="24">
        <f>'7_비용인력'!AD21</f>
        <v>1820000</v>
      </c>
      <c r="AE32" s="24">
        <f>'7_비용인력'!AE21</f>
        <v>4680000</v>
      </c>
      <c r="AF32" s="36">
        <f>'7_비용인력'!AF21</f>
        <v>7692051</v>
      </c>
    </row>
    <row r="33">
      <c r="A33" s="15" t="inlineStr">
        <is>
          <t xml:space="preserve">  지급수수료</t>
        </is>
      </c>
      <c r="C33" s="18">
        <f>'7_비용인력'!C22</f>
        <v>809.347339252085</v>
      </c>
      <c r="D33" s="18">
        <f>'7_비용인력'!D22</f>
        <v>829.686322302932</v>
      </c>
      <c r="E33" s="18">
        <f>'7_비용인력'!E22</f>
        <v>850.02530535378</v>
      </c>
      <c r="F33" s="18">
        <f>'7_비용인력'!F22</f>
        <v>870.364288404627</v>
      </c>
      <c r="G33" s="18">
        <f>'7_비용인력'!G22</f>
        <v>890.703271455475</v>
      </c>
      <c r="H33" s="18">
        <f>'7_비용인력'!H22</f>
        <v>911.042254506322</v>
      </c>
      <c r="I33" s="18">
        <f>'7_비용인력'!I22</f>
        <v>1136.7145708905</v>
      </c>
      <c r="J33" s="18">
        <f>'7_비용인력'!J22</f>
        <v>1242.38688727468</v>
      </c>
      <c r="K33" s="18">
        <f>'7_비용인력'!K22</f>
        <v>1348.05920365886</v>
      </c>
      <c r="L33" s="18">
        <f>'7_비용인력'!L22</f>
        <v>1509.2870755986</v>
      </c>
      <c r="M33" s="18">
        <f>'7_비용인력'!M22</f>
        <v>1765.79494753834</v>
      </c>
      <c r="N33" s="18">
        <f>'7_비용인력'!N22</f>
        <v>2236.58853376379</v>
      </c>
      <c r="O33" s="35">
        <f>'7_비용인력'!O22</f>
        <v>14400</v>
      </c>
      <c r="P33" s="18">
        <f>'7_비용인력'!P22</f>
        <v>5720.12293964667</v>
      </c>
      <c r="Q33" s="18">
        <f>'7_비용인력'!Q22</f>
        <v>7938.87760949954</v>
      </c>
      <c r="R33" s="18">
        <f>'7_비용인력'!R22</f>
        <v>10157.6322793524</v>
      </c>
      <c r="S33" s="18">
        <f>'7_비용인력'!S22</f>
        <v>12342.4886441205</v>
      </c>
      <c r="T33" s="18">
        <f>'7_비용인력'!T22</f>
        <v>14527.3450088887</v>
      </c>
      <c r="U33" s="18">
        <f>'7_비용인력'!U22</f>
        <v>17912.2013736568</v>
      </c>
      <c r="V33" s="18">
        <f>'7_비용인력'!V22</f>
        <v>19954.8355162027</v>
      </c>
      <c r="W33" s="18">
        <f>'7_비용인력'!W22</f>
        <v>21789.6265214937</v>
      </c>
      <c r="X33" s="18">
        <f>'7_비용인력'!X22</f>
        <v>22424.4175267847</v>
      </c>
      <c r="Y33" s="18">
        <f>'7_비용인력'!Y22</f>
        <v>22424.4175267847</v>
      </c>
      <c r="Z33" s="18">
        <f>'7_비용인력'!Z22</f>
        <v>22424.4175267847</v>
      </c>
      <c r="AA33" s="18">
        <f>'7_비용인력'!AA22</f>
        <v>22424.4175267847</v>
      </c>
      <c r="AB33" s="35">
        <f>'7_비용인력'!AB22</f>
        <v>200040.8</v>
      </c>
      <c r="AC33" s="24">
        <f>'7_비용인력'!AC22</f>
        <v>726000</v>
      </c>
      <c r="AD33" s="24">
        <f>'7_비용인력'!AD22</f>
        <v>1540000</v>
      </c>
      <c r="AE33" s="24">
        <f>'7_비용인력'!AE22</f>
        <v>3432000</v>
      </c>
      <c r="AF33" s="36">
        <f>'7_비용인력'!AF22</f>
        <v>5912440.8</v>
      </c>
    </row>
    <row r="34">
      <c r="A34" s="15" t="inlineStr">
        <is>
          <t xml:space="preserve">  판매물류·CS비</t>
        </is>
      </c>
      <c r="C34" s="18">
        <f>'7_비용인력'!C23</f>
        <v>1686.14029010851</v>
      </c>
      <c r="D34" s="18">
        <f>'7_비용인력'!D23</f>
        <v>1728.51317146444</v>
      </c>
      <c r="E34" s="18">
        <f>'7_비용인력'!E23</f>
        <v>1770.88605282037</v>
      </c>
      <c r="F34" s="18">
        <f>'7_비용인력'!F23</f>
        <v>1813.25893417631</v>
      </c>
      <c r="G34" s="18">
        <f>'7_비용인력'!G23</f>
        <v>1855.63181553224</v>
      </c>
      <c r="H34" s="18">
        <f>'7_비용인력'!H23</f>
        <v>1898.00469688817</v>
      </c>
      <c r="I34" s="18">
        <f>'7_비용인력'!I23</f>
        <v>2368.15535602188</v>
      </c>
      <c r="J34" s="18">
        <f>'7_비용인력'!J23</f>
        <v>2588.30601515559</v>
      </c>
      <c r="K34" s="18">
        <f>'7_비용인력'!K23</f>
        <v>2808.4566742893</v>
      </c>
      <c r="L34" s="18">
        <f>'7_비용인력'!L23</f>
        <v>3144.34807416375</v>
      </c>
      <c r="M34" s="18">
        <f>'7_비용인력'!M23</f>
        <v>3678.7394740382</v>
      </c>
      <c r="N34" s="18">
        <f>'7_비용인력'!N23</f>
        <v>4659.55944534123</v>
      </c>
      <c r="O34" s="35">
        <f>'7_비용인력'!O23</f>
        <v>30000</v>
      </c>
      <c r="P34" s="18">
        <f>'7_비용인력'!P23</f>
        <v>10010.2151443817</v>
      </c>
      <c r="Q34" s="18">
        <f>'7_비용인력'!Q23</f>
        <v>13893.0358166242</v>
      </c>
      <c r="R34" s="18">
        <f>'7_비용인력'!R23</f>
        <v>17775.8564888667</v>
      </c>
      <c r="S34" s="18">
        <f>'7_비용인력'!S23</f>
        <v>21599.355127211</v>
      </c>
      <c r="T34" s="18">
        <f>'7_비용인력'!T23</f>
        <v>25422.8537655552</v>
      </c>
      <c r="U34" s="18">
        <f>'7_비용인력'!U23</f>
        <v>31346.3524038994</v>
      </c>
      <c r="V34" s="18">
        <f>'7_비용인력'!V23</f>
        <v>34920.9621533548</v>
      </c>
      <c r="W34" s="18">
        <f>'7_비용인력'!W23</f>
        <v>38131.846412614</v>
      </c>
      <c r="X34" s="18">
        <f>'7_비용인력'!X23</f>
        <v>39242.7306718733</v>
      </c>
      <c r="Y34" s="18">
        <f>'7_비용인력'!Y23</f>
        <v>39242.7306718733</v>
      </c>
      <c r="Z34" s="18">
        <f>'7_비용인력'!Z23</f>
        <v>39242.7306718733</v>
      </c>
      <c r="AA34" s="18">
        <f>'7_비용인력'!AA23</f>
        <v>39242.7306718733</v>
      </c>
      <c r="AB34" s="35">
        <f>'7_비용인력'!AB23</f>
        <v>350071.4</v>
      </c>
      <c r="AC34" s="24">
        <f>'7_비용인력'!AC23</f>
        <v>1155000</v>
      </c>
      <c r="AD34" s="24">
        <f>'7_비용인력'!AD23</f>
        <v>2240000</v>
      </c>
      <c r="AE34" s="24">
        <f>'7_비용인력'!AE23</f>
        <v>5460000</v>
      </c>
      <c r="AF34" s="36">
        <f>'7_비용인력'!AF23</f>
        <v>9235071.4</v>
      </c>
    </row>
    <row r="35">
      <c r="A35" s="15" t="inlineStr">
        <is>
          <t xml:space="preserve">  연구개발비(경상)</t>
        </is>
      </c>
      <c r="C35" s="18">
        <f>'7_비용인력'!C24</f>
        <v>2360.59640615191</v>
      </c>
      <c r="D35" s="18">
        <f>'7_비용인력'!D24</f>
        <v>2419.91844005022</v>
      </c>
      <c r="E35" s="18">
        <f>'7_비용인력'!E24</f>
        <v>2479.24047394852</v>
      </c>
      <c r="F35" s="18">
        <f>'7_비용인력'!F24</f>
        <v>2538.56250784683</v>
      </c>
      <c r="G35" s="18">
        <f>'7_비용인력'!G24</f>
        <v>2597.88454174514</v>
      </c>
      <c r="H35" s="18">
        <f>'7_비용인력'!H24</f>
        <v>2657.20657564344</v>
      </c>
      <c r="I35" s="18">
        <f>'7_비용인력'!I24</f>
        <v>3315.41749843063</v>
      </c>
      <c r="J35" s="18">
        <f>'7_비용인력'!J24</f>
        <v>3623.62842121783</v>
      </c>
      <c r="K35" s="18">
        <f>'7_비용인력'!K24</f>
        <v>3931.83934400502</v>
      </c>
      <c r="L35" s="18">
        <f>'7_비용인력'!L24</f>
        <v>4402.08730382925</v>
      </c>
      <c r="M35" s="18">
        <f>'7_비용인력'!M24</f>
        <v>5150.23526365348</v>
      </c>
      <c r="N35" s="18">
        <f>'7_비용인력'!N24</f>
        <v>6523.38322347772</v>
      </c>
      <c r="O35" s="35">
        <f>'7_비용인력'!O24</f>
        <v>42000</v>
      </c>
      <c r="P35" s="18">
        <f>'7_비용인력'!P24</f>
        <v>10010.2151443817</v>
      </c>
      <c r="Q35" s="18">
        <f>'7_비용인력'!Q24</f>
        <v>13893.0358166242</v>
      </c>
      <c r="R35" s="18">
        <f>'7_비용인력'!R24</f>
        <v>17775.8564888667</v>
      </c>
      <c r="S35" s="18">
        <f>'7_비용인력'!S24</f>
        <v>21599.355127211</v>
      </c>
      <c r="T35" s="18">
        <f>'7_비용인력'!T24</f>
        <v>25422.8537655552</v>
      </c>
      <c r="U35" s="18">
        <f>'7_비용인력'!U24</f>
        <v>31346.3524038994</v>
      </c>
      <c r="V35" s="18">
        <f>'7_비용인력'!V24</f>
        <v>34920.9621533548</v>
      </c>
      <c r="W35" s="18">
        <f>'7_비용인력'!W24</f>
        <v>38131.846412614</v>
      </c>
      <c r="X35" s="18">
        <f>'7_비용인력'!X24</f>
        <v>39242.7306718733</v>
      </c>
      <c r="Y35" s="18">
        <f>'7_비용인력'!Y24</f>
        <v>39242.7306718733</v>
      </c>
      <c r="Z35" s="18">
        <f>'7_비용인력'!Z24</f>
        <v>39242.7306718733</v>
      </c>
      <c r="AA35" s="18">
        <f>'7_비용인력'!AA24</f>
        <v>39242.7306718733</v>
      </c>
      <c r="AB35" s="35">
        <f>'7_비용인력'!AB24</f>
        <v>350071.4</v>
      </c>
      <c r="AC35" s="24">
        <f>'7_비용인력'!AC24</f>
        <v>1056000</v>
      </c>
      <c r="AD35" s="24">
        <f>'7_비용인력'!AD24</f>
        <v>2030000</v>
      </c>
      <c r="AE35" s="24">
        <f>'7_비용인력'!AE24</f>
        <v>4836000</v>
      </c>
      <c r="AF35" s="36">
        <f>'7_비용인력'!AF24</f>
        <v>8314071.4</v>
      </c>
    </row>
    <row r="36">
      <c r="A36" s="15" t="inlineStr">
        <is>
          <t xml:space="preserve">  임차·운영비</t>
        </is>
      </c>
      <c r="C36" s="18">
        <f>'7_비용인력'!C25</f>
        <v>3000</v>
      </c>
      <c r="D36" s="18">
        <f>'7_비용인력'!D25</f>
        <v>3000</v>
      </c>
      <c r="E36" s="18">
        <f>'7_비용인력'!E25</f>
        <v>3000</v>
      </c>
      <c r="F36" s="18">
        <f>'7_비용인력'!F25</f>
        <v>3000</v>
      </c>
      <c r="G36" s="18">
        <f>'7_비용인력'!G25</f>
        <v>3000</v>
      </c>
      <c r="H36" s="18">
        <f>'7_비용인력'!H25</f>
        <v>3000</v>
      </c>
      <c r="I36" s="18">
        <f>'7_비용인력'!I25</f>
        <v>3000</v>
      </c>
      <c r="J36" s="18">
        <f>'7_비용인력'!J25</f>
        <v>3000</v>
      </c>
      <c r="K36" s="18">
        <f>'7_비용인력'!K25</f>
        <v>3000</v>
      </c>
      <c r="L36" s="18">
        <f>'7_비용인력'!L25</f>
        <v>3000</v>
      </c>
      <c r="M36" s="18">
        <f>'7_비용인력'!M25</f>
        <v>3000</v>
      </c>
      <c r="N36" s="18">
        <f>'7_비용인력'!N25</f>
        <v>3000</v>
      </c>
      <c r="O36" s="35">
        <f>'7_비용인력'!O25</f>
        <v>36000</v>
      </c>
      <c r="P36" s="18">
        <f>'7_비용인력'!P25</f>
        <v>12000</v>
      </c>
      <c r="Q36" s="18">
        <f>'7_비용인력'!Q25</f>
        <v>12000</v>
      </c>
      <c r="R36" s="18">
        <f>'7_비용인력'!R25</f>
        <v>12000</v>
      </c>
      <c r="S36" s="18">
        <f>'7_비용인력'!S25</f>
        <v>12000</v>
      </c>
      <c r="T36" s="18">
        <f>'7_비용인력'!T25</f>
        <v>12000</v>
      </c>
      <c r="U36" s="18">
        <f>'7_비용인력'!U25</f>
        <v>12000</v>
      </c>
      <c r="V36" s="18">
        <f>'7_비용인력'!V25</f>
        <v>12000</v>
      </c>
      <c r="W36" s="18">
        <f>'7_비용인력'!W25</f>
        <v>12000</v>
      </c>
      <c r="X36" s="18">
        <f>'7_비용인력'!X25</f>
        <v>12000</v>
      </c>
      <c r="Y36" s="18">
        <f>'7_비용인력'!Y25</f>
        <v>12000</v>
      </c>
      <c r="Z36" s="18">
        <f>'7_비용인력'!Z25</f>
        <v>12000</v>
      </c>
      <c r="AA36" s="18">
        <f>'7_비용인력'!AA25</f>
        <v>12000</v>
      </c>
      <c r="AB36" s="35">
        <f>'7_비용인력'!AB25</f>
        <v>144000</v>
      </c>
      <c r="AC36" s="24">
        <f>'7_비용인력'!AC25</f>
        <v>300000</v>
      </c>
      <c r="AD36" s="24">
        <f>'7_비용인력'!AD25</f>
        <v>600000</v>
      </c>
      <c r="AE36" s="24">
        <f>'7_비용인력'!AE25</f>
        <v>1000000</v>
      </c>
      <c r="AF36" s="36">
        <f>'7_비용인력'!AF25</f>
        <v>2080000</v>
      </c>
    </row>
    <row r="37">
      <c r="A37" s="15" t="inlineStr">
        <is>
          <t xml:space="preserve">  해외영업·출장비</t>
        </is>
      </c>
      <c r="C37" s="18">
        <f>'7_비용인력'!C26</f>
        <v>5000</v>
      </c>
      <c r="D37" s="18">
        <f>'7_비용인력'!D26</f>
        <v>5000</v>
      </c>
      <c r="E37" s="18">
        <f>'7_비용인력'!E26</f>
        <v>5000</v>
      </c>
      <c r="F37" s="18">
        <f>'7_비용인력'!F26</f>
        <v>5000</v>
      </c>
      <c r="G37" s="18">
        <f>'7_비용인력'!G26</f>
        <v>5000</v>
      </c>
      <c r="H37" s="18">
        <f>'7_비용인력'!H26</f>
        <v>5000</v>
      </c>
      <c r="I37" s="18">
        <f>'7_비용인력'!I26</f>
        <v>5000</v>
      </c>
      <c r="J37" s="18">
        <f>'7_비용인력'!J26</f>
        <v>5000</v>
      </c>
      <c r="K37" s="18">
        <f>'7_비용인력'!K26</f>
        <v>5000</v>
      </c>
      <c r="L37" s="18">
        <f>'7_비용인력'!L26</f>
        <v>5000</v>
      </c>
      <c r="M37" s="18">
        <f>'7_비용인력'!M26</f>
        <v>5000</v>
      </c>
      <c r="N37" s="18">
        <f>'7_비용인력'!N26</f>
        <v>5000</v>
      </c>
      <c r="O37" s="35">
        <f>'7_비용인력'!O26</f>
        <v>60000</v>
      </c>
      <c r="P37" s="18">
        <f>'7_비용인력'!P26</f>
        <v>15000</v>
      </c>
      <c r="Q37" s="18">
        <f>'7_비용인력'!Q26</f>
        <v>15000</v>
      </c>
      <c r="R37" s="18">
        <f>'7_비용인력'!R26</f>
        <v>15000</v>
      </c>
      <c r="S37" s="18">
        <f>'7_비용인력'!S26</f>
        <v>15000</v>
      </c>
      <c r="T37" s="18">
        <f>'7_비용인력'!T26</f>
        <v>15000</v>
      </c>
      <c r="U37" s="18">
        <f>'7_비용인력'!U26</f>
        <v>15000</v>
      </c>
      <c r="V37" s="18">
        <f>'7_비용인력'!V26</f>
        <v>15000</v>
      </c>
      <c r="W37" s="18">
        <f>'7_비용인력'!W26</f>
        <v>15000</v>
      </c>
      <c r="X37" s="18">
        <f>'7_비용인력'!X26</f>
        <v>15000</v>
      </c>
      <c r="Y37" s="18">
        <f>'7_비용인력'!Y26</f>
        <v>15000</v>
      </c>
      <c r="Z37" s="18">
        <f>'7_비용인력'!Z26</f>
        <v>15000</v>
      </c>
      <c r="AA37" s="18">
        <f>'7_비용인력'!AA26</f>
        <v>15000</v>
      </c>
      <c r="AB37" s="35">
        <f>'7_비용인력'!AB26</f>
        <v>180000</v>
      </c>
      <c r="AC37" s="24">
        <f>'7_비용인력'!AC26</f>
        <v>400000</v>
      </c>
      <c r="AD37" s="24">
        <f>'7_비용인력'!AD26</f>
        <v>800000</v>
      </c>
      <c r="AE37" s="24">
        <f>'7_비용인력'!AE26</f>
        <v>1400000</v>
      </c>
      <c r="AF37" s="36">
        <f>'7_비용인력'!AF26</f>
        <v>2840000</v>
      </c>
    </row>
    <row r="38">
      <c r="A38" s="15" t="inlineStr">
        <is>
          <t xml:space="preserve">  감가상각·무형자산상각비</t>
        </is>
      </c>
      <c r="C38" s="18">
        <f>'7_비용인력'!C27</f>
        <v>1500</v>
      </c>
      <c r="D38" s="18">
        <f>'7_비용인력'!D27</f>
        <v>1500</v>
      </c>
      <c r="E38" s="18">
        <f>'7_비용인력'!E27</f>
        <v>1500</v>
      </c>
      <c r="F38" s="18">
        <f>'7_비용인력'!F27</f>
        <v>1500</v>
      </c>
      <c r="G38" s="18">
        <f>'7_비용인력'!G27</f>
        <v>1500</v>
      </c>
      <c r="H38" s="18">
        <f>'7_비용인력'!H27</f>
        <v>1500</v>
      </c>
      <c r="I38" s="18">
        <f>'7_비용인력'!I27</f>
        <v>1500</v>
      </c>
      <c r="J38" s="18">
        <f>'7_비용인력'!J27</f>
        <v>1500</v>
      </c>
      <c r="K38" s="18">
        <f>'7_비용인력'!K27</f>
        <v>1500</v>
      </c>
      <c r="L38" s="18">
        <f>'7_비용인력'!L27</f>
        <v>1500</v>
      </c>
      <c r="M38" s="18">
        <f>'7_비용인력'!M27</f>
        <v>1500</v>
      </c>
      <c r="N38" s="18">
        <f>'7_비용인력'!N27</f>
        <v>1500</v>
      </c>
      <c r="O38" s="35">
        <f>'7_비용인력'!O27</f>
        <v>18000</v>
      </c>
      <c r="P38" s="18">
        <f>'7_비용인력'!P27</f>
        <v>36329.4166666667</v>
      </c>
      <c r="Q38" s="18">
        <f>'7_비용인력'!Q27</f>
        <v>36329.4166666667</v>
      </c>
      <c r="R38" s="18">
        <f>'7_비용인력'!R27</f>
        <v>36329.4166666667</v>
      </c>
      <c r="S38" s="18">
        <f>'7_비용인력'!S27</f>
        <v>36329.4166666667</v>
      </c>
      <c r="T38" s="18">
        <f>'7_비용인력'!T27</f>
        <v>36329.4166666667</v>
      </c>
      <c r="U38" s="18">
        <f>'7_비용인력'!U27</f>
        <v>36329.4166666667</v>
      </c>
      <c r="V38" s="18">
        <f>'7_비용인력'!V27</f>
        <v>36329.4166666667</v>
      </c>
      <c r="W38" s="18">
        <f>'7_비용인력'!W27</f>
        <v>36329.4166666667</v>
      </c>
      <c r="X38" s="18">
        <f>'7_비용인력'!X27</f>
        <v>36329.4166666667</v>
      </c>
      <c r="Y38" s="18">
        <f>'7_비용인력'!Y27</f>
        <v>36329.4166666667</v>
      </c>
      <c r="Z38" s="18">
        <f>'7_비용인력'!Z27</f>
        <v>36329.4166666667</v>
      </c>
      <c r="AA38" s="18">
        <f>'7_비용인력'!AA27</f>
        <v>36329.4166666667</v>
      </c>
      <c r="AB38" s="35">
        <f>'7_비용인력'!AB27</f>
        <v>435953</v>
      </c>
      <c r="AC38" s="24">
        <f>'7_비용인력'!AC27</f>
        <v>485953</v>
      </c>
      <c r="AD38" s="24">
        <f>'7_비용인력'!AD27</f>
        <v>575953</v>
      </c>
      <c r="AE38" s="24">
        <f>'7_비용인력'!AE27</f>
        <v>695953</v>
      </c>
      <c r="AF38" s="36">
        <f>'7_비용인력'!AF27</f>
        <v>2211812</v>
      </c>
    </row>
    <row r="39">
      <c r="A39" s="15" t="inlineStr">
        <is>
          <t xml:space="preserve">  대손상각비</t>
        </is>
      </c>
      <c r="C39" s="18">
        <f>'7_비용인력'!C28</f>
        <v>269.782446417362</v>
      </c>
      <c r="D39" s="18">
        <f>'7_비용인력'!D28</f>
        <v>276.562107434311</v>
      </c>
      <c r="E39" s="18">
        <f>'7_비용인력'!E28</f>
        <v>283.34176845126</v>
      </c>
      <c r="F39" s="18">
        <f>'7_비용인력'!F28</f>
        <v>290.121429468209</v>
      </c>
      <c r="G39" s="18">
        <f>'7_비용인력'!G28</f>
        <v>296.901090485158</v>
      </c>
      <c r="H39" s="18">
        <f>'7_비용인력'!H28</f>
        <v>303.680751502107</v>
      </c>
      <c r="I39" s="18">
        <f>'7_비용인력'!I28</f>
        <v>378.904856963501</v>
      </c>
      <c r="J39" s="18">
        <f>'7_비용인력'!J28</f>
        <v>414.128962424895</v>
      </c>
      <c r="K39" s="18">
        <f>'7_비용인력'!K28</f>
        <v>449.353067886288</v>
      </c>
      <c r="L39" s="18">
        <f>'7_비용인력'!L28</f>
        <v>503.0956918662</v>
      </c>
      <c r="M39" s="18">
        <f>'7_비용인력'!M28</f>
        <v>588.598315846112</v>
      </c>
      <c r="N39" s="18">
        <f>'7_비용인력'!N28</f>
        <v>745.529511254596</v>
      </c>
      <c r="O39" s="35">
        <f>'7_비용인력'!O28</f>
        <v>4800</v>
      </c>
      <c r="P39" s="18">
        <f>'7_비용인력'!P28</f>
        <v>1430.03073491167</v>
      </c>
      <c r="Q39" s="18">
        <f>'7_비용인력'!Q28</f>
        <v>1984.71940237489</v>
      </c>
      <c r="R39" s="18">
        <f>'7_비용인력'!R28</f>
        <v>2539.40806983811</v>
      </c>
      <c r="S39" s="18">
        <f>'7_비용인력'!S28</f>
        <v>3085.62216103014</v>
      </c>
      <c r="T39" s="18">
        <f>'7_비용인력'!T28</f>
        <v>3631.83625222217</v>
      </c>
      <c r="U39" s="18">
        <f>'7_비용인력'!U28</f>
        <v>4478.0503434142</v>
      </c>
      <c r="V39" s="18">
        <f>'7_비용인력'!V28</f>
        <v>4988.70887905068</v>
      </c>
      <c r="W39" s="18">
        <f>'7_비용인력'!W28</f>
        <v>5447.40663037343</v>
      </c>
      <c r="X39" s="18">
        <f>'7_비용인력'!X28</f>
        <v>5606.10438169618</v>
      </c>
      <c r="Y39" s="18">
        <f>'7_비용인력'!Y28</f>
        <v>5606.10438169618</v>
      </c>
      <c r="Z39" s="18">
        <f>'7_비용인력'!Z28</f>
        <v>5606.10438169618</v>
      </c>
      <c r="AA39" s="18">
        <f>'7_비용인력'!AA28</f>
        <v>5606.10438169618</v>
      </c>
      <c r="AB39" s="35">
        <f>'7_비용인력'!AB28</f>
        <v>50010.2</v>
      </c>
      <c r="AC39" s="24">
        <f>'7_비용인력'!AC28</f>
        <v>165000</v>
      </c>
      <c r="AD39" s="24">
        <f>'7_비용인력'!AD28</f>
        <v>350000</v>
      </c>
      <c r="AE39" s="24">
        <f>'7_비용인력'!AE28</f>
        <v>780000</v>
      </c>
      <c r="AF39" s="36">
        <f>'7_비용인력'!AF28</f>
        <v>1349810.2</v>
      </c>
    </row>
    <row r="40">
      <c r="A40" s="15" t="inlineStr">
        <is>
          <t xml:space="preserve">  기타 판관비</t>
        </is>
      </c>
      <c r="C40" s="18">
        <f>'7_비용인력'!C29</f>
        <v>1686.14029010851</v>
      </c>
      <c r="D40" s="18">
        <f>'7_비용인력'!D29</f>
        <v>1728.51317146444</v>
      </c>
      <c r="E40" s="18">
        <f>'7_비용인력'!E29</f>
        <v>1770.88605282037</v>
      </c>
      <c r="F40" s="18">
        <f>'7_비용인력'!F29</f>
        <v>1813.25893417631</v>
      </c>
      <c r="G40" s="18">
        <f>'7_비용인력'!G29</f>
        <v>1855.63181553224</v>
      </c>
      <c r="H40" s="18">
        <f>'7_비용인력'!H29</f>
        <v>1898.00469688817</v>
      </c>
      <c r="I40" s="18">
        <f>'7_비용인력'!I29</f>
        <v>2368.15535602188</v>
      </c>
      <c r="J40" s="18">
        <f>'7_비용인력'!J29</f>
        <v>2588.30601515559</v>
      </c>
      <c r="K40" s="18">
        <f>'7_비용인력'!K29</f>
        <v>2808.4566742893</v>
      </c>
      <c r="L40" s="18">
        <f>'7_비용인력'!L29</f>
        <v>3144.34807416375</v>
      </c>
      <c r="M40" s="18">
        <f>'7_비용인력'!M29</f>
        <v>3678.7394740382</v>
      </c>
      <c r="N40" s="18">
        <f>'7_비용인력'!N29</f>
        <v>4659.55944534123</v>
      </c>
      <c r="O40" s="35">
        <f>'7_비용인력'!O29</f>
        <v>30000</v>
      </c>
      <c r="P40" s="18">
        <f>'7_비용인력'!P29</f>
        <v>8580.18440947</v>
      </c>
      <c r="Q40" s="18">
        <f>'7_비용인력'!Q29</f>
        <v>11908.3164142493</v>
      </c>
      <c r="R40" s="18">
        <f>'7_비용인력'!R29</f>
        <v>15236.4484190286</v>
      </c>
      <c r="S40" s="18">
        <f>'7_비용인력'!S29</f>
        <v>18513.7329661808</v>
      </c>
      <c r="T40" s="18">
        <f>'7_비용인력'!T29</f>
        <v>21791.017513333</v>
      </c>
      <c r="U40" s="18">
        <f>'7_비용인력'!U29</f>
        <v>26868.3020604852</v>
      </c>
      <c r="V40" s="18">
        <f>'7_비용인력'!V29</f>
        <v>29932.2532743041</v>
      </c>
      <c r="W40" s="18">
        <f>'7_비용인력'!W29</f>
        <v>32684.4397822406</v>
      </c>
      <c r="X40" s="18">
        <f>'7_비용인력'!X29</f>
        <v>33636.6262901771</v>
      </c>
      <c r="Y40" s="18">
        <f>'7_비용인력'!Y29</f>
        <v>33636.6262901771</v>
      </c>
      <c r="Z40" s="18">
        <f>'7_비용인력'!Z29</f>
        <v>33636.6262901771</v>
      </c>
      <c r="AA40" s="18">
        <f>'7_비용인력'!AA29</f>
        <v>33636.6262901771</v>
      </c>
      <c r="AB40" s="35">
        <f>'7_비용인력'!AB29</f>
        <v>300061.2</v>
      </c>
      <c r="AC40" s="24">
        <f>'7_비용인력'!AC29</f>
        <v>858000</v>
      </c>
      <c r="AD40" s="24">
        <f>'7_비용인력'!AD29</f>
        <v>1540000</v>
      </c>
      <c r="AE40" s="24">
        <f>'7_비용인력'!AE29</f>
        <v>3744000</v>
      </c>
      <c r="AF40" s="36">
        <f>'7_비용인력'!AF29</f>
        <v>6472061.2</v>
      </c>
    </row>
    <row r="41">
      <c r="A41" s="12" t="inlineStr">
        <is>
          <t>판매비와관리비</t>
        </is>
      </c>
      <c r="C41" s="26">
        <f>SUM(C30:C40)</f>
        <v>48067.6909461035</v>
      </c>
      <c r="D41" s="26">
        <f>SUM(D30:D40)</f>
        <v>48264.301115595</v>
      </c>
      <c r="E41" s="26">
        <f>SUM(E30:E40)</f>
        <v>48460.9112850865</v>
      </c>
      <c r="F41" s="26">
        <f>SUM(F30:F40)</f>
        <v>48657.5214545781</v>
      </c>
      <c r="G41" s="26">
        <f>SUM(G30:G40)</f>
        <v>48854.1316240696</v>
      </c>
      <c r="H41" s="26">
        <f>SUM(H30:H40)</f>
        <v>49050.7417935611</v>
      </c>
      <c r="I41" s="26">
        <f>SUM(I30:I40)</f>
        <v>51232.2408519415</v>
      </c>
      <c r="J41" s="26">
        <f>SUM(J30:J40)</f>
        <v>52253.7399103219</v>
      </c>
      <c r="K41" s="26">
        <f>SUM(K30:K40)</f>
        <v>53275.2389687024</v>
      </c>
      <c r="L41" s="26">
        <f>SUM(L30:L40)</f>
        <v>59225.7750641198</v>
      </c>
      <c r="M41" s="26">
        <f>SUM(M30:M40)</f>
        <v>61705.3511595373</v>
      </c>
      <c r="N41" s="26">
        <f>SUM(N30:N40)</f>
        <v>70648.3558263833</v>
      </c>
      <c r="O41" s="27">
        <f>SUM(O30:O40)</f>
        <v>639696</v>
      </c>
      <c r="P41" s="26">
        <f>SUM(P30:P40)</f>
        <v>162350.338714017</v>
      </c>
      <c r="Q41" s="26">
        <f>SUM(Q30:Q40)</f>
        <v>184602.998737913</v>
      </c>
      <c r="R41" s="26">
        <f>SUM(R30:R40)</f>
        <v>206855.65876181</v>
      </c>
      <c r="S41" s="26">
        <f>SUM(S30:S40)</f>
        <v>228854.081497571</v>
      </c>
      <c r="T41" s="26">
        <f>SUM(T30:T40)</f>
        <v>250852.504233332</v>
      </c>
      <c r="U41" s="26">
        <f>SUM(U30:U40)</f>
        <v>281850.926969093</v>
      </c>
      <c r="V41" s="26">
        <f>SUM(V30:V40)</f>
        <v>302782.683038187</v>
      </c>
      <c r="W41" s="26">
        <f>SUM(W30:W40)</f>
        <v>322155.61557787</v>
      </c>
      <c r="X41" s="26">
        <f>SUM(X30:X40)</f>
        <v>332528.548117552</v>
      </c>
      <c r="Y41" s="26">
        <f>SUM(Y30:Y40)</f>
        <v>338140.548117552</v>
      </c>
      <c r="Z41" s="26">
        <f>SUM(Z30:Z40)</f>
        <v>343752.548117552</v>
      </c>
      <c r="AA41" s="26">
        <f>SUM(AA30:AA40)</f>
        <v>354976.548117552</v>
      </c>
      <c r="AB41" s="27">
        <f>SUM(AB30:AB40)</f>
        <v>3309703</v>
      </c>
      <c r="AC41" s="28">
        <f>SUM(AC30:AC40)</f>
        <v>9986153</v>
      </c>
      <c r="AD41" s="28">
        <f>SUM(AD30:AD40)</f>
        <v>19994473</v>
      </c>
      <c r="AE41" s="28">
        <f>SUM(AE30:AE40)</f>
        <v>42300313</v>
      </c>
      <c r="AF41" s="26">
        <f>SUM(AF30:AF40)</f>
        <v>76230338</v>
      </c>
    </row>
    <row r="42">
      <c r="A42" s="32" t="inlineStr">
        <is>
          <t>영업이익(손실)</t>
        </is>
      </c>
      <c r="C42" s="37">
        <f>C26-C41</f>
        <v>-15976.5802476011</v>
      </c>
      <c r="D42" s="37">
        <f>D26-D41</f>
        <v>-15364.3768577706</v>
      </c>
      <c r="E42" s="37">
        <f>E26-E41</f>
        <v>-14752.1734679401</v>
      </c>
      <c r="F42" s="37">
        <f>F26-F41</f>
        <v>-14139.9700781096</v>
      </c>
      <c r="G42" s="37">
        <f>G26-G41</f>
        <v>-13527.7666882791</v>
      </c>
      <c r="H42" s="37">
        <f>H26-H41</f>
        <v>-12915.5632984486</v>
      </c>
      <c r="I42" s="37">
        <f>I26-I41</f>
        <v>-6544.82657528472</v>
      </c>
      <c r="J42" s="37">
        <f>J26-J41</f>
        <v>-3364.08985212089</v>
      </c>
      <c r="K42" s="37">
        <f>K26-K41</f>
        <v>-183.353128957046</v>
      </c>
      <c r="L42" s="37">
        <f>L26-L41</f>
        <v>454.920631243826</v>
      </c>
      <c r="M42" s="37">
        <f>M26-M41</f>
        <v>8268.95839144471</v>
      </c>
      <c r="N42" s="37">
        <f>N26-N41</f>
        <v>17951.7104373599</v>
      </c>
      <c r="O42" s="38">
        <f>O26-O41</f>
        <v>-70093.1107344632</v>
      </c>
      <c r="P42" s="37">
        <f>P26-P41</f>
        <v>-48430.9953446328</v>
      </c>
      <c r="Q42" s="37">
        <f>Q26-Q41</f>
        <v>-26907.4427723496</v>
      </c>
      <c r="R42" s="37">
        <f>R26-R41</f>
        <v>-5383.8902000665</v>
      </c>
      <c r="S42" s="37">
        <f>S26-S41</f>
        <v>15721.6962705218</v>
      </c>
      <c r="T42" s="37">
        <f>T26-T41</f>
        <v>36827.28274111</v>
      </c>
      <c r="U42" s="37">
        <f>U26-U41</f>
        <v>76382.8692116982</v>
      </c>
      <c r="V42" s="37">
        <f>V26-V41</f>
        <v>95734.8556822865</v>
      </c>
      <c r="W42" s="37">
        <f>W26-W41</f>
        <v>112563.665682287</v>
      </c>
      <c r="X42" s="37">
        <f>X26-X41</f>
        <v>110942.475682286</v>
      </c>
      <c r="Y42" s="37">
        <f>Y26-Y41</f>
        <v>105330.475682286</v>
      </c>
      <c r="Z42" s="37">
        <f>Z26-Z41</f>
        <v>99718.4756822865</v>
      </c>
      <c r="AA42" s="37">
        <f>AA26-AA41</f>
        <v>88494.4756822865</v>
      </c>
      <c r="AB42" s="38">
        <f>AB26-AB41</f>
        <v>660993.944</v>
      </c>
      <c r="AC42" s="39">
        <f>AC26-AC41</f>
        <v>3087930.16290429</v>
      </c>
      <c r="AD42" s="39">
        <f>AD26-AD41</f>
        <v>7930515.51401019</v>
      </c>
      <c r="AE42" s="39">
        <f>AE26-AE41</f>
        <v>21411992.5449323</v>
      </c>
      <c r="AF42" s="37">
        <f>AF26-AF41</f>
        <v>33021339.0551124</v>
      </c>
    </row>
    <row r="43">
      <c r="A43" s="15" t="inlineStr">
        <is>
          <t xml:space="preserve">  영업이익률</t>
        </is>
      </c>
      <c r="C43" s="14">
        <f>IFERROR(C42/C14,0)</f>
        <v>-0.236880945513925</v>
      </c>
      <c r="D43" s="14">
        <f>IFERROR(D42/D14,0)</f>
        <v>-0.222219551337776</v>
      </c>
      <c r="E43" s="14">
        <f>IFERROR(E42/E14,0)</f>
        <v>-0.208259778268134</v>
      </c>
      <c r="F43" s="14">
        <f>IFERROR(F42/F14,0)</f>
        <v>-0.194952439108384</v>
      </c>
      <c r="G43" s="14">
        <f>IFERROR(G42/G14,0)</f>
        <v>-0.182252839370495</v>
      </c>
      <c r="H43" s="14">
        <f>IFERROR(H42/H14,0)</f>
        <v>-0.170120275777294</v>
      </c>
      <c r="I43" s="14">
        <f>IFERROR(I42/I14,0)</f>
        <v>-0.0690920314691576</v>
      </c>
      <c r="J43" s="14">
        <f>IFERROR(J42/J14,0)</f>
        <v>-0.0324931618636163</v>
      </c>
      <c r="K43" s="14">
        <f>IFERROR(K42/K14,0)</f>
        <v>-0.00163215201640456</v>
      </c>
      <c r="L43" s="14">
        <f>IFERROR(L42/L14,0)</f>
        <v>0.00361697099457423</v>
      </c>
      <c r="M43" s="14">
        <f>IFERROR(M42/M14,0)</f>
        <v>0.0561942375221244</v>
      </c>
      <c r="N43" s="14">
        <f>IFERROR(N42/N14,0)</f>
        <v>0.0963165651599776</v>
      </c>
      <c r="O43" s="30">
        <f>IFERROR(O42/O14,0)</f>
        <v>-0.0584109256120527</v>
      </c>
      <c r="P43" s="14">
        <f>IFERROR(P42/P14,0)</f>
        <v>-0.169335505042919</v>
      </c>
      <c r="Q43" s="14">
        <f>IFERROR(Q42/Q14,0)</f>
        <v>-0.0677865161698741</v>
      </c>
      <c r="R43" s="14">
        <f>IFERROR(R42/R14,0)</f>
        <v>-0.0106006794733265</v>
      </c>
      <c r="S43" s="14">
        <f>IFERROR(S42/S14,0)</f>
        <v>0.0254757313923249</v>
      </c>
      <c r="T43" s="14">
        <f>IFERROR(T42/T14,0)</f>
        <v>0.0507006376162704</v>
      </c>
      <c r="U43" s="14">
        <f>IFERROR(U42/U14,0)</f>
        <v>0.0852858536126479</v>
      </c>
      <c r="V43" s="14">
        <f>IFERROR(V42/V14,0)</f>
        <v>0.0959515357613975</v>
      </c>
      <c r="W43" s="14">
        <f>IFERROR(W42/W14,0)</f>
        <v>0.103318581960321</v>
      </c>
      <c r="X43" s="14">
        <f>IFERROR(X42/X14,0)</f>
        <v>0.0989479218800416</v>
      </c>
      <c r="Y43" s="14">
        <f>IFERROR(Y42/Y14,0)</f>
        <v>0.0939426636669381</v>
      </c>
      <c r="Z43" s="14">
        <f>IFERROR(Z42/Z14,0)</f>
        <v>0.0889374054538347</v>
      </c>
      <c r="AA43" s="14">
        <f>IFERROR(AA42/AA14,0)</f>
        <v>0.0789268890276278</v>
      </c>
      <c r="AB43" s="30">
        <f>IFERROR(AB42/AB14,0)</f>
        <v>0.0660859128737737</v>
      </c>
      <c r="AC43" s="31">
        <f>IFERROR(AC42/AC14,0)</f>
        <v>0.0935736413001299</v>
      </c>
      <c r="AD43" s="31">
        <f>IFERROR(AD42/AD14,0)</f>
        <v>0.113293078771574</v>
      </c>
      <c r="AE43" s="31">
        <f>IFERROR(AE42/AE14,0)</f>
        <v>0.137256362467515</v>
      </c>
      <c r="AF43" s="14">
        <f>IFERROR(AF42/AF14,0)</f>
        <v>0.122209806614015</v>
      </c>
    </row>
    <row r="44"/>
    <row r="45">
      <c r="A45" s="3" t="inlineStr">
        <is>
          <t>Ⅳ. 영업외손익 · 법인세</t>
        </is>
      </c>
    </row>
    <row r="46">
      <c r="A46" s="12" t="inlineStr">
        <is>
          <t>영업외수익</t>
        </is>
      </c>
      <c r="C46" s="25">
        <f>C47</f>
        <v>5416.66666666667</v>
      </c>
      <c r="D46" s="25">
        <f>D47</f>
        <v>5416.66666666667</v>
      </c>
      <c r="E46" s="25">
        <f>E47</f>
        <v>5416.66666666667</v>
      </c>
      <c r="F46" s="25">
        <f>F47</f>
        <v>5416.66666666667</v>
      </c>
      <c r="G46" s="25">
        <f>G47</f>
        <v>5416.66666666667</v>
      </c>
      <c r="H46" s="25">
        <f>H47</f>
        <v>5416.66666666667</v>
      </c>
      <c r="I46" s="25">
        <f>I47</f>
        <v>5416.66666666667</v>
      </c>
      <c r="J46" s="25">
        <f>J47</f>
        <v>5416.66666666667</v>
      </c>
      <c r="K46" s="25">
        <f>K47</f>
        <v>5416.66666666667</v>
      </c>
      <c r="L46" s="25">
        <f>L47</f>
        <v>5416.66666666667</v>
      </c>
      <c r="M46" s="25">
        <f>M47</f>
        <v>5416.66666666667</v>
      </c>
      <c r="N46" s="25">
        <f>N47</f>
        <v>5416.66666666667</v>
      </c>
      <c r="O46" s="23">
        <f>O47</f>
        <v>65000</v>
      </c>
      <c r="P46" s="25">
        <f>P47</f>
        <v>3333.33333333333</v>
      </c>
      <c r="Q46" s="25">
        <f>Q47</f>
        <v>3333.33333333333</v>
      </c>
      <c r="R46" s="25">
        <f>R47</f>
        <v>3333.33333333333</v>
      </c>
      <c r="S46" s="25">
        <f>S47</f>
        <v>3333.33333333333</v>
      </c>
      <c r="T46" s="25">
        <f>T47</f>
        <v>3333.33333333333</v>
      </c>
      <c r="U46" s="25">
        <f>U47</f>
        <v>3333.33333333333</v>
      </c>
      <c r="V46" s="25">
        <f>V47</f>
        <v>3333.33333333333</v>
      </c>
      <c r="W46" s="25">
        <f>W47</f>
        <v>3333.33333333333</v>
      </c>
      <c r="X46" s="25">
        <f>X47</f>
        <v>3333.33333333333</v>
      </c>
      <c r="Y46" s="25">
        <f>Y47</f>
        <v>3333.33333333333</v>
      </c>
      <c r="Z46" s="25">
        <f>Z47</f>
        <v>3333.33333333333</v>
      </c>
      <c r="AA46" s="25">
        <f>AA47</f>
        <v>3333.33333333333</v>
      </c>
      <c r="AB46" s="23">
        <f>AB47</f>
        <v>40000</v>
      </c>
      <c r="AC46" s="34">
        <f>AC47</f>
        <v>30000</v>
      </c>
      <c r="AD46" s="34">
        <f>AD47</f>
        <v>0</v>
      </c>
      <c r="AE46" s="34">
        <f>AE47</f>
        <v>0</v>
      </c>
      <c r="AF46" s="25">
        <f>AF47</f>
        <v>135000</v>
      </c>
    </row>
    <row r="47">
      <c r="A47" s="15" t="inlineStr">
        <is>
          <t xml:space="preserve">  (정부보조금수익)</t>
        </is>
      </c>
      <c r="C47" s="40">
        <f>'7_비용인력'!C33</f>
        <v>5416.66666666667</v>
      </c>
      <c r="D47" s="40">
        <f>'7_비용인력'!D33</f>
        <v>5416.66666666667</v>
      </c>
      <c r="E47" s="40">
        <f>'7_비용인력'!E33</f>
        <v>5416.66666666667</v>
      </c>
      <c r="F47" s="40">
        <f>'7_비용인력'!F33</f>
        <v>5416.66666666667</v>
      </c>
      <c r="G47" s="40">
        <f>'7_비용인력'!G33</f>
        <v>5416.66666666667</v>
      </c>
      <c r="H47" s="40">
        <f>'7_비용인력'!H33</f>
        <v>5416.66666666667</v>
      </c>
      <c r="I47" s="40">
        <f>'7_비용인력'!I33</f>
        <v>5416.66666666667</v>
      </c>
      <c r="J47" s="40">
        <f>'7_비용인력'!J33</f>
        <v>5416.66666666667</v>
      </c>
      <c r="K47" s="40">
        <f>'7_비용인력'!K33</f>
        <v>5416.66666666667</v>
      </c>
      <c r="L47" s="40">
        <f>'7_비용인력'!L33</f>
        <v>5416.66666666667</v>
      </c>
      <c r="M47" s="40">
        <f>'7_비용인력'!M33</f>
        <v>5416.66666666667</v>
      </c>
      <c r="N47" s="40">
        <f>'7_비용인력'!N33</f>
        <v>5416.66666666667</v>
      </c>
      <c r="O47" s="41">
        <f>'7_비용인력'!O33</f>
        <v>65000</v>
      </c>
      <c r="P47" s="40">
        <f>'7_비용인력'!P33</f>
        <v>3333.33333333333</v>
      </c>
      <c r="Q47" s="40">
        <f>'7_비용인력'!Q33</f>
        <v>3333.33333333333</v>
      </c>
      <c r="R47" s="40">
        <f>'7_비용인력'!R33</f>
        <v>3333.33333333333</v>
      </c>
      <c r="S47" s="40">
        <f>'7_비용인력'!S33</f>
        <v>3333.33333333333</v>
      </c>
      <c r="T47" s="40">
        <f>'7_비용인력'!T33</f>
        <v>3333.33333333333</v>
      </c>
      <c r="U47" s="40">
        <f>'7_비용인력'!U33</f>
        <v>3333.33333333333</v>
      </c>
      <c r="V47" s="40">
        <f>'7_비용인력'!V33</f>
        <v>3333.33333333333</v>
      </c>
      <c r="W47" s="40">
        <f>'7_비용인력'!W33</f>
        <v>3333.33333333333</v>
      </c>
      <c r="X47" s="40">
        <f>'7_비용인력'!X33</f>
        <v>3333.33333333333</v>
      </c>
      <c r="Y47" s="40">
        <f>'7_비용인력'!Y33</f>
        <v>3333.33333333333</v>
      </c>
      <c r="Z47" s="40">
        <f>'7_비용인력'!Z33</f>
        <v>3333.33333333333</v>
      </c>
      <c r="AA47" s="40">
        <f>'7_비용인력'!AA33</f>
        <v>3333.33333333333</v>
      </c>
      <c r="AB47" s="41">
        <f>'7_비용인력'!AB33</f>
        <v>40000</v>
      </c>
      <c r="AC47" s="42">
        <f>'7_비용인력'!AC33</f>
        <v>30000</v>
      </c>
      <c r="AD47" s="42">
        <f>'7_비용인력'!AD33</f>
        <v>0</v>
      </c>
      <c r="AE47" s="42">
        <f>'7_비용인력'!AE33</f>
        <v>0</v>
      </c>
      <c r="AF47" s="40">
        <f>'7_비용인력'!AF33</f>
        <v>135000</v>
      </c>
    </row>
    <row r="48">
      <c r="A48" s="12" t="inlineStr">
        <is>
          <t>영업외비용</t>
        </is>
      </c>
      <c r="C48" s="25">
        <f>C49</f>
        <v>4799.086</v>
      </c>
      <c r="D48" s="25">
        <f>D49</f>
        <v>4799.086</v>
      </c>
      <c r="E48" s="25">
        <f>E49</f>
        <v>4799.086</v>
      </c>
      <c r="F48" s="25">
        <f>F49</f>
        <v>4799.086</v>
      </c>
      <c r="G48" s="25">
        <f>G49</f>
        <v>4799.086</v>
      </c>
      <c r="H48" s="25">
        <f>H49</f>
        <v>4799.086</v>
      </c>
      <c r="I48" s="25">
        <f>I49</f>
        <v>4799.086</v>
      </c>
      <c r="J48" s="25">
        <f>J49</f>
        <v>4799.086</v>
      </c>
      <c r="K48" s="25">
        <f>K49</f>
        <v>4799.086</v>
      </c>
      <c r="L48" s="25">
        <f>L49</f>
        <v>4799.086</v>
      </c>
      <c r="M48" s="25">
        <f>M49</f>
        <v>4799.086</v>
      </c>
      <c r="N48" s="25">
        <f>N49</f>
        <v>4799.086</v>
      </c>
      <c r="O48" s="23">
        <f>O49</f>
        <v>57589.032</v>
      </c>
      <c r="P48" s="25">
        <f>P49</f>
        <v>6400</v>
      </c>
      <c r="Q48" s="25">
        <f>Q49</f>
        <v>6400</v>
      </c>
      <c r="R48" s="25">
        <f>R49</f>
        <v>6400</v>
      </c>
      <c r="S48" s="25">
        <f>S49</f>
        <v>6400</v>
      </c>
      <c r="T48" s="25">
        <f>T49</f>
        <v>6400</v>
      </c>
      <c r="U48" s="25">
        <f>U49</f>
        <v>6400</v>
      </c>
      <c r="V48" s="25">
        <f>V49</f>
        <v>6400</v>
      </c>
      <c r="W48" s="25">
        <f>W49</f>
        <v>6400</v>
      </c>
      <c r="X48" s="25">
        <f>X49</f>
        <v>6400</v>
      </c>
      <c r="Y48" s="25">
        <f>Y49</f>
        <v>6400</v>
      </c>
      <c r="Z48" s="25">
        <f>Z49</f>
        <v>6400</v>
      </c>
      <c r="AA48" s="25">
        <f>AA49</f>
        <v>6400</v>
      </c>
      <c r="AB48" s="23">
        <f>AB49</f>
        <v>76800</v>
      </c>
      <c r="AC48" s="34">
        <f>AC49</f>
        <v>192000</v>
      </c>
      <c r="AD48" s="34">
        <f>AD49</f>
        <v>384000</v>
      </c>
      <c r="AE48" s="34">
        <f>AE49</f>
        <v>528000</v>
      </c>
      <c r="AF48" s="25">
        <f>AF49</f>
        <v>1238389.032</v>
      </c>
    </row>
    <row r="49">
      <c r="A49" s="15" t="inlineStr">
        <is>
          <t xml:space="preserve">  (이자비용)</t>
        </is>
      </c>
      <c r="C49" s="40">
        <f>'7_비용인력'!C34</f>
        <v>4799.086</v>
      </c>
      <c r="D49" s="40">
        <f>'7_비용인력'!D34</f>
        <v>4799.086</v>
      </c>
      <c r="E49" s="40">
        <f>'7_비용인력'!E34</f>
        <v>4799.086</v>
      </c>
      <c r="F49" s="40">
        <f>'7_비용인력'!F34</f>
        <v>4799.086</v>
      </c>
      <c r="G49" s="40">
        <f>'7_비용인력'!G34</f>
        <v>4799.086</v>
      </c>
      <c r="H49" s="40">
        <f>'7_비용인력'!H34</f>
        <v>4799.086</v>
      </c>
      <c r="I49" s="40">
        <f>'7_비용인력'!I34</f>
        <v>4799.086</v>
      </c>
      <c r="J49" s="40">
        <f>'7_비용인력'!J34</f>
        <v>4799.086</v>
      </c>
      <c r="K49" s="40">
        <f>'7_비용인력'!K34</f>
        <v>4799.086</v>
      </c>
      <c r="L49" s="40">
        <f>'7_비용인력'!L34</f>
        <v>4799.086</v>
      </c>
      <c r="M49" s="40">
        <f>'7_비용인력'!M34</f>
        <v>4799.086</v>
      </c>
      <c r="N49" s="40">
        <f>'7_비용인력'!N34</f>
        <v>4799.086</v>
      </c>
      <c r="O49" s="41">
        <f>'7_비용인력'!O34</f>
        <v>57589.032</v>
      </c>
      <c r="P49" s="40">
        <f>'7_비용인력'!P34</f>
        <v>6400</v>
      </c>
      <c r="Q49" s="40">
        <f>'7_비용인력'!Q34</f>
        <v>6400</v>
      </c>
      <c r="R49" s="40">
        <f>'7_비용인력'!R34</f>
        <v>6400</v>
      </c>
      <c r="S49" s="40">
        <f>'7_비용인력'!S34</f>
        <v>6400</v>
      </c>
      <c r="T49" s="40">
        <f>'7_비용인력'!T34</f>
        <v>6400</v>
      </c>
      <c r="U49" s="40">
        <f>'7_비용인력'!U34</f>
        <v>6400</v>
      </c>
      <c r="V49" s="40">
        <f>'7_비용인력'!V34</f>
        <v>6400</v>
      </c>
      <c r="W49" s="40">
        <f>'7_비용인력'!W34</f>
        <v>6400</v>
      </c>
      <c r="X49" s="40">
        <f>'7_비용인력'!X34</f>
        <v>6400</v>
      </c>
      <c r="Y49" s="40">
        <f>'7_비용인력'!Y34</f>
        <v>6400</v>
      </c>
      <c r="Z49" s="40">
        <f>'7_비용인력'!Z34</f>
        <v>6400</v>
      </c>
      <c r="AA49" s="40">
        <f>'7_비용인력'!AA34</f>
        <v>6400</v>
      </c>
      <c r="AB49" s="41">
        <f>'7_비용인력'!AB34</f>
        <v>76800</v>
      </c>
      <c r="AC49" s="42">
        <f>'7_비용인력'!AC34</f>
        <v>192000</v>
      </c>
      <c r="AD49" s="42">
        <f>'7_비용인력'!AD34</f>
        <v>384000</v>
      </c>
      <c r="AE49" s="42">
        <f>'7_비용인력'!AE34</f>
        <v>528000</v>
      </c>
      <c r="AF49" s="40">
        <f>'7_비용인력'!AF34</f>
        <v>1238389.032</v>
      </c>
    </row>
    <row r="50">
      <c r="A50" s="12" t="inlineStr">
        <is>
          <t>법인세차감전순이익</t>
        </is>
      </c>
      <c r="C50" s="26">
        <f>C42+C46-C48</f>
        <v>-15358.9995809344</v>
      </c>
      <c r="D50" s="26">
        <f>D42+D46-D48</f>
        <v>-14746.7961911039</v>
      </c>
      <c r="E50" s="26">
        <f>E42+E46-E48</f>
        <v>-14134.5928012734</v>
      </c>
      <c r="F50" s="26">
        <f>F42+F46-F48</f>
        <v>-13522.3894114429</v>
      </c>
      <c r="G50" s="26">
        <f>G42+G46-G48</f>
        <v>-12910.1860216124</v>
      </c>
      <c r="H50" s="26">
        <f>H42+H46-H48</f>
        <v>-12297.9826317819</v>
      </c>
      <c r="I50" s="26">
        <f>I42+I46-I48</f>
        <v>-5927.24590861806</v>
      </c>
      <c r="J50" s="26">
        <f>J42+J46-J48</f>
        <v>-2746.50918545423</v>
      </c>
      <c r="K50" s="26">
        <f>K42+K46-K48</f>
        <v>434.227537709621</v>
      </c>
      <c r="L50" s="26">
        <f>L42+L46-L48</f>
        <v>1072.50129791049</v>
      </c>
      <c r="M50" s="26">
        <f>M42+M46-M48</f>
        <v>8886.53905811138</v>
      </c>
      <c r="N50" s="26">
        <f>N42+N46-N48</f>
        <v>18569.2911040266</v>
      </c>
      <c r="O50" s="27">
        <f>O42+O46-O48</f>
        <v>-62682.1427344632</v>
      </c>
      <c r="P50" s="26">
        <f>P42+P46-P48</f>
        <v>-51497.6620112995</v>
      </c>
      <c r="Q50" s="26">
        <f>Q42+Q46-Q48</f>
        <v>-29974.1094390163</v>
      </c>
      <c r="R50" s="26">
        <f>R42+R46-R48</f>
        <v>-8450.55686673316</v>
      </c>
      <c r="S50" s="26">
        <f>S42+S46-S48</f>
        <v>12655.0296038551</v>
      </c>
      <c r="T50" s="26">
        <f>T42+T46-T48</f>
        <v>33760.6160744433</v>
      </c>
      <c r="U50" s="26">
        <f>U42+U46-U48</f>
        <v>73316.2025450316</v>
      </c>
      <c r="V50" s="26">
        <f>V42+V46-V48</f>
        <v>92668.1890156198</v>
      </c>
      <c r="W50" s="26">
        <f>W42+W46-W48</f>
        <v>109496.99901562</v>
      </c>
      <c r="X50" s="26">
        <f>X42+X46-X48</f>
        <v>107875.80901562</v>
      </c>
      <c r="Y50" s="26">
        <f>Y42+Y46-Y48</f>
        <v>102263.80901562</v>
      </c>
      <c r="Z50" s="26">
        <f>Z42+Z46-Z48</f>
        <v>96651.8090156198</v>
      </c>
      <c r="AA50" s="26">
        <f>AA42+AA46-AA48</f>
        <v>85427.8090156198</v>
      </c>
      <c r="AB50" s="27">
        <f>AB42+AB46-AB48</f>
        <v>624193.944</v>
      </c>
      <c r="AC50" s="28">
        <f>AC42+AC46-AC48</f>
        <v>2925930.16290429</v>
      </c>
      <c r="AD50" s="28">
        <f>AD42+AD46-AD48</f>
        <v>7546515.51401019</v>
      </c>
      <c r="AE50" s="28">
        <f>AE42+AE46-AE48</f>
        <v>20883992.5449323</v>
      </c>
      <c r="AF50" s="26">
        <f>AF42+AF46-AF48</f>
        <v>31917950.0231124</v>
      </c>
    </row>
    <row r="51">
      <c r="A51" s="15" t="inlineStr">
        <is>
          <t>법인세등</t>
        </is>
      </c>
      <c r="B51" s="29" t="inlineStr">
        <is>
          <t>이월결손금 공제 후 산출(7_비용인력)</t>
        </is>
      </c>
      <c r="C51" s="18">
        <f>'7_비용인력'!C49</f>
        <v>0</v>
      </c>
      <c r="D51" s="18">
        <f>'7_비용인력'!D49</f>
        <v>0</v>
      </c>
      <c r="E51" s="18">
        <f>'7_비용인력'!E49</f>
        <v>0</v>
      </c>
      <c r="F51" s="18">
        <f>'7_비용인력'!F49</f>
        <v>0</v>
      </c>
      <c r="G51" s="18">
        <f>'7_비용인력'!G49</f>
        <v>0</v>
      </c>
      <c r="H51" s="18">
        <f>'7_비용인력'!H49</f>
        <v>0</v>
      </c>
      <c r="I51" s="18">
        <f>'7_비용인력'!I49</f>
        <v>0</v>
      </c>
      <c r="J51" s="18">
        <f>'7_비용인력'!J49</f>
        <v>0</v>
      </c>
      <c r="K51" s="18">
        <f>'7_비용인력'!K49</f>
        <v>0</v>
      </c>
      <c r="L51" s="18">
        <f>'7_비용인력'!L49</f>
        <v>0</v>
      </c>
      <c r="M51" s="18">
        <f>'7_비용인력'!M49</f>
        <v>0</v>
      </c>
      <c r="N51" s="18">
        <f>'7_비용인력'!N49</f>
        <v>0</v>
      </c>
      <c r="O51" s="23">
        <f>SUM(C51:N51)</f>
        <v>0</v>
      </c>
      <c r="P51" s="18">
        <f>'7_비용인력'!P49</f>
        <v>0</v>
      </c>
      <c r="Q51" s="18">
        <f>'7_비용인력'!Q49</f>
        <v>0</v>
      </c>
      <c r="R51" s="18">
        <f>'7_비용인력'!R49</f>
        <v>0</v>
      </c>
      <c r="S51" s="18">
        <f>'7_비용인력'!S49</f>
        <v>0</v>
      </c>
      <c r="T51" s="18">
        <f>'7_비용인력'!T49</f>
        <v>0</v>
      </c>
      <c r="U51" s="18">
        <f>'7_비용인력'!U49</f>
        <v>0</v>
      </c>
      <c r="V51" s="18">
        <f>'7_비용인력'!V49</f>
        <v>0</v>
      </c>
      <c r="W51" s="18">
        <f>'7_비용인력'!W49</f>
        <v>0</v>
      </c>
      <c r="X51" s="18">
        <f>'7_비용인력'!X49</f>
        <v>0</v>
      </c>
      <c r="Y51" s="18">
        <f>'7_비용인력'!Y49</f>
        <v>0</v>
      </c>
      <c r="Z51" s="18">
        <f>'7_비용인력'!Z49</f>
        <v>0</v>
      </c>
      <c r="AA51" s="18">
        <f>'7_비용인력'!AA49</f>
        <v>0</v>
      </c>
      <c r="AB51" s="23">
        <f>SUM(P51:AA51)</f>
        <v>0</v>
      </c>
      <c r="AC51" s="24">
        <f>'7_비용인력'!AC49</f>
        <v>78179.1921173607</v>
      </c>
      <c r="AD51" s="24">
        <f>'7_비용인력'!AD49</f>
        <v>1638233.41308224</v>
      </c>
      <c r="AE51" s="24">
        <f>'7_비용인력'!AE49</f>
        <v>4591926.19587363</v>
      </c>
      <c r="AF51" s="25">
        <f>O51+AB51+AC51+AD51+AE51</f>
        <v>6308338.80107323</v>
      </c>
    </row>
    <row r="52">
      <c r="A52" s="32" t="inlineStr">
        <is>
          <t>당기순이익(손실)</t>
        </is>
      </c>
      <c r="C52" s="37">
        <f>C50-C51</f>
        <v>-15358.9995809344</v>
      </c>
      <c r="D52" s="37">
        <f>D50-D51</f>
        <v>-14746.7961911039</v>
      </c>
      <c r="E52" s="37">
        <f>E50-E51</f>
        <v>-14134.5928012734</v>
      </c>
      <c r="F52" s="37">
        <f>F50-F51</f>
        <v>-13522.3894114429</v>
      </c>
      <c r="G52" s="37">
        <f>G50-G51</f>
        <v>-12910.1860216124</v>
      </c>
      <c r="H52" s="37">
        <f>H50-H51</f>
        <v>-12297.9826317819</v>
      </c>
      <c r="I52" s="37">
        <f>I50-I51</f>
        <v>-5927.24590861806</v>
      </c>
      <c r="J52" s="37">
        <f>J50-J51</f>
        <v>-2746.50918545423</v>
      </c>
      <c r="K52" s="37">
        <f>K50-K51</f>
        <v>434.227537709621</v>
      </c>
      <c r="L52" s="37">
        <f>L50-L51</f>
        <v>1072.50129791049</v>
      </c>
      <c r="M52" s="37">
        <f>M50-M51</f>
        <v>8886.53905811138</v>
      </c>
      <c r="N52" s="37">
        <f>N50-N51</f>
        <v>18569.2911040266</v>
      </c>
      <c r="O52" s="38">
        <f>O50-O51</f>
        <v>-62682.1427344632</v>
      </c>
      <c r="P52" s="37">
        <f>P50-P51</f>
        <v>-51497.6620112995</v>
      </c>
      <c r="Q52" s="37">
        <f>Q50-Q51</f>
        <v>-29974.1094390163</v>
      </c>
      <c r="R52" s="37">
        <f>R50-R51</f>
        <v>-8450.55686673316</v>
      </c>
      <c r="S52" s="37">
        <f>S50-S51</f>
        <v>12655.0296038551</v>
      </c>
      <c r="T52" s="37">
        <f>T50-T51</f>
        <v>33760.6160744433</v>
      </c>
      <c r="U52" s="37">
        <f>U50-U51</f>
        <v>73316.2025450316</v>
      </c>
      <c r="V52" s="37">
        <f>V50-V51</f>
        <v>92668.1890156198</v>
      </c>
      <c r="W52" s="37">
        <f>W50-W51</f>
        <v>109496.99901562</v>
      </c>
      <c r="X52" s="37">
        <f>X50-X51</f>
        <v>107875.80901562</v>
      </c>
      <c r="Y52" s="37">
        <f>Y50-Y51</f>
        <v>102263.80901562</v>
      </c>
      <c r="Z52" s="37">
        <f>Z50-Z51</f>
        <v>96651.8090156198</v>
      </c>
      <c r="AA52" s="37">
        <f>AA50-AA51</f>
        <v>85427.8090156198</v>
      </c>
      <c r="AB52" s="38">
        <f>AB50-AB51</f>
        <v>624193.944</v>
      </c>
      <c r="AC52" s="39">
        <f>AC50-AC51</f>
        <v>2847750.97078692</v>
      </c>
      <c r="AD52" s="39">
        <f>AD50-AD51</f>
        <v>5908282.10092795</v>
      </c>
      <c r="AE52" s="39">
        <f>AE50-AE51</f>
        <v>16292066.3490587</v>
      </c>
      <c r="AF52" s="37">
        <f>AF50-AF51</f>
        <v>25609611.2220391</v>
      </c>
    </row>
    <row r="53">
      <c r="A53" s="15" t="inlineStr">
        <is>
          <t xml:space="preserve">  순이익률</t>
        </is>
      </c>
      <c r="C53" s="14">
        <f>IFERROR(C52/C14,0)</f>
        <v>-0.227724224239165</v>
      </c>
      <c r="D53" s="14">
        <f>IFERROR(D52/D14,0)</f>
        <v>-0.213287298508262</v>
      </c>
      <c r="E53" s="14">
        <f>IFERROR(E52/E14,0)</f>
        <v>-0.199541251945067</v>
      </c>
      <c r="F53" s="14">
        <f>IFERROR(F52/F14,0)</f>
        <v>-0.186437650417336</v>
      </c>
      <c r="G53" s="14">
        <f>IFERROR(G52/G14,0)</f>
        <v>-0.173932483717271</v>
      </c>
      <c r="H53" s="14">
        <f>IFERROR(H52/H14,0)</f>
        <v>-0.161985671741814</v>
      </c>
      <c r="I53" s="14">
        <f>IFERROR(I52/I14,0)</f>
        <v>-0.062572393039438</v>
      </c>
      <c r="J53" s="14">
        <f>IFERROR(J52/J14,0)</f>
        <v>-0.0265280570513329</v>
      </c>
      <c r="K53" s="14">
        <f>IFERROR(K52/K14,0)</f>
        <v>0.0038653572768708</v>
      </c>
      <c r="L53" s="14">
        <f>IFERROR(L52/L14,0)</f>
        <v>0.00852721512229309</v>
      </c>
      <c r="M53" s="14">
        <f>IFERROR(M52/M14,0)</f>
        <v>0.0603911959573784</v>
      </c>
      <c r="N53" s="14">
        <f>IFERROR(N52/N14,0)</f>
        <v>0.0996300794198082</v>
      </c>
      <c r="O53" s="30">
        <f>IFERROR(O52/O14,0)</f>
        <v>-0.052235118945386</v>
      </c>
      <c r="P53" s="14">
        <f>IFERROR(P52/P14,0)</f>
        <v>-0.180057885309998</v>
      </c>
      <c r="Q53" s="14">
        <f>IFERROR(Q52/Q14,0)</f>
        <v>-0.0755122094416715</v>
      </c>
      <c r="R53" s="14">
        <f>IFERROR(R52/R14,0)</f>
        <v>-0.0166388320315764</v>
      </c>
      <c r="S53" s="14">
        <f>IFERROR(S52/S14,0)</f>
        <v>0.0205064472307754</v>
      </c>
      <c r="T53" s="14">
        <f>IFERROR(T52/T14,0)</f>
        <v>0.0464787145260013</v>
      </c>
      <c r="U53" s="14">
        <f>IFERROR(U52/U14,0)</f>
        <v>0.0818617444228341</v>
      </c>
      <c r="V53" s="14">
        <f>IFERROR(V52/V14,0)</f>
        <v>0.0928779281997851</v>
      </c>
      <c r="W53" s="14">
        <f>IFERROR(W52/W14,0)</f>
        <v>0.100503786889243</v>
      </c>
      <c r="X53" s="14">
        <f>IFERROR(X52/X14,0)</f>
        <v>0.0962128081023894</v>
      </c>
      <c r="Y53" s="14">
        <f>IFERROR(Y52/Y14,0)</f>
        <v>0.091207549889286</v>
      </c>
      <c r="Z53" s="14">
        <f>IFERROR(Z52/Z14,0)</f>
        <v>0.0862022916761825</v>
      </c>
      <c r="AA53" s="14">
        <f>IFERROR(AA52/AA14,0)</f>
        <v>0.0761917752499756</v>
      </c>
      <c r="AB53" s="30">
        <f>IFERROR(AB52/AB14,0)</f>
        <v>0.0624066634406581</v>
      </c>
      <c r="AC53" s="31">
        <f>IFERROR(AC52/AC14,0)</f>
        <v>0.0862954839632401</v>
      </c>
      <c r="AD53" s="31">
        <f>IFERROR(AD52/AD14,0)</f>
        <v>0.0844040300132564</v>
      </c>
      <c r="AE53" s="31">
        <f>IFERROR(AE52/AE14,0)</f>
        <v>0.104436322750376</v>
      </c>
      <c r="AF53" s="14">
        <f>IFERROR(AF52/AF14,0)</f>
        <v>0.0947794887930496</v>
      </c>
    </row>
    <row r="54"/>
    <row r="55">
      <c r="A55" s="3" t="inlineStr">
        <is>
          <t>참고 지표</t>
        </is>
      </c>
    </row>
    <row r="56">
      <c r="A56" s="15" t="inlineStr">
        <is>
          <t>EBITDA(영업이익 + 감가·상각)</t>
        </is>
      </c>
      <c r="C56" s="43">
        <f>C42+C38</f>
        <v>-14476.5802476011</v>
      </c>
      <c r="D56" s="43">
        <f>D42+D38</f>
        <v>-13864.3768577706</v>
      </c>
      <c r="E56" s="43">
        <f>E42+E38</f>
        <v>-13252.1734679401</v>
      </c>
      <c r="F56" s="43">
        <f>F42+F38</f>
        <v>-12639.9700781096</v>
      </c>
      <c r="G56" s="43">
        <f>G42+G38</f>
        <v>-12027.7666882791</v>
      </c>
      <c r="H56" s="43">
        <f>H42+H38</f>
        <v>-11415.5632984486</v>
      </c>
      <c r="I56" s="43">
        <f>I42+I38</f>
        <v>-5044.82657528472</v>
      </c>
      <c r="J56" s="43">
        <f>J42+J38</f>
        <v>-1864.08985212089</v>
      </c>
      <c r="K56" s="43">
        <f>K42+K38</f>
        <v>1316.64687104295</v>
      </c>
      <c r="L56" s="43">
        <f>L42+L38</f>
        <v>1954.92063124383</v>
      </c>
      <c r="M56" s="43">
        <f>M42+M38</f>
        <v>9768.95839144471</v>
      </c>
      <c r="N56" s="43">
        <f>N42+N38</f>
        <v>19451.7104373599</v>
      </c>
      <c r="O56" s="44">
        <f>O42+O38</f>
        <v>-52093.1107344632</v>
      </c>
      <c r="P56" s="43">
        <f>P42+P38</f>
        <v>-12101.5786779661</v>
      </c>
      <c r="Q56" s="43">
        <f>Q42+Q38</f>
        <v>9421.97389431706</v>
      </c>
      <c r="R56" s="43">
        <f>R42+R38</f>
        <v>30945.5264666002</v>
      </c>
      <c r="S56" s="43">
        <f>S42+S38</f>
        <v>52051.1129371885</v>
      </c>
      <c r="T56" s="43">
        <f>T42+T38</f>
        <v>73156.6994077766</v>
      </c>
      <c r="U56" s="43">
        <f>U42+U38</f>
        <v>112712.285878365</v>
      </c>
      <c r="V56" s="43">
        <f>V42+V38</f>
        <v>132064.272348953</v>
      </c>
      <c r="W56" s="43">
        <f>W42+W38</f>
        <v>148893.082348953</v>
      </c>
      <c r="X56" s="43">
        <f>X42+X38</f>
        <v>147271.892348953</v>
      </c>
      <c r="Y56" s="43">
        <f>Y42+Y38</f>
        <v>141659.892348953</v>
      </c>
      <c r="Z56" s="43">
        <f>Z42+Z38</f>
        <v>136047.892348953</v>
      </c>
      <c r="AA56" s="43">
        <f>AA42+AA38</f>
        <v>124823.892348953</v>
      </c>
      <c r="AB56" s="44">
        <f>AB42+AB38</f>
        <v>1096946.944</v>
      </c>
      <c r="AC56" s="45">
        <f>AC42+AC38</f>
        <v>3573883.16290429</v>
      </c>
      <c r="AD56" s="45">
        <f>AD42+AD38</f>
        <v>8506468.51401019</v>
      </c>
      <c r="AE56" s="45">
        <f>AE42+AE38</f>
        <v>22107945.5449323</v>
      </c>
      <c r="AF56" s="43">
        <f>AF42+AF38</f>
        <v>35233151.0551124</v>
      </c>
    </row>
    <row r="57">
      <c r="A57" s="15" t="inlineStr">
        <is>
          <t xml:space="preserve">  EBITDA 마진</t>
        </is>
      </c>
      <c r="C57" s="14">
        <f>IFERROR(C56/C14,0)</f>
        <v>-0.214640803207862</v>
      </c>
      <c r="D57" s="14">
        <f>IFERROR(D56/D14,0)</f>
        <v>-0.200524605288722</v>
      </c>
      <c r="E57" s="14">
        <f>IFERROR(E56/E14,0)</f>
        <v>-0.18708393810593</v>
      </c>
      <c r="F57" s="14">
        <f>IFERROR(F56/F14,0)</f>
        <v>-0.174271443530091</v>
      </c>
      <c r="G57" s="14">
        <f>IFERROR(G56/G14,0)</f>
        <v>-0.162044089075252</v>
      </c>
      <c r="H57" s="14">
        <f>IFERROR(H56/H14,0)</f>
        <v>-0.150362685049788</v>
      </c>
      <c r="I57" s="14">
        <f>IFERROR(I56/I14,0)</f>
        <v>-0.0532569217055001</v>
      </c>
      <c r="J57" s="14">
        <f>IFERROR(J56/J14,0)</f>
        <v>-0.0180049213772047</v>
      </c>
      <c r="K57" s="14">
        <f>IFERROR(K56/K14,0)</f>
        <v>0.011720377272476</v>
      </c>
      <c r="L57" s="14">
        <f>IFERROR(L56/L14,0)</f>
        <v>0.0155431315580714</v>
      </c>
      <c r="M57" s="14">
        <f>IFERROR(M56/M14,0)</f>
        <v>0.0663879466077084</v>
      </c>
      <c r="N57" s="14">
        <f>IFERROR(N56/N14,0)</f>
        <v>0.104364536312592</v>
      </c>
      <c r="O57" s="30">
        <f>IFERROR(O56/O14,0)</f>
        <v>-0.0434109256120527</v>
      </c>
      <c r="P57" s="14">
        <f>IFERROR(P56/P14,0)</f>
        <v>-0.0423123027447157</v>
      </c>
      <c r="Q57" s="14">
        <f>IFERROR(Q56/Q14,0)</f>
        <v>0.0237362870616442</v>
      </c>
      <c r="R57" s="14">
        <f>IFERROR(R56/R14,0)</f>
        <v>0.0609305901523993</v>
      </c>
      <c r="S57" s="14">
        <f>IFERROR(S56/S14,0)</f>
        <v>0.0843445992749338</v>
      </c>
      <c r="T57" s="14">
        <f>IFERROR(T56/T14,0)</f>
        <v>0.100715856012252</v>
      </c>
      <c r="U57" s="14">
        <f>IFERROR(U56/U14,0)</f>
        <v>0.125849730613379</v>
      </c>
      <c r="V57" s="14">
        <f>IFERROR(V56/V14,0)</f>
        <v>0.13236317807954</v>
      </c>
      <c r="W57" s="14">
        <f>IFERROR(W56/W14,0)</f>
        <v>0.136664189450041</v>
      </c>
      <c r="X57" s="14">
        <f>IFERROR(X56/X14,0)</f>
        <v>0.131349581029737</v>
      </c>
      <c r="Y57" s="14">
        <f>IFERROR(Y56/Y14,0)</f>
        <v>0.126344322816633</v>
      </c>
      <c r="Z57" s="14">
        <f>IFERROR(Z56/Z14,0)</f>
        <v>0.12133906460353</v>
      </c>
      <c r="AA57" s="14">
        <f>IFERROR(AA56/AA14,0)</f>
        <v>0.111328548177323</v>
      </c>
      <c r="AB57" s="30">
        <f>IFERROR(AB56/AB14,0)</f>
        <v>0.109672321246466</v>
      </c>
      <c r="AC57" s="31">
        <f>IFERROR(AC56/AC14,0)</f>
        <v>0.108299489784978</v>
      </c>
      <c r="AD57" s="31">
        <f>IFERROR(AD56/AD14,0)</f>
        <v>0.121520978771574</v>
      </c>
      <c r="AE57" s="31">
        <f>IFERROR(AE56/AE14,0)</f>
        <v>0.141717599647002</v>
      </c>
      <c r="AF57" s="14">
        <f>IFERROR(AF56/AF14,0)</f>
        <v>0.130395577528254</v>
      </c>
    </row>
    <row r="58">
      <c r="A58" s="15" t="inlineStr">
        <is>
          <t>인원(기말, 명)</t>
        </is>
      </c>
      <c r="B58" s="29" t="inlineStr">
        <is>
          <t>7_비용인력</t>
        </is>
      </c>
      <c r="C58" s="17">
        <f>'7_비용인력'!C14</f>
        <v>7</v>
      </c>
      <c r="D58" s="17">
        <f>'7_비용인력'!D14</f>
        <v>7</v>
      </c>
      <c r="E58" s="17">
        <f>'7_비용인력'!E14</f>
        <v>7</v>
      </c>
      <c r="F58" s="17">
        <f>'7_비용인력'!F14</f>
        <v>7</v>
      </c>
      <c r="G58" s="17">
        <f>'7_비용인력'!G14</f>
        <v>7</v>
      </c>
      <c r="H58" s="17">
        <f>'7_비용인력'!H14</f>
        <v>7</v>
      </c>
      <c r="I58" s="17">
        <f>'7_비용인력'!I14</f>
        <v>7</v>
      </c>
      <c r="J58" s="17">
        <f>'7_비용인력'!J14</f>
        <v>7</v>
      </c>
      <c r="K58" s="17">
        <f>'7_비용인력'!K14</f>
        <v>7</v>
      </c>
      <c r="L58" s="17">
        <f>'7_비용인력'!L14</f>
        <v>8</v>
      </c>
      <c r="M58" s="17">
        <f>'7_비용인력'!M14</f>
        <v>8</v>
      </c>
      <c r="N58" s="17">
        <f>'7_비용인력'!N14</f>
        <v>9</v>
      </c>
      <c r="O58" s="46">
        <f>'7_비용인력'!O14</f>
        <v>9</v>
      </c>
      <c r="P58" s="17">
        <f>'7_비용인력'!P14</f>
        <v>10</v>
      </c>
      <c r="Q58" s="17">
        <f>'7_비용인력'!Q14</f>
        <v>11</v>
      </c>
      <c r="R58" s="17">
        <f>'7_비용인력'!R14</f>
        <v>12</v>
      </c>
      <c r="S58" s="17">
        <f>'7_비용인력'!S14</f>
        <v>13</v>
      </c>
      <c r="T58" s="17">
        <f>'7_비용인력'!T14</f>
        <v>14</v>
      </c>
      <c r="U58" s="17">
        <f>'7_비용인력'!U14</f>
        <v>15</v>
      </c>
      <c r="V58" s="17">
        <f>'7_비용인력'!V14</f>
        <v>16</v>
      </c>
      <c r="W58" s="17">
        <f>'7_비용인력'!W14</f>
        <v>17</v>
      </c>
      <c r="X58" s="17">
        <f>'7_비용인력'!X14</f>
        <v>18</v>
      </c>
      <c r="Y58" s="17">
        <f>'7_비용인력'!Y14</f>
        <v>19</v>
      </c>
      <c r="Z58" s="17">
        <f>'7_비용인력'!Z14</f>
        <v>20</v>
      </c>
      <c r="AA58" s="17">
        <f>'7_비용인력'!AA14</f>
        <v>22</v>
      </c>
      <c r="AB58" s="46">
        <f>'7_비용인력'!AB14</f>
        <v>22</v>
      </c>
      <c r="AC58" s="47">
        <f>'7_비용인력'!AC14</f>
        <v>85</v>
      </c>
      <c r="AD58" s="47">
        <f>'7_비용인력'!AD14</f>
        <v>130</v>
      </c>
      <c r="AE58" s="47">
        <f>'7_비용인력'!AE14</f>
        <v>260</v>
      </c>
    </row>
    <row r="59">
      <c r="A59" s="15" t="inlineStr">
        <is>
          <t>인당 매출(백만원, 연환산)</t>
        </is>
      </c>
      <c r="B59" s="29" t="inlineStr">
        <is>
          <t>매출 ÷ 평균 인원</t>
        </is>
      </c>
      <c r="O59" s="46">
        <f>IFERROR(O14/1000/'7_비용인력'!O15,0)</f>
        <v>163.636363636364</v>
      </c>
      <c r="AB59" s="46">
        <f>IFERROR(AB14/1000/'7_비용인력'!AB15,0)</f>
        <v>641.842139037433</v>
      </c>
      <c r="AC59" s="47">
        <f>IFERROR(AC14/1000/'7_비용인력'!AC15,0)</f>
        <v>616.822429906542</v>
      </c>
      <c r="AD59" s="47">
        <f>IFERROR(AD14/1000/'7_비용인력'!AD15,0)</f>
        <v>651.162790697674</v>
      </c>
      <c r="AE59" s="47">
        <f>IFERROR(AE14/1000/'7_비용인력'!AE15,0)</f>
        <v>800</v>
      </c>
    </row>
    <row r="60">
      <c r="A60" s="15" t="inlineStr">
        <is>
          <t>추정 유료 이용자(명, 평균)</t>
        </is>
      </c>
      <c r="B60" s="29" t="inlineStr">
        <is>
          <t>구독형 매출 ÷ ARPU(120만원)</t>
        </is>
      </c>
      <c r="C60" s="18">
        <f>'5_매출_제품지역'!C49</f>
        <v>674.456116043404</v>
      </c>
      <c r="D60" s="18">
        <f>'5_매출_제품지역'!D49</f>
        <v>691.405268585777</v>
      </c>
      <c r="E60" s="18">
        <f>'5_매출_제품지역'!E49</f>
        <v>708.35442112815</v>
      </c>
      <c r="F60" s="18">
        <f>'5_매출_제품지역'!F49</f>
        <v>725.303573670523</v>
      </c>
      <c r="G60" s="18">
        <f>'5_매출_제품지역'!G49</f>
        <v>742.252726212896</v>
      </c>
      <c r="H60" s="18">
        <f>'5_매출_제품지역'!H49</f>
        <v>759.201878755269</v>
      </c>
      <c r="I60" s="18">
        <f>'5_매출_제품지역'!I49</f>
        <v>847.262142408752</v>
      </c>
      <c r="J60" s="18">
        <f>'5_매출_제품지역'!J49</f>
        <v>935.322406062236</v>
      </c>
      <c r="K60" s="18">
        <f>'5_매출_제품지역'!K49</f>
        <v>1023.38266971572</v>
      </c>
      <c r="L60" s="18">
        <f>'5_매출_제품지역'!L49</f>
        <v>1157.7392296655</v>
      </c>
      <c r="M60" s="18">
        <f>'5_매출_제품지역'!M49</f>
        <v>1371.49578961528</v>
      </c>
      <c r="N60" s="18">
        <f>'5_매출_제품지역'!N49</f>
        <v>1763.82377813649</v>
      </c>
      <c r="O60" s="48">
        <f>'5_매출_제품지역'!AA49</f>
        <v>950</v>
      </c>
      <c r="P60" s="18">
        <f>'5_매출_제품지역'!O49</f>
        <v>2686.98184795086</v>
      </c>
      <c r="Q60" s="18">
        <f>'5_매출_제품지역'!P49</f>
        <v>3769.8687125027</v>
      </c>
      <c r="R60" s="18">
        <f>'5_매출_제품지역'!Q49</f>
        <v>4852.75557705455</v>
      </c>
      <c r="S60" s="18">
        <f>'5_매출_제품지역'!R49</f>
        <v>5919.2017636403</v>
      </c>
      <c r="T60" s="18">
        <f>'5_매출_제품지역'!S49</f>
        <v>6985.64795022604</v>
      </c>
      <c r="U60" s="18">
        <f>'5_매출_제품지역'!T49</f>
        <v>8562.09413681179</v>
      </c>
      <c r="V60" s="18">
        <f>'5_매출_제품지역'!U49</f>
        <v>9559.56254561975</v>
      </c>
      <c r="W60" s="18">
        <f>'5_매출_제품지역'!V49</f>
        <v>10454.9917387414</v>
      </c>
      <c r="X60" s="18">
        <f>'5_매출_제품지역'!W49</f>
        <v>10840.4209318631</v>
      </c>
      <c r="Y60" s="18">
        <f>'5_매출_제품지역'!X49</f>
        <v>10840.4209318631</v>
      </c>
      <c r="Z60" s="18">
        <f>'5_매출_제품지역'!Y49</f>
        <v>10840.4209318631</v>
      </c>
      <c r="AA60" s="18">
        <f>'5_매출_제품지역'!Z49</f>
        <v>10840.4209318631</v>
      </c>
      <c r="AB60" s="48">
        <f>'5_매출_제품지역'!AB49</f>
        <v>8012.73233333333</v>
      </c>
      <c r="AC60" s="24">
        <f>'5_매출_제품지역'!AC49</f>
        <v>25314.3276219453</v>
      </c>
      <c r="AD60" s="24">
        <f>'5_매출_제품지역'!AD49</f>
        <v>50824.2010157023</v>
      </c>
      <c r="AE60" s="24">
        <f>'5_매출_제품지역'!AE49</f>
        <v>106776.188196769</v>
      </c>
    </row>
    <row r="61">
      <c r="A61" s="15" t="inlineStr">
        <is>
          <t>IR 매출 목표</t>
        </is>
      </c>
      <c r="B61" s="29" t="inlineStr">
        <is>
          <t>IR p.24</t>
        </is>
      </c>
      <c r="O61" s="48">
        <f>'8_가정'!$C$6</f>
        <v>1200000</v>
      </c>
      <c r="AB61" s="48">
        <f>'8_가정'!$D$6</f>
        <v>10005000</v>
      </c>
      <c r="AC61" s="24">
        <f>'8_가정'!$E$6</f>
        <v>33000000</v>
      </c>
      <c r="AD61" s="24">
        <f>'8_가정'!$F$6</f>
        <v>70000000</v>
      </c>
      <c r="AE61" s="24">
        <f>'8_가정'!$G$6</f>
        <v>156000000</v>
      </c>
      <c r="AF61" s="25">
        <f>O61+AB61+AC61+AD61+AE61</f>
        <v>270205000</v>
      </c>
    </row>
    <row r="62">
      <c r="A62" s="15" t="inlineStr">
        <is>
          <t>IR 대비 달성률</t>
        </is>
      </c>
      <c r="O62" s="49">
        <f>IFERROR(O14/O61,0)</f>
        <v>1</v>
      </c>
      <c r="AB62" s="49">
        <f>IFERROR(AB14/AB61,0)</f>
        <v>0.999704147926037</v>
      </c>
      <c r="AC62" s="50">
        <f>IFERROR(AC14/AC61,0)</f>
        <v>1</v>
      </c>
      <c r="AD62" s="50">
        <f>IFERROR(AD14/AD61,0)</f>
        <v>1</v>
      </c>
      <c r="AE62" s="50">
        <f>IFERROR(AE14/AE61,0)</f>
        <v>1</v>
      </c>
      <c r="AF62" s="51">
        <f>IFERROR(AF14/AF61,0)</f>
        <v>0.999989045354453</v>
      </c>
    </row>
    <row r="63"/>
    <row r="64">
      <c r="A64" s="52" t="inlineStr">
        <is>
          <t>※ 매출은 거래처별 빌드(4_매출_거래처)에서 제품 믹스(8_가정)로 배분되며, 2026~27 월별은 거래처별 시작월·램프, 2028~30은 연간 성장·신규 파이프라인으로 산출합니다.</t>
        </is>
      </c>
    </row>
    <row r="65">
      <c r="A65" s="52" t="inlineStr">
        <is>
          <t>※ 2026-01~09는 회계 확정 전 추정치입니다(실적 자료 없음). 확정되면 해당 월 셀을 실적 값으로 덮어쓰세요.</t>
        </is>
      </c>
    </row>
    <row r="66">
      <c r="A66" s="52" t="inlineStr">
        <is>
          <t>※ 매출원가는 제품별 원가율 + 운영성 원가, 판관비는 인원·변동비율·고정비로 산출(7_비용인력·8_가정).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65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3_연간손익 — 2024A~2030E 연간 요약</t>
        </is>
      </c>
    </row>
    <row r="2">
      <c r="A2" s="2" t="inlineStr">
        <is>
          <t>단위: 천원. 2024·2025 = 투자사 양식 IS(2025 감사보고서, 효림회계법인 적정의견), 2026E~ = 손익계산서 시트(선택 시나리오).</t>
        </is>
      </c>
    </row>
    <row r="3"/>
    <row r="4"/>
    <row r="5">
      <c r="A5" s="21" t="inlineStr">
        <is>
          <t>구분</t>
        </is>
      </c>
      <c r="B5" s="11" t="inlineStr">
        <is>
          <t>2024A</t>
        </is>
      </c>
      <c r="C5" s="11" t="inlineStr">
        <is>
          <t>2025A</t>
        </is>
      </c>
      <c r="D5" s="11" t="inlineStr">
        <is>
          <t>2026E</t>
        </is>
      </c>
      <c r="E5" s="11" t="inlineStr">
        <is>
          <t>2027E</t>
        </is>
      </c>
      <c r="F5" s="11" t="inlineStr">
        <is>
          <t>2028E</t>
        </is>
      </c>
      <c r="G5" s="11" t="inlineStr">
        <is>
          <t>2029E</t>
        </is>
      </c>
      <c r="H5" s="11" t="inlineStr">
        <is>
          <t>2030E</t>
        </is>
      </c>
      <c r="I5" s="11" t="inlineStr">
        <is>
          <t>CAGR('25~'30)</t>
        </is>
      </c>
    </row>
    <row r="6">
      <c r="A6" s="22" t="inlineStr"/>
      <c r="B6" s="22" t="inlineStr">
        <is>
          <t>실적</t>
        </is>
      </c>
      <c r="C6" s="22" t="inlineStr">
        <is>
          <t>실적</t>
        </is>
      </c>
      <c r="D6" s="22" t="inlineStr">
        <is>
          <t>추정+계획</t>
        </is>
      </c>
      <c r="E6" s="22" t="inlineStr">
        <is>
          <t>계획</t>
        </is>
      </c>
      <c r="F6" s="22" t="inlineStr">
        <is>
          <t>계획</t>
        </is>
      </c>
      <c r="G6" s="22" t="inlineStr">
        <is>
          <t>계획</t>
        </is>
      </c>
      <c r="H6" s="22" t="inlineStr">
        <is>
          <t>계획</t>
        </is>
      </c>
      <c r="I6" s="22" t="inlineStr"/>
    </row>
    <row r="7">
      <c r="A7" s="12" t="inlineStr">
        <is>
          <t>매출액</t>
        </is>
      </c>
      <c r="B7" s="53" t="n">
        <v>810523.323</v>
      </c>
      <c r="C7" s="53" t="n">
        <v>854163.091</v>
      </c>
      <c r="D7" s="36">
        <f>'2_손익계산서'!O14</f>
        <v>1200000</v>
      </c>
      <c r="E7" s="36">
        <f>'2_손익계산서'!AB14</f>
        <v>10002040</v>
      </c>
      <c r="F7" s="36">
        <f>'2_손익계산서'!AC14</f>
        <v>33000000</v>
      </c>
      <c r="G7" s="36">
        <f>'2_손익계산서'!AD14</f>
        <v>70000000</v>
      </c>
      <c r="H7" s="36">
        <f>'2_손익계산서'!AE14</f>
        <v>156000000</v>
      </c>
      <c r="I7" s="14">
        <f>IFERROR((H7/C7)^(1/5)-1,"n/a")</f>
        <v>1.83345786870168</v>
      </c>
    </row>
    <row r="8">
      <c r="A8" s="54" t="inlineStr">
        <is>
          <t xml:space="preserve">  전년 대비 성장률</t>
        </is>
      </c>
      <c r="C8" s="14">
        <f>C7/B7-1</f>
        <v>0.0538414710121797</v>
      </c>
      <c r="D8" s="14">
        <f>IFERROR(D7/C7-1,0)</f>
        <v>0.404883929830211</v>
      </c>
      <c r="E8" s="14">
        <f>IFERROR(E7/D7-1,0)</f>
        <v>7.33503333333333</v>
      </c>
      <c r="F8" s="14">
        <f>IFERROR(F7/E7-1,0)</f>
        <v>2.29932693730479</v>
      </c>
      <c r="G8" s="14">
        <f>IFERROR(G7/F7-1,0)</f>
        <v>1.12121212121212</v>
      </c>
      <c r="H8" s="14">
        <f>IFERROR(H7/G7-1,0)</f>
        <v>1.22857142857143</v>
      </c>
    </row>
    <row r="9">
      <c r="A9" s="15" t="inlineStr">
        <is>
          <t>매출원가</t>
        </is>
      </c>
      <c r="B9" s="55" t="n">
        <v>333442.717</v>
      </c>
      <c r="C9" s="55" t="n">
        <v>400727.704</v>
      </c>
      <c r="D9" s="18">
        <f>'2_손익계산서'!O25</f>
        <v>630397.110734463</v>
      </c>
      <c r="E9" s="18">
        <f>'2_손익계산서'!AB25</f>
        <v>6031343.056</v>
      </c>
      <c r="F9" s="18">
        <f>'2_손익계산서'!AC25</f>
        <v>19925916.8370957</v>
      </c>
      <c r="G9" s="18">
        <f>'2_손익계산서'!AD25</f>
        <v>42075011.4859898</v>
      </c>
      <c r="H9" s="18">
        <f>'2_손익계산서'!AE25</f>
        <v>92287694.4550677</v>
      </c>
    </row>
    <row r="10">
      <c r="A10" s="32" t="inlineStr">
        <is>
          <t>매출총이익</t>
        </is>
      </c>
      <c r="B10" s="33">
        <f>B7-B9</f>
        <v>477080.606</v>
      </c>
      <c r="C10" s="33">
        <f>C7-C9</f>
        <v>453435.387</v>
      </c>
      <c r="D10" s="33">
        <f>D7-D9</f>
        <v>569602.889265537</v>
      </c>
      <c r="E10" s="33">
        <f>E7-E9</f>
        <v>3970696.944</v>
      </c>
      <c r="F10" s="33">
        <f>F7-F9</f>
        <v>13074083.1629043</v>
      </c>
      <c r="G10" s="33">
        <f>G7-G9</f>
        <v>27924988.5140102</v>
      </c>
      <c r="H10" s="33">
        <f>H7-H9</f>
        <v>63712305.5449323</v>
      </c>
      <c r="I10" s="14">
        <f>IFERROR((H10/C10)^(1/5)-1,"n/a")</f>
        <v>1.68869526377231</v>
      </c>
    </row>
    <row r="11">
      <c r="A11" s="54" t="inlineStr">
        <is>
          <t xml:space="preserve">  매출총이익률</t>
        </is>
      </c>
      <c r="B11" s="14">
        <f>IFERROR(B10/B7,0)</f>
        <v>0.588608115845668</v>
      </c>
      <c r="C11" s="14">
        <f>IFERROR(C10/C7,0)</f>
        <v>0.530853407010535</v>
      </c>
      <c r="D11" s="14">
        <f>IFERROR(D10/D7,0)</f>
        <v>0.474669074387947</v>
      </c>
      <c r="E11" s="14">
        <f>IFERROR(E10/E7,0)</f>
        <v>0.396988708703425</v>
      </c>
      <c r="F11" s="14">
        <f>IFERROR(F10/F7,0)</f>
        <v>0.396184338269827</v>
      </c>
      <c r="G11" s="14">
        <f>IFERROR(G10/G7,0)</f>
        <v>0.398928407343003</v>
      </c>
      <c r="H11" s="14">
        <f>IFERROR(H10/H7,0)</f>
        <v>0.408412215031618</v>
      </c>
    </row>
    <row r="12">
      <c r="A12" s="15" t="inlineStr">
        <is>
          <t>판매비와관리비</t>
        </is>
      </c>
      <c r="B12" s="55" t="n">
        <v>506844.642</v>
      </c>
      <c r="C12" s="55" t="n">
        <v>426639.596</v>
      </c>
      <c r="D12" s="18">
        <f>'2_손익계산서'!O41</f>
        <v>639696</v>
      </c>
      <c r="E12" s="18">
        <f>'2_손익계산서'!AB41</f>
        <v>3309703</v>
      </c>
      <c r="F12" s="18">
        <f>'2_손익계산서'!AC41</f>
        <v>9986153</v>
      </c>
      <c r="G12" s="18">
        <f>'2_손익계산서'!AD41</f>
        <v>19994473</v>
      </c>
      <c r="H12" s="18">
        <f>'2_손익계산서'!AE41</f>
        <v>42300313</v>
      </c>
    </row>
    <row r="13">
      <c r="A13" s="32" t="inlineStr">
        <is>
          <t>영업이익(손실)</t>
        </is>
      </c>
      <c r="B13" s="37">
        <f>B10-B12</f>
        <v>-29764.036</v>
      </c>
      <c r="C13" s="37">
        <f>C10-C12</f>
        <v>26795.791</v>
      </c>
      <c r="D13" s="37">
        <f>D10-D12</f>
        <v>-70093.1107344632</v>
      </c>
      <c r="E13" s="37">
        <f>E10-E12</f>
        <v>660993.944</v>
      </c>
      <c r="F13" s="37">
        <f>F10-F12</f>
        <v>3087930.16290429</v>
      </c>
      <c r="G13" s="37">
        <f>G10-G12</f>
        <v>7930515.51401019</v>
      </c>
      <c r="H13" s="37">
        <f>H10-H12</f>
        <v>21411992.5449323</v>
      </c>
      <c r="I13" s="14">
        <f>IFERROR((H13/C13)^(1/5)-1,"n/a")</f>
        <v>2.80643221565146</v>
      </c>
    </row>
    <row r="14">
      <c r="A14" s="54" t="inlineStr">
        <is>
          <t xml:space="preserve">  영업이익률</t>
        </is>
      </c>
      <c r="B14" s="14">
        <f>IFERROR(B13/B7,0)</f>
        <v>-0.0367219981898041</v>
      </c>
      <c r="C14" s="14">
        <f>IFERROR(C13/C7,0)</f>
        <v>0.0313708134691575</v>
      </c>
      <c r="D14" s="14">
        <f>IFERROR(D13/D7,0)</f>
        <v>-0.0584109256120527</v>
      </c>
      <c r="E14" s="14">
        <f>IFERROR(E13/E7,0)</f>
        <v>0.0660859128737737</v>
      </c>
      <c r="F14" s="14">
        <f>IFERROR(F13/F7,0)</f>
        <v>0.0935736413001299</v>
      </c>
      <c r="G14" s="14">
        <f>IFERROR(G13/G7,0)</f>
        <v>0.113293078771574</v>
      </c>
      <c r="H14" s="14">
        <f>IFERROR(H13/H7,0)</f>
        <v>0.137256362467515</v>
      </c>
    </row>
    <row r="15">
      <c r="A15" s="15" t="inlineStr">
        <is>
          <t>영업외수익</t>
        </is>
      </c>
      <c r="B15" s="55" t="n">
        <v>99422.60000000001</v>
      </c>
      <c r="C15" s="55" t="n">
        <v>35830.08</v>
      </c>
      <c r="D15" s="18">
        <f>'2_손익계산서'!O46</f>
        <v>65000</v>
      </c>
      <c r="E15" s="18">
        <f>'2_손익계산서'!AB46</f>
        <v>40000</v>
      </c>
      <c r="F15" s="18">
        <f>'2_손익계산서'!AC46</f>
        <v>30000</v>
      </c>
      <c r="G15" s="18">
        <f>'2_손익계산서'!AD46</f>
        <v>0</v>
      </c>
      <c r="H15" s="18">
        <f>'2_손익계산서'!AE46</f>
        <v>0</v>
      </c>
    </row>
    <row r="16">
      <c r="A16" s="54" t="inlineStr">
        <is>
          <t xml:space="preserve">  (정부보조금수익)</t>
        </is>
      </c>
      <c r="B16" s="56" t="n">
        <v>88251.93799999999</v>
      </c>
      <c r="C16" s="56" t="n">
        <v>30520.905</v>
      </c>
      <c r="D16" s="40">
        <f>'2_손익계산서'!O47</f>
        <v>65000</v>
      </c>
      <c r="E16" s="40">
        <f>'2_손익계산서'!AB47</f>
        <v>40000</v>
      </c>
      <c r="F16" s="40">
        <f>'2_손익계산서'!AC47</f>
        <v>30000</v>
      </c>
      <c r="G16" s="40">
        <f>'2_손익계산서'!AD47</f>
        <v>0</v>
      </c>
      <c r="H16" s="40">
        <f>'2_손익계산서'!AE47</f>
        <v>0</v>
      </c>
    </row>
    <row r="17">
      <c r="A17" s="15" t="inlineStr">
        <is>
          <t>영업외비용</t>
        </is>
      </c>
      <c r="B17" s="55" t="n">
        <v>62966.483</v>
      </c>
      <c r="C17" s="55" t="n">
        <v>57458.686</v>
      </c>
      <c r="D17" s="18">
        <f>'2_손익계산서'!O48</f>
        <v>57589.032</v>
      </c>
      <c r="E17" s="18">
        <f>'2_손익계산서'!AB48</f>
        <v>76800</v>
      </c>
      <c r="F17" s="18">
        <f>'2_손익계산서'!AC48</f>
        <v>192000</v>
      </c>
      <c r="G17" s="18">
        <f>'2_손익계산서'!AD48</f>
        <v>384000</v>
      </c>
      <c r="H17" s="18">
        <f>'2_손익계산서'!AE48</f>
        <v>528000</v>
      </c>
    </row>
    <row r="18">
      <c r="A18" s="54" t="inlineStr">
        <is>
          <t xml:space="preserve">  (이자비용)</t>
        </is>
      </c>
      <c r="B18" s="56" t="n">
        <v>47544.865</v>
      </c>
      <c r="C18" s="56" t="n">
        <v>49788.161</v>
      </c>
      <c r="D18" s="40">
        <f>'2_손익계산서'!O49</f>
        <v>57589.032</v>
      </c>
      <c r="E18" s="40">
        <f>'2_손익계산서'!AB49</f>
        <v>76800</v>
      </c>
      <c r="F18" s="40">
        <f>'2_손익계산서'!AC49</f>
        <v>192000</v>
      </c>
      <c r="G18" s="40">
        <f>'2_손익계산서'!AD49</f>
        <v>384000</v>
      </c>
      <c r="H18" s="40">
        <f>'2_손익계산서'!AE49</f>
        <v>528000</v>
      </c>
    </row>
    <row r="19">
      <c r="A19" s="12" t="inlineStr">
        <is>
          <t>법인세차감전순이익</t>
        </is>
      </c>
      <c r="B19" s="25">
        <f>B13+B15-B17</f>
        <v>6692.08099999998</v>
      </c>
      <c r="C19" s="25">
        <f>C13+C15-C17</f>
        <v>5167.18499999997</v>
      </c>
      <c r="D19" s="25">
        <f>D13+D15-D17</f>
        <v>-62682.1427344632</v>
      </c>
      <c r="E19" s="25">
        <f>E13+E15-E17</f>
        <v>624193.944</v>
      </c>
      <c r="F19" s="25">
        <f>F13+F15-F17</f>
        <v>2925930.16290429</v>
      </c>
      <c r="G19" s="25">
        <f>G13+G15-G17</f>
        <v>7546515.51401019</v>
      </c>
      <c r="H19" s="25">
        <f>H13+H15-H17</f>
        <v>20883992.5449323</v>
      </c>
    </row>
    <row r="20">
      <c r="A20" s="15" t="inlineStr">
        <is>
          <t>법인세등</t>
        </is>
      </c>
      <c r="B20" s="55" t="n">
        <v>0</v>
      </c>
      <c r="C20" s="55" t="n">
        <v>0</v>
      </c>
      <c r="D20" s="18">
        <f>'2_손익계산서'!O51</f>
        <v>0</v>
      </c>
      <c r="E20" s="18">
        <f>'2_손익계산서'!AB51</f>
        <v>0</v>
      </c>
      <c r="F20" s="18">
        <f>'2_손익계산서'!AC51</f>
        <v>78179.1921173607</v>
      </c>
      <c r="G20" s="18">
        <f>'2_손익계산서'!AD51</f>
        <v>1638233.41308224</v>
      </c>
      <c r="H20" s="18">
        <f>'2_손익계산서'!AE51</f>
        <v>4591926.19587363</v>
      </c>
    </row>
    <row r="21">
      <c r="A21" s="32" t="inlineStr">
        <is>
          <t>당기순이익(손실)</t>
        </is>
      </c>
      <c r="B21" s="37">
        <f>B19-B20</f>
        <v>6692.08099999998</v>
      </c>
      <c r="C21" s="37">
        <f>C19-C20</f>
        <v>5167.18499999997</v>
      </c>
      <c r="D21" s="37">
        <f>D19-D20</f>
        <v>-62682.1427344632</v>
      </c>
      <c r="E21" s="37">
        <f>E19-E20</f>
        <v>624193.944</v>
      </c>
      <c r="F21" s="37">
        <f>F19-F20</f>
        <v>2847750.97078692</v>
      </c>
      <c r="G21" s="37">
        <f>G19-G20</f>
        <v>5908282.10092795</v>
      </c>
      <c r="H21" s="37">
        <f>H19-H20</f>
        <v>16292066.3490587</v>
      </c>
      <c r="I21" s="14">
        <f>IFERROR((H21/C21)^(1/5)-1,"n/a")</f>
        <v>4.00892388037824</v>
      </c>
    </row>
    <row r="22">
      <c r="A22" s="54" t="inlineStr">
        <is>
          <t xml:space="preserve">  순이익률</t>
        </is>
      </c>
      <c r="B22" s="14">
        <f>IFERROR(B21/B7,0)</f>
        <v>0.00825649405772866</v>
      </c>
      <c r="C22" s="14">
        <f>IFERROR(C21/C7,0)</f>
        <v>0.00604941264079973</v>
      </c>
      <c r="D22" s="14">
        <f>IFERROR(D21/D7,0)</f>
        <v>-0.052235118945386</v>
      </c>
      <c r="E22" s="14">
        <f>IFERROR(E21/E7,0)</f>
        <v>0.0624066634406581</v>
      </c>
      <c r="F22" s="14">
        <f>IFERROR(F21/F7,0)</f>
        <v>0.0862954839632401</v>
      </c>
      <c r="G22" s="14">
        <f>IFERROR(G21/G7,0)</f>
        <v>0.0844040300132564</v>
      </c>
      <c r="H22" s="14">
        <f>IFERROR(H21/H7,0)</f>
        <v>0.104436322750376</v>
      </c>
    </row>
    <row r="23">
      <c r="A23" s="15" t="inlineStr">
        <is>
          <t>EBITDA</t>
        </is>
      </c>
      <c r="D23" s="18">
        <f>'2_손익계산서'!O56</f>
        <v>-52093.1107344632</v>
      </c>
      <c r="E23" s="18">
        <f>'2_손익계산서'!AB56</f>
        <v>1096946.944</v>
      </c>
      <c r="F23" s="18">
        <f>'2_손익계산서'!AC56</f>
        <v>3573883.16290429</v>
      </c>
      <c r="G23" s="18">
        <f>'2_손익계산서'!AD56</f>
        <v>8506468.51401019</v>
      </c>
      <c r="H23" s="18">
        <f>'2_손익계산서'!AE56</f>
        <v>22107945.5449323</v>
      </c>
    </row>
    <row r="24">
      <c r="A24" s="15" t="inlineStr">
        <is>
          <t>인원(기말, 명)</t>
        </is>
      </c>
      <c r="D24" s="17">
        <f>'2_손익계산서'!O58</f>
        <v>9</v>
      </c>
      <c r="E24" s="17">
        <f>'2_손익계산서'!AB58</f>
        <v>22</v>
      </c>
      <c r="F24" s="17">
        <f>'2_손익계산서'!AC58</f>
        <v>85</v>
      </c>
      <c r="G24" s="17">
        <f>'2_손익계산서'!AD58</f>
        <v>130</v>
      </c>
      <c r="H24" s="17">
        <f>'2_손익계산서'!AE58</f>
        <v>260</v>
      </c>
    </row>
    <row r="25">
      <c r="A25" s="15" t="inlineStr">
        <is>
          <t>인당 매출(백만원)</t>
        </is>
      </c>
      <c r="D25" s="17">
        <f>'2_손익계산서'!O59</f>
        <v>163.636363636364</v>
      </c>
      <c r="E25" s="17">
        <f>'2_손익계산서'!AB59</f>
        <v>641.842139037433</v>
      </c>
      <c r="F25" s="17">
        <f>'2_손익계산서'!AC59</f>
        <v>616.822429906542</v>
      </c>
      <c r="G25" s="17">
        <f>'2_손익계산서'!AD59</f>
        <v>651.162790697674</v>
      </c>
      <c r="H25" s="17">
        <f>'2_손익계산서'!AE59</f>
        <v>800</v>
      </c>
    </row>
    <row r="26">
      <c r="A26" s="15" t="inlineStr">
        <is>
          <t>추정 유료 이용자(명, 평균)</t>
        </is>
      </c>
      <c r="D26" s="18">
        <f>'2_손익계산서'!O60</f>
        <v>950</v>
      </c>
      <c r="E26" s="18">
        <f>'2_손익계산서'!AB60</f>
        <v>8012.73233333333</v>
      </c>
      <c r="F26" s="18">
        <f>'2_손익계산서'!AC60</f>
        <v>25314.3276219453</v>
      </c>
      <c r="G26" s="18">
        <f>'2_손익계산서'!AD60</f>
        <v>50824.2010157023</v>
      </c>
      <c r="H26" s="18">
        <f>'2_손익계산서'!AE60</f>
        <v>106776.188196769</v>
      </c>
    </row>
    <row r="27">
      <c r="A27" s="15" t="inlineStr">
        <is>
          <t>IR 매출 목표</t>
        </is>
      </c>
      <c r="D27" s="18">
        <f>'8_가정'!$C$6</f>
        <v>1200000</v>
      </c>
      <c r="E27" s="18">
        <f>'8_가정'!$D$6</f>
        <v>10005000</v>
      </c>
      <c r="F27" s="18">
        <f>'8_가정'!$E$6</f>
        <v>33000000</v>
      </c>
      <c r="G27" s="18">
        <f>'8_가정'!$F$6</f>
        <v>70000000</v>
      </c>
      <c r="H27" s="18">
        <f>'8_가정'!$G$6</f>
        <v>156000000</v>
      </c>
    </row>
    <row r="28">
      <c r="A28" s="15" t="inlineStr">
        <is>
          <t>IR 대비 달성률</t>
        </is>
      </c>
      <c r="D28" s="57">
        <f>IFERROR(D7/D27,0)</f>
        <v>1</v>
      </c>
      <c r="E28" s="57">
        <f>IFERROR(E7/E27,0)</f>
        <v>0.999704147926037</v>
      </c>
      <c r="F28" s="57">
        <f>IFERROR(F7/F27,0)</f>
        <v>1</v>
      </c>
      <c r="G28" s="57">
        <f>IFERROR(G7/G27,0)</f>
        <v>1</v>
      </c>
      <c r="H28" s="57">
        <f>IFERROR(H7/H27,0)</f>
        <v>1</v>
      </c>
    </row>
    <row r="29">
      <c r="A29" s="58" t="inlineStr">
        <is>
          <t>검증: 당기순이익 − 손익계산서(0이어야 함)</t>
        </is>
      </c>
      <c r="D29" s="59">
        <f>D21-'2_손익계산서'!O52</f>
        <v>0</v>
      </c>
      <c r="E29" s="59">
        <f>E21-'2_손익계산서'!AB52</f>
        <v>0</v>
      </c>
      <c r="F29" s="59">
        <f>F21-'2_손익계산서'!AC52</f>
        <v>0</v>
      </c>
      <c r="G29" s="59">
        <f>G21-'2_손익계산서'!AD52</f>
        <v>0</v>
      </c>
      <c r="H29" s="59">
        <f>H21-'2_손익계산서'!AE52</f>
        <v>0</v>
      </c>
    </row>
    <row r="30"/>
    <row r="31">
      <c r="A31" s="3" t="inlineStr">
        <is>
          <t>제품별 매출</t>
        </is>
      </c>
    </row>
    <row r="32">
      <c r="A32" s="15" t="inlineStr">
        <is>
          <t>스마트 기저귀(전용 기저귀·패드, 소모품)</t>
        </is>
      </c>
      <c r="D32" s="18">
        <f>'5_매출_제품지역'!AA9</f>
        <v>725943.389830508</v>
      </c>
      <c r="E32" s="18">
        <f>'5_매출_제품지역'!AB9</f>
        <v>7082091.2</v>
      </c>
      <c r="F32" s="18">
        <f>'5_매출_제품지역'!AC9</f>
        <v>22464606.0717049</v>
      </c>
      <c r="G32" s="18">
        <f>'5_매출_제품지역'!AD9</f>
        <v>44405478.0379329</v>
      </c>
      <c r="H32" s="18">
        <f>'5_매출_제품지역'!AE9</f>
        <v>91881051.9461216</v>
      </c>
    </row>
    <row r="33">
      <c r="A33" s="15" t="inlineStr">
        <is>
          <t>센서·BLE 게이트웨이(하드웨어)</t>
        </is>
      </c>
      <c r="D33" s="18">
        <f>'5_매출_제품지역'!AA10</f>
        <v>295707.344632768</v>
      </c>
      <c r="E33" s="18">
        <f>'5_매출_제품지역'!AB10</f>
        <v>1475463.2</v>
      </c>
      <c r="F33" s="18">
        <f>'5_매출_제품지역'!AC10</f>
        <v>4078282.36210037</v>
      </c>
      <c r="G33" s="18">
        <f>'5_매출_제품지역'!AD10</f>
        <v>8375304.34807511</v>
      </c>
      <c r="H33" s="18">
        <f>'5_매출_제품지역'!AE10</f>
        <v>17823389.8230025</v>
      </c>
    </row>
    <row r="34">
      <c r="A34" s="15" t="inlineStr">
        <is>
          <t>앱·웹 모니터링 구독(SW·AI)</t>
        </is>
      </c>
      <c r="D34" s="18">
        <f>'5_매출_제품지역'!AA11</f>
        <v>118349.265536723</v>
      </c>
      <c r="E34" s="18">
        <f>'5_매출_제품지역'!AB11</f>
        <v>1057724.4</v>
      </c>
      <c r="F34" s="18">
        <f>'5_매출_제품지역'!AC11</f>
        <v>3834304.71252908</v>
      </c>
      <c r="G34" s="18">
        <f>'5_매출_제품지역'!AD11</f>
        <v>8208258.83283483</v>
      </c>
      <c r="H34" s="18">
        <f>'5_매출_제품지역'!AE11</f>
        <v>18426984.066999</v>
      </c>
    </row>
    <row r="35">
      <c r="A35" s="15" t="inlineStr">
        <is>
          <t>바이탈 모니터링 센서(60GHz, 2026 Q4 출시)</t>
        </is>
      </c>
      <c r="D35" s="18">
        <f>'5_매출_제품지역'!AA12</f>
        <v>0</v>
      </c>
      <c r="E35" s="18">
        <f>'5_매출_제품지역'!AB12</f>
        <v>239761.2</v>
      </c>
      <c r="F35" s="18">
        <f>'5_매출_제품지역'!AC12</f>
        <v>1805451.26997009</v>
      </c>
      <c r="G35" s="18">
        <f>'5_매출_제품지역'!AD12</f>
        <v>5927126.76010103</v>
      </c>
      <c r="H35" s="18">
        <f>'5_매출_제품지역'!AE12</f>
        <v>17514519.7535902</v>
      </c>
    </row>
    <row r="36">
      <c r="A36" s="15" t="inlineStr">
        <is>
          <t>스마트 욕창 케어(2027 Q4 출시)</t>
        </is>
      </c>
      <c r="D36" s="18">
        <f>'5_매출_제품지역'!AA13</f>
        <v>0</v>
      </c>
      <c r="E36" s="18">
        <f>'5_매출_제품지역'!AB13</f>
        <v>0</v>
      </c>
      <c r="F36" s="18">
        <f>'5_매출_제품지역'!AC13</f>
        <v>422823.364499834</v>
      </c>
      <c r="G36" s="18">
        <f>'5_매출_제품지역'!AD13</f>
        <v>2319896.346888</v>
      </c>
      <c r="H36" s="18">
        <f>'5_매출_제품지역'!AE13</f>
        <v>8182064.0903544</v>
      </c>
    </row>
    <row r="37">
      <c r="A37" s="15" t="inlineStr">
        <is>
          <t>R&amp;D·PoC 용역</t>
        </is>
      </c>
      <c r="D37" s="18">
        <f>'5_매출_제품지역'!AA14</f>
        <v>60000</v>
      </c>
      <c r="E37" s="18">
        <f>'5_매출_제품지역'!AB14</f>
        <v>147000</v>
      </c>
      <c r="F37" s="18">
        <f>'5_매출_제품지역'!AC14</f>
        <v>394532.219195746</v>
      </c>
      <c r="G37" s="18">
        <f>'5_매출_제품지역'!AD14</f>
        <v>763935.674168162</v>
      </c>
      <c r="H37" s="18">
        <f>'5_매출_제품지역'!AE14</f>
        <v>2171990.31993234</v>
      </c>
    </row>
    <row r="38">
      <c r="A38" s="12" t="inlineStr">
        <is>
          <t>합계</t>
        </is>
      </c>
      <c r="D38" s="26">
        <f>SUM(D32:D37)</f>
        <v>1200000</v>
      </c>
      <c r="E38" s="26">
        <f>SUM(E32:E37)</f>
        <v>10002040</v>
      </c>
      <c r="F38" s="26">
        <f>SUM(F32:F37)</f>
        <v>33000000</v>
      </c>
      <c r="G38" s="26">
        <f>SUM(G32:G37)</f>
        <v>70000000</v>
      </c>
      <c r="H38" s="26">
        <f>SUM(H32:H37)</f>
        <v>156000000</v>
      </c>
    </row>
    <row r="39"/>
    <row r="40">
      <c r="A40" s="3" t="inlineStr">
        <is>
          <t>지역별 매출</t>
        </is>
      </c>
    </row>
    <row r="41">
      <c r="A41" s="15" t="inlineStr">
        <is>
          <t>한국</t>
        </is>
      </c>
      <c r="D41" s="18">
        <f>'5_매출_제품지역'!AA19</f>
        <v>45634.9206349206</v>
      </c>
      <c r="E41" s="18">
        <f>'5_매출_제품지역'!AB19</f>
        <v>4986200</v>
      </c>
      <c r="F41" s="18">
        <f>'5_매출_제품지역'!AC19</f>
        <v>10685616.6666667</v>
      </c>
      <c r="G41" s="18">
        <f>'5_매출_제품지역'!AD19</f>
        <v>16525548.3333333</v>
      </c>
      <c r="H41" s="18">
        <f>'5_매출_제품지역'!AE19</f>
        <v>23340155.8333333</v>
      </c>
    </row>
    <row r="42">
      <c r="A42" s="15" t="inlineStr">
        <is>
          <t>일본</t>
        </is>
      </c>
      <c r="D42" s="18">
        <f>'5_매출_제품지역'!AA20</f>
        <v>832000</v>
      </c>
      <c r="E42" s="18">
        <f>'5_매출_제품지역'!AB20</f>
        <v>3600000</v>
      </c>
      <c r="F42" s="18">
        <f>'5_매출_제품지역'!AC20</f>
        <v>11342666.6666667</v>
      </c>
      <c r="G42" s="18">
        <f>'5_매출_제품지역'!AD20</f>
        <v>22652533.3333333</v>
      </c>
      <c r="H42" s="18">
        <f>'5_매출_제품지역'!AE20</f>
        <v>49092800</v>
      </c>
    </row>
    <row r="43">
      <c r="A43" s="15" t="inlineStr">
        <is>
          <t>동남아·APAC</t>
        </is>
      </c>
      <c r="D43" s="18">
        <f>'5_매출_제품지역'!AA21</f>
        <v>216023.389830508</v>
      </c>
      <c r="E43" s="18">
        <f>'5_매출_제품지역'!AB21</f>
        <v>1215840</v>
      </c>
      <c r="F43" s="18">
        <f>'5_매출_제품지역'!AC21</f>
        <v>4140399.82452642</v>
      </c>
      <c r="G43" s="18">
        <f>'5_매출_제품지역'!AD21</f>
        <v>9132664.03668993</v>
      </c>
      <c r="H43" s="18">
        <f>'5_매출_제품지역'!AE21</f>
        <v>21574775.2288734</v>
      </c>
    </row>
    <row r="44">
      <c r="A44" s="15" t="inlineStr">
        <is>
          <t>유럽</t>
        </is>
      </c>
      <c r="D44" s="18">
        <f>'5_매출_제품지역'!AA22</f>
        <v>0</v>
      </c>
      <c r="E44" s="18">
        <f>'5_매출_제품지역'!AB22</f>
        <v>200000</v>
      </c>
      <c r="F44" s="18">
        <f>'5_매출_제품지역'!AC22</f>
        <v>1764705.88235294</v>
      </c>
      <c r="G44" s="18">
        <f>'5_매출_제품지역'!AD22</f>
        <v>4316470.58823529</v>
      </c>
      <c r="H44" s="18">
        <f>'5_매출_제품지역'!AE22</f>
        <v>12626352.9411765</v>
      </c>
    </row>
    <row r="45">
      <c r="A45" s="15" t="inlineStr">
        <is>
          <t>미국</t>
        </is>
      </c>
      <c r="D45" s="18">
        <f>'5_매출_제품지역'!AA23</f>
        <v>0</v>
      </c>
      <c r="E45" s="18">
        <f>'5_매출_제품지역'!AB23</f>
        <v>0</v>
      </c>
      <c r="F45" s="18">
        <f>'5_매출_제품지역'!AC23</f>
        <v>1000000</v>
      </c>
      <c r="G45" s="18">
        <f>'5_매출_제품지역'!AD23</f>
        <v>7500000</v>
      </c>
      <c r="H45" s="18">
        <f>'5_매출_제품지역'!AE23</f>
        <v>30000000</v>
      </c>
    </row>
    <row r="46">
      <c r="A46" s="15" t="inlineStr">
        <is>
          <t>글로벌(삼성채널)</t>
        </is>
      </c>
      <c r="D46" s="18">
        <f>'5_매출_제품지역'!AA24</f>
        <v>0</v>
      </c>
      <c r="E46" s="18">
        <f>'5_매출_제품지역'!AB24</f>
        <v>0</v>
      </c>
      <c r="F46" s="18">
        <f>'5_매출_제품지역'!AC24</f>
        <v>4066610.95978731</v>
      </c>
      <c r="G46" s="18">
        <f>'5_매출_제품지역'!AD24</f>
        <v>9872783.70840811</v>
      </c>
      <c r="H46" s="18">
        <f>'5_매출_제품지역'!AE24</f>
        <v>19365915.9966168</v>
      </c>
    </row>
    <row r="47">
      <c r="A47" s="15" t="inlineStr">
        <is>
          <t>기존 소액·기타</t>
        </is>
      </c>
      <c r="D47" s="18">
        <f>'5_매출_제품지역'!AA25</f>
        <v>106341.689534571</v>
      </c>
      <c r="E47" s="18">
        <f>'5_매출_제품지역'!AB25</f>
        <v>0</v>
      </c>
      <c r="F47" s="18">
        <f>'5_매출_제품지역'!AC25</f>
        <v>0</v>
      </c>
      <c r="G47" s="18">
        <f>'5_매출_제품지역'!AD25</f>
        <v>0</v>
      </c>
      <c r="H47" s="18">
        <f>'5_매출_제품지역'!AE25</f>
        <v>0</v>
      </c>
    </row>
    <row r="48">
      <c r="A48" s="12" t="inlineStr">
        <is>
          <t>합계</t>
        </is>
      </c>
      <c r="D48" s="26">
        <f>SUM(D41:D47)</f>
        <v>1200000</v>
      </c>
      <c r="E48" s="26">
        <f>SUM(E41:E47)</f>
        <v>10002040</v>
      </c>
      <c r="F48" s="26">
        <f>SUM(F41:F47)</f>
        <v>33000000</v>
      </c>
      <c r="G48" s="26">
        <f>SUM(G41:G47)</f>
        <v>70000000</v>
      </c>
      <c r="H48" s="26">
        <f>SUM(H41:H47)</f>
        <v>156000000</v>
      </c>
    </row>
    <row r="49"/>
    <row r="50">
      <c r="A50" s="3" t="inlineStr">
        <is>
          <t>채널별 매출</t>
        </is>
      </c>
    </row>
    <row r="51">
      <c r="A51" s="15" t="inlineStr">
        <is>
          <t>총판</t>
        </is>
      </c>
      <c r="D51" s="18">
        <f>'5_매출_제품지역'!AA30</f>
        <v>964203.389830509</v>
      </c>
      <c r="E51" s="18">
        <f>'5_매출_제품지역'!AB30</f>
        <v>4416200</v>
      </c>
      <c r="F51" s="18">
        <f>'5_매출_제품지역'!AC30</f>
        <v>9665714.37354603</v>
      </c>
      <c r="G51" s="18">
        <f>'5_매출_제품지역'!AD30</f>
        <v>16444073.3582586</v>
      </c>
      <c r="H51" s="18">
        <f>'5_매출_제품지역'!AE30</f>
        <v>24807339.1500499</v>
      </c>
    </row>
    <row r="52">
      <c r="A52" s="15" t="inlineStr">
        <is>
          <t>B2G·제도</t>
        </is>
      </c>
      <c r="D52" s="18">
        <f>'5_매출_제품지역'!AA31</f>
        <v>27777.7777777778</v>
      </c>
      <c r="E52" s="18">
        <f>'5_매출_제품지역'!AB31</f>
        <v>2500000</v>
      </c>
      <c r="F52" s="18">
        <f>'5_매출_제품지역'!AC31</f>
        <v>5766666.66666667</v>
      </c>
      <c r="G52" s="18">
        <f>'5_매출_제품지역'!AD31</f>
        <v>9993333.33333333</v>
      </c>
      <c r="H52" s="18">
        <f>'5_매출_제품지역'!AE31</f>
        <v>15583333.3333333</v>
      </c>
    </row>
    <row r="53">
      <c r="A53" s="15" t="inlineStr">
        <is>
          <t>파트너</t>
        </is>
      </c>
      <c r="D53" s="18">
        <f>'5_매출_제품지역'!AA32</f>
        <v>17857.1428571429</v>
      </c>
      <c r="E53" s="18">
        <f>'5_매출_제품지역'!AB32</f>
        <v>2500000</v>
      </c>
      <c r="F53" s="18">
        <f>'5_매출_제품지역'!AC32</f>
        <v>9316610.95978731</v>
      </c>
      <c r="G53" s="18">
        <f>'5_매출_제품지역'!AD32</f>
        <v>17447783.7084081</v>
      </c>
      <c r="H53" s="18">
        <f>'5_매출_제품지역'!AE32</f>
        <v>29550915.9966168</v>
      </c>
    </row>
    <row r="54">
      <c r="A54" s="15" t="inlineStr">
        <is>
          <t>기관(직접)</t>
        </is>
      </c>
      <c r="D54" s="18">
        <f>'5_매출_제품지역'!AA33</f>
        <v>83820</v>
      </c>
      <c r="E54" s="18">
        <f>'5_매출_제품지역'!AB33</f>
        <v>585840</v>
      </c>
      <c r="F54" s="18">
        <f>'5_매출_제품지역'!AC33</f>
        <v>751008</v>
      </c>
      <c r="G54" s="18">
        <f>'5_매출_제품지역'!AD33</f>
        <v>814809.6</v>
      </c>
      <c r="H54" s="18">
        <f>'5_매출_제품지역'!AE33</f>
        <v>1058411.52</v>
      </c>
    </row>
    <row r="55">
      <c r="A55" s="15" t="inlineStr">
        <is>
          <t>신규 파이프라인</t>
        </is>
      </c>
      <c r="D55" s="18">
        <f>'5_매출_제품지역'!AA34</f>
        <v>0</v>
      </c>
      <c r="E55" s="18">
        <f>'5_매출_제품지역'!AB34</f>
        <v>0</v>
      </c>
      <c r="F55" s="18">
        <f>'5_매출_제품지역'!AC34</f>
        <v>7500000</v>
      </c>
      <c r="G55" s="18">
        <f>'5_매출_제품지역'!AD34</f>
        <v>25300000</v>
      </c>
      <c r="H55" s="18">
        <f>'5_매출_제품지역'!AE34</f>
        <v>85000000</v>
      </c>
    </row>
    <row r="56">
      <c r="A56" s="15" t="inlineStr">
        <is>
          <t>기타</t>
        </is>
      </c>
      <c r="D56" s="18">
        <f>'5_매출_제품지역'!AA35</f>
        <v>106341.689534571</v>
      </c>
      <c r="E56" s="18">
        <f>'5_매출_제품지역'!AB35</f>
        <v>0</v>
      </c>
      <c r="F56" s="18">
        <f>'5_매출_제품지역'!AC35</f>
        <v>0</v>
      </c>
      <c r="G56" s="18">
        <f>'5_매출_제품지역'!AD35</f>
        <v>0</v>
      </c>
      <c r="H56" s="18">
        <f>'5_매출_제품지역'!AE35</f>
        <v>0</v>
      </c>
    </row>
    <row r="57">
      <c r="A57" s="12" t="inlineStr">
        <is>
          <t>합계</t>
        </is>
      </c>
      <c r="D57" s="26">
        <f>SUM(D51:D56)</f>
        <v>1200000</v>
      </c>
      <c r="E57" s="26">
        <f>SUM(E51:E56)</f>
        <v>10002040</v>
      </c>
      <c r="F57" s="26">
        <f>SUM(F51:F56)</f>
        <v>33000000</v>
      </c>
      <c r="G57" s="26">
        <f>SUM(G51:G56)</f>
        <v>70000000</v>
      </c>
      <c r="H57" s="26">
        <f>SUM(H51:H56)</f>
        <v>156000000</v>
      </c>
    </row>
    <row r="58">
      <c r="A58" s="3" t="inlineStr">
        <is>
          <t>근거수준별 매출</t>
        </is>
      </c>
    </row>
    <row r="59">
      <c r="A59" s="15" t="inlineStr">
        <is>
          <t>A 계약·기존 거래</t>
        </is>
      </c>
      <c r="D59" s="18">
        <f>'5_매출_제품지역'!AA39</f>
        <v>1172222.22222222</v>
      </c>
      <c r="E59" s="18">
        <f>'5_매출_제품지역'!AB39</f>
        <v>5235840</v>
      </c>
      <c r="F59" s="18">
        <f>'5_매출_제품지역'!AC39</f>
        <v>10627419.4323696</v>
      </c>
      <c r="G59" s="18">
        <f>'5_매출_제품지역'!AD39</f>
        <v>16325232.6641409</v>
      </c>
      <c r="H59" s="18">
        <f>'5_매출_제품지역'!AE39</f>
        <v>23277271.6994616</v>
      </c>
    </row>
    <row r="60">
      <c r="A60" s="15" t="inlineStr">
        <is>
          <t>B 등록·입찰·협의 단계</t>
        </is>
      </c>
      <c r="D60" s="18">
        <f>'5_매출_제품지역'!AA40</f>
        <v>27777.7777777778</v>
      </c>
      <c r="E60" s="18">
        <f>'5_매출_제품지역'!AB40</f>
        <v>4766200</v>
      </c>
      <c r="F60" s="18">
        <f>'5_매출_제품지역'!AC40</f>
        <v>10805969.6078431</v>
      </c>
      <c r="G60" s="18">
        <f>'5_매출_제품지역'!AD40</f>
        <v>18501983.627451</v>
      </c>
      <c r="H60" s="18">
        <f>'5_매출_제품지역'!AE40</f>
        <v>28356812.3039216</v>
      </c>
    </row>
    <row r="61">
      <c r="A61" s="15" t="inlineStr">
        <is>
          <t>C 신규 파이프라인(미확정)</t>
        </is>
      </c>
      <c r="D61" s="18">
        <f>'5_매출_제품지역'!AA41</f>
        <v>0</v>
      </c>
      <c r="E61" s="18">
        <f>'5_매출_제품지역'!AB41</f>
        <v>0</v>
      </c>
      <c r="F61" s="18">
        <f>'5_매출_제품지역'!AC41</f>
        <v>11566610.9597873</v>
      </c>
      <c r="G61" s="18">
        <f>'5_매출_제품지역'!AD41</f>
        <v>35172783.7084081</v>
      </c>
      <c r="H61" s="18">
        <f>'5_매출_제품지역'!AE41</f>
        <v>104365915.996617</v>
      </c>
    </row>
    <row r="62">
      <c r="A62" s="12" t="inlineStr">
        <is>
          <t>합계</t>
        </is>
      </c>
      <c r="D62" s="26">
        <f>SUM(D59:D61)</f>
        <v>1200000</v>
      </c>
      <c r="E62" s="26">
        <f>SUM(E59:E61)</f>
        <v>10002040</v>
      </c>
      <c r="F62" s="26">
        <f>SUM(F59:F61)</f>
        <v>33000000</v>
      </c>
      <c r="G62" s="26">
        <f>SUM(G59:G61)</f>
        <v>70000000</v>
      </c>
      <c r="H62" s="26">
        <f>SUM(H59:H61)</f>
        <v>156000000</v>
      </c>
    </row>
    <row r="63">
      <c r="A63" s="2" t="inlineStr">
        <is>
          <t xml:space="preserve">  비중 — A 계약·기존 거래</t>
        </is>
      </c>
      <c r="D63" s="14">
        <f>IFERROR(D59/D62,0)</f>
        <v>0.976851851851852</v>
      </c>
      <c r="E63" s="14">
        <f>IFERROR(E59/E62,0)</f>
        <v>0.523477210649028</v>
      </c>
      <c r="F63" s="14">
        <f>IFERROR(F59/F62,0)</f>
        <v>0.322043013102108</v>
      </c>
      <c r="G63" s="14">
        <f>IFERROR(G59/G62,0)</f>
        <v>0.233217609487727</v>
      </c>
      <c r="H63" s="14">
        <f>IFERROR(H59/H62,0)</f>
        <v>0.149213280124754</v>
      </c>
    </row>
    <row r="64">
      <c r="A64" s="2" t="inlineStr">
        <is>
          <t xml:space="preserve">  비중 — B 등록·입찰·협의 단계</t>
        </is>
      </c>
      <c r="D64" s="14">
        <f>IFERROR(D60/D62,0)</f>
        <v>0.0231481481481482</v>
      </c>
      <c r="E64" s="14">
        <f>IFERROR(E60/E62,0)</f>
        <v>0.476522789350972</v>
      </c>
      <c r="F64" s="14">
        <f>IFERROR(F60/F62,0)</f>
        <v>0.327453624480095</v>
      </c>
      <c r="G64" s="14">
        <f>IFERROR(G60/G62,0)</f>
        <v>0.264314051820728</v>
      </c>
      <c r="H64" s="14">
        <f>IFERROR(H60/H62,0)</f>
        <v>0.181774437845651</v>
      </c>
    </row>
    <row r="65">
      <c r="A65" s="2" t="inlineStr">
        <is>
          <t xml:space="preserve">  비중 — C 신규 파이프라인(미확정)</t>
        </is>
      </c>
      <c r="D65" s="14">
        <f>IFERROR(D61/D62,0)</f>
        <v>0</v>
      </c>
      <c r="E65" s="14">
        <f>IFERROR(E61/E62,0)</f>
        <v>0</v>
      </c>
      <c r="F65" s="14">
        <f>IFERROR(F61/F62,0)</f>
        <v>0.350503362417797</v>
      </c>
      <c r="G65" s="14">
        <f>IFERROR(G61/G62,0)</f>
        <v>0.502468338691544</v>
      </c>
      <c r="H65" s="14">
        <f>IFERROR(H61/H62,0)</f>
        <v>0.669012282029595</v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BA66"/>
  <sheetViews>
    <sheetView zoomScale="85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11" customWidth="1" min="3" max="3"/>
    <col width="40" customWidth="1" min="4" max="4"/>
    <col hidden="1" outlineLevel="1" width="10" customWidth="1" min="5" max="22"/>
    <col width="1" customWidth="1" min="23" max="23"/>
    <col outlineLevel="1" width="10.5" customWidth="1" min="24" max="47"/>
    <col width="10.5" customWidth="1" min="48" max="48"/>
    <col width="10.5" customWidth="1" min="49" max="49"/>
    <col width="10.5" customWidth="1" min="50" max="50"/>
    <col width="10.5" customWidth="1" min="51" max="51"/>
    <col width="10.5" customWidth="1" min="52" max="52"/>
    <col width="10.5" customWidth="1" min="53" max="53"/>
  </cols>
  <sheetData>
    <row r="1">
      <c r="A1" s="1" t="inlineStr">
        <is>
          <t>4_매출_거래처 — 거래처별 월별(2026~27)·연간(2028~30) 매출</t>
        </is>
      </c>
    </row>
    <row r="2">
      <c r="A2" s="2" t="inlineStr">
        <is>
          <t>단위: 천원. A블록=기준안(S1, 확률 100%·지연 없음) / B블록=선택 시나리오 적용(손익계산서 연동). 파란색 = 입력.</t>
        </is>
      </c>
    </row>
    <row r="3">
      <c r="A3" s="2" t="str">
        <f>"현재 선택: "&amp;'1_요약'!$C$4&amp;"  |  R=반복매출(램프 후 run-rate) · P=프로젝트(N개월 분할) · X=기존 소액 조정 · C=신규 코호트 · S=삼성채널 잔차"</f>
        <v>현재 선택: S1 경영계획(IR 정합)  |  R=반복매출(램프 후 run-rate) · P=프로젝트(N개월 분할) · X=기존 소액 조정 · C=신규 코호트 · S=삼성채널 잔차</v>
      </c>
    </row>
    <row r="5">
      <c r="W5" s="60" t="inlineStr">
        <is>
          <t>연도</t>
        </is>
      </c>
      <c r="X5" s="61" t="n">
        <v>2026</v>
      </c>
      <c r="Y5" s="61" t="n">
        <v>2026</v>
      </c>
      <c r="Z5" s="61" t="n">
        <v>2026</v>
      </c>
      <c r="AA5" s="61" t="n">
        <v>2026</v>
      </c>
      <c r="AB5" s="61" t="n">
        <v>2026</v>
      </c>
      <c r="AC5" s="61" t="n">
        <v>2026</v>
      </c>
      <c r="AD5" s="61" t="n">
        <v>2026</v>
      </c>
      <c r="AE5" s="61" t="n">
        <v>2026</v>
      </c>
      <c r="AF5" s="61" t="n">
        <v>2026</v>
      </c>
      <c r="AG5" s="61" t="n">
        <v>2026</v>
      </c>
      <c r="AH5" s="61" t="n">
        <v>2026</v>
      </c>
      <c r="AI5" s="61" t="n">
        <v>2026</v>
      </c>
      <c r="AJ5" s="61" t="n">
        <v>2027</v>
      </c>
      <c r="AK5" s="61" t="n">
        <v>2027</v>
      </c>
      <c r="AL5" s="61" t="n">
        <v>2027</v>
      </c>
      <c r="AM5" s="61" t="n">
        <v>2027</v>
      </c>
      <c r="AN5" s="61" t="n">
        <v>2027</v>
      </c>
      <c r="AO5" s="61" t="n">
        <v>2027</v>
      </c>
      <c r="AP5" s="61" t="n">
        <v>2027</v>
      </c>
      <c r="AQ5" s="61" t="n">
        <v>2027</v>
      </c>
      <c r="AR5" s="61" t="n">
        <v>2027</v>
      </c>
      <c r="AS5" s="61" t="n">
        <v>2027</v>
      </c>
      <c r="AT5" s="61" t="n">
        <v>2027</v>
      </c>
      <c r="AU5" s="61" t="n">
        <v>2027</v>
      </c>
    </row>
    <row r="6">
      <c r="W6" s="60" t="inlineStr">
        <is>
          <t>월 인덱스(1=2026-01)</t>
        </is>
      </c>
      <c r="X6" s="61" t="n">
        <v>1</v>
      </c>
      <c r="Y6" s="61" t="n">
        <v>2</v>
      </c>
      <c r="Z6" s="61" t="n">
        <v>3</v>
      </c>
      <c r="AA6" s="61" t="n">
        <v>4</v>
      </c>
      <c r="AB6" s="61" t="n">
        <v>5</v>
      </c>
      <c r="AC6" s="61" t="n">
        <v>6</v>
      </c>
      <c r="AD6" s="61" t="n">
        <v>7</v>
      </c>
      <c r="AE6" s="61" t="n">
        <v>8</v>
      </c>
      <c r="AF6" s="61" t="n">
        <v>9</v>
      </c>
      <c r="AG6" s="61" t="n">
        <v>10</v>
      </c>
      <c r="AH6" s="61" t="n">
        <v>11</v>
      </c>
      <c r="AI6" s="61" t="n">
        <v>12</v>
      </c>
      <c r="AJ6" s="61" t="n">
        <v>13</v>
      </c>
      <c r="AK6" s="61" t="n">
        <v>14</v>
      </c>
      <c r="AL6" s="61" t="n">
        <v>15</v>
      </c>
      <c r="AM6" s="61" t="n">
        <v>16</v>
      </c>
      <c r="AN6" s="61" t="n">
        <v>17</v>
      </c>
      <c r="AO6" s="61" t="n">
        <v>18</v>
      </c>
      <c r="AP6" s="61" t="n">
        <v>19</v>
      </c>
      <c r="AQ6" s="61" t="n">
        <v>20</v>
      </c>
      <c r="AR6" s="61" t="n">
        <v>21</v>
      </c>
      <c r="AS6" s="61" t="n">
        <v>22</v>
      </c>
      <c r="AT6" s="61" t="n">
        <v>23</v>
      </c>
      <c r="AU6" s="61" t="n">
        <v>24</v>
      </c>
      <c r="AV6" s="61" t="n">
        <v>2026</v>
      </c>
      <c r="AW6" s="61" t="n">
        <v>2027</v>
      </c>
      <c r="AX6" s="61" t="n">
        <v>2028</v>
      </c>
      <c r="AY6" s="61" t="n">
        <v>2029</v>
      </c>
      <c r="AZ6" s="61" t="n">
        <v>2030</v>
      </c>
    </row>
    <row r="7">
      <c r="A7" s="11" t="inlineStr">
        <is>
          <t>No</t>
        </is>
      </c>
      <c r="B7" s="11" t="inlineStr">
        <is>
          <t>국가</t>
        </is>
      </c>
      <c r="C7" s="11" t="inlineStr">
        <is>
          <t>지역</t>
        </is>
      </c>
      <c r="D7" s="11" t="inlineStr">
        <is>
          <t>거래처</t>
        </is>
      </c>
      <c r="E7" s="11" t="inlineStr">
        <is>
          <t>거래형태</t>
        </is>
      </c>
      <c r="F7" s="11" t="inlineStr">
        <is>
          <t>IR 단계</t>
        </is>
      </c>
      <c r="G7" s="11" t="inlineStr">
        <is>
          <t>모델 단계</t>
        </is>
      </c>
      <c r="H7" s="11" t="inlineStr">
        <is>
          <t>근거수준</t>
        </is>
      </c>
      <c r="I7" s="11" t="inlineStr">
        <is>
          <t>믹스</t>
        </is>
      </c>
      <c r="J7" s="11" t="inlineStr">
        <is>
          <t>유형</t>
        </is>
      </c>
      <c r="K7" s="11" t="inlineStr">
        <is>
          <t>시작월</t>
        </is>
      </c>
      <c r="L7" s="11" t="inlineStr">
        <is>
          <t>램프·기간(월)</t>
        </is>
      </c>
      <c r="M7" s="11" t="inlineStr">
        <is>
          <t>2027 IR 매출</t>
        </is>
      </c>
      <c r="N7" s="11" t="inlineStr">
        <is>
          <t>Σ2027 램프</t>
        </is>
      </c>
      <c r="O7" s="11" t="inlineStr">
        <is>
          <t>연환산 R</t>
        </is>
      </c>
      <c r="P7" s="11" t="inlineStr">
        <is>
          <t>2028 확장</t>
        </is>
      </c>
      <c r="Q7" s="11" t="inlineStr">
        <is>
          <t>2029 성장</t>
        </is>
      </c>
      <c r="R7" s="11" t="inlineStr">
        <is>
          <t>2030 성장</t>
        </is>
      </c>
      <c r="S7" s="11" t="inlineStr">
        <is>
          <t>S1 확률</t>
        </is>
      </c>
      <c r="T7" s="11" t="inlineStr">
        <is>
          <t>지연 적용</t>
        </is>
      </c>
      <c r="U7" s="11" t="inlineStr">
        <is>
          <t>초기수준</t>
        </is>
      </c>
      <c r="V7" s="11" t="inlineStr">
        <is>
          <t>근거 · 가정</t>
        </is>
      </c>
      <c r="X7" s="11" t="inlineStr">
        <is>
          <t>2026-01</t>
        </is>
      </c>
      <c r="Y7" s="11" t="inlineStr">
        <is>
          <t>2026-02</t>
        </is>
      </c>
      <c r="Z7" s="11" t="inlineStr">
        <is>
          <t>2026-03</t>
        </is>
      </c>
      <c r="AA7" s="11" t="inlineStr">
        <is>
          <t>2026-04</t>
        </is>
      </c>
      <c r="AB7" s="11" t="inlineStr">
        <is>
          <t>2026-05</t>
        </is>
      </c>
      <c r="AC7" s="11" t="inlineStr">
        <is>
          <t>2026-06</t>
        </is>
      </c>
      <c r="AD7" s="11" t="inlineStr">
        <is>
          <t>2026-07</t>
        </is>
      </c>
      <c r="AE7" s="11" t="inlineStr">
        <is>
          <t>2026-08</t>
        </is>
      </c>
      <c r="AF7" s="11" t="inlineStr">
        <is>
          <t>2026-09</t>
        </is>
      </c>
      <c r="AG7" s="11" t="inlineStr">
        <is>
          <t>2026-10</t>
        </is>
      </c>
      <c r="AH7" s="11" t="inlineStr">
        <is>
          <t>2026-11</t>
        </is>
      </c>
      <c r="AI7" s="11" t="inlineStr">
        <is>
          <t>2026-12</t>
        </is>
      </c>
      <c r="AJ7" s="11" t="inlineStr">
        <is>
          <t>2027-01</t>
        </is>
      </c>
      <c r="AK7" s="11" t="inlineStr">
        <is>
          <t>2027-02</t>
        </is>
      </c>
      <c r="AL7" s="11" t="inlineStr">
        <is>
          <t>2027-03</t>
        </is>
      </c>
      <c r="AM7" s="11" t="inlineStr">
        <is>
          <t>2027-04</t>
        </is>
      </c>
      <c r="AN7" s="11" t="inlineStr">
        <is>
          <t>2027-05</t>
        </is>
      </c>
      <c r="AO7" s="11" t="inlineStr">
        <is>
          <t>2027-06</t>
        </is>
      </c>
      <c r="AP7" s="11" t="inlineStr">
        <is>
          <t>2027-07</t>
        </is>
      </c>
      <c r="AQ7" s="11" t="inlineStr">
        <is>
          <t>2027-08</t>
        </is>
      </c>
      <c r="AR7" s="11" t="inlineStr">
        <is>
          <t>2027-09</t>
        </is>
      </c>
      <c r="AS7" s="11" t="inlineStr">
        <is>
          <t>2027-10</t>
        </is>
      </c>
      <c r="AT7" s="11" t="inlineStr">
        <is>
          <t>2027-11</t>
        </is>
      </c>
      <c r="AU7" s="11" t="inlineStr">
        <is>
          <t>2027-12</t>
        </is>
      </c>
      <c r="AV7" s="11" t="inlineStr">
        <is>
          <t>FY2026</t>
        </is>
      </c>
      <c r="AW7" s="11" t="inlineStr">
        <is>
          <t>FY2027</t>
        </is>
      </c>
      <c r="AX7" s="11" t="inlineStr">
        <is>
          <t>2028E</t>
        </is>
      </c>
      <c r="AY7" s="11" t="inlineStr">
        <is>
          <t>2029E</t>
        </is>
      </c>
      <c r="AZ7" s="11" t="inlineStr">
        <is>
          <t>2030E</t>
        </is>
      </c>
      <c r="BA7" s="11" t="inlineStr">
        <is>
          <t>5개년 합계</t>
        </is>
      </c>
    </row>
    <row r="9">
      <c r="A9" s="3" t="inlineStr">
        <is>
          <t>A. 기준안(S1) — 거래처별 매출(확률 100%, 지연 없음)</t>
        </is>
      </c>
    </row>
    <row r="10">
      <c r="A10" s="62" t="n">
        <v>1</v>
      </c>
      <c r="B10" s="15" t="inlineStr">
        <is>
          <t>한국</t>
        </is>
      </c>
      <c r="C10" s="15" t="inlineStr">
        <is>
          <t>한국</t>
        </is>
      </c>
      <c r="D10" s="15" t="inlineStr">
        <is>
          <t>국민건강보험공단 혁신 복지용구(NHIS)</t>
        </is>
      </c>
      <c r="E10" s="15" t="inlineStr">
        <is>
          <t>B2G·제도</t>
        </is>
      </c>
      <c r="F10" s="15" t="inlineStr">
        <is>
          <t>등록 완료</t>
        </is>
      </c>
      <c r="G10" s="15" t="inlineStr">
        <is>
          <t>등록완료</t>
        </is>
      </c>
      <c r="H10" s="15" t="inlineStr">
        <is>
          <t>B 등록·입찰·협의 단계</t>
        </is>
      </c>
      <c r="I10" s="15" t="inlineStr">
        <is>
          <t>NHIS</t>
        </is>
      </c>
      <c r="J10" s="63" t="inlineStr">
        <is>
          <t>R</t>
        </is>
      </c>
      <c r="K10" s="64" t="n">
        <v>10</v>
      </c>
      <c r="L10" s="64" t="n">
        <v>12</v>
      </c>
      <c r="M10" s="65" t="n">
        <v>500000</v>
      </c>
      <c r="N10" s="66">
        <f>SUMPRODUCT(($AJ$6:$AU$6&lt;$K10)*$U10+($AJ$6:$AU$6&gt;=$K10)*((($U10+(1-$U10)*($AJ$6:$AU$6-$K10+1)/$L10)&gt;=1)*1+(($U10+(1-$U10)*($AJ$6:$AU$6-$K10+1)/$L10)&lt;1)*($U10+(1-$U10)*($AJ$6:$AU$6-$K10+1)/$L10)))</f>
        <v>9</v>
      </c>
      <c r="O10" s="43">
        <f>IF($J10="R",IF($N10=0,0,$M10*12/$N10),$M10)</f>
        <v>666666.666666667</v>
      </c>
      <c r="P10" s="67" t="n">
        <v>0.45</v>
      </c>
      <c r="Q10" s="67" t="n">
        <v>0.4</v>
      </c>
      <c r="R10" s="67" t="n">
        <v>0.3</v>
      </c>
      <c r="S10" s="68">
        <f>INDEX('8_가정'!$C$17:$E$24,MATCH($G10,'8_가정'!$A$17:$A$24,0),1)</f>
        <v>1</v>
      </c>
      <c r="T10" s="63" t="inlineStr">
        <is>
          <t>Y</t>
        </is>
      </c>
      <c r="U10" s="67" t="n">
        <v>0</v>
      </c>
      <c r="V10" s="69" t="inlineStr">
        <is>
          <t>IR p.9·25: 국내 최초 IT 복지용구 선정(정부 보조금 85%), 전국 약 2,000개 매장 유통. 가정: 2026-10 판매 개시, 12개월 램프</t>
        </is>
      </c>
      <c r="X10" s="43">
        <f>IF($J10="R",$O10/12*IF(X$6&lt;$K10,$U10,MIN(1,$U10+(1-$U10)*(X$6-$K10+1)/$L10)),IF($J10="P",IF(AND(X$6&gt;=$K10,X$6&lt;$K10+$L10),$M10/$L10,0),IF($J10="X",$M10/12*(X$6&lt;=12),0)))</f>
        <v>0</v>
      </c>
      <c r="Y10" s="43">
        <f>IF($J10="R",$O10/12*IF(Y$6&lt;$K10,$U10,MIN(1,$U10+(1-$U10)*(Y$6-$K10+1)/$L10)),IF($J10="P",IF(AND(Y$6&gt;=$K10,Y$6&lt;$K10+$L10),$M10/$L10,0),IF($J10="X",$M10/12*(Y$6&lt;=12),0)))</f>
        <v>0</v>
      </c>
      <c r="Z10" s="43">
        <f>IF($J10="R",$O10/12*IF(Z$6&lt;$K10,$U10,MIN(1,$U10+(1-$U10)*(Z$6-$K10+1)/$L10)),IF($J10="P",IF(AND(Z$6&gt;=$K10,Z$6&lt;$K10+$L10),$M10/$L10,0),IF($J10="X",$M10/12*(Z$6&lt;=12),0)))</f>
        <v>0</v>
      </c>
      <c r="AA10" s="43">
        <f>IF($J10="R",$O10/12*IF(AA$6&lt;$K10,$U10,MIN(1,$U10+(1-$U10)*(AA$6-$K10+1)/$L10)),IF($J10="P",IF(AND(AA$6&gt;=$K10,AA$6&lt;$K10+$L10),$M10/$L10,0),IF($J10="X",$M10/12*(AA$6&lt;=12),0)))</f>
        <v>0</v>
      </c>
      <c r="AB10" s="43">
        <f>IF($J10="R",$O10/12*IF(AB$6&lt;$K10,$U10,MIN(1,$U10+(1-$U10)*(AB$6-$K10+1)/$L10)),IF($J10="P",IF(AND(AB$6&gt;=$K10,AB$6&lt;$K10+$L10),$M10/$L10,0),IF($J10="X",$M10/12*(AB$6&lt;=12),0)))</f>
        <v>0</v>
      </c>
      <c r="AC10" s="43">
        <f>IF($J10="R",$O10/12*IF(AC$6&lt;$K10,$U10,MIN(1,$U10+(1-$U10)*(AC$6-$K10+1)/$L10)),IF($J10="P",IF(AND(AC$6&gt;=$K10,AC$6&lt;$K10+$L10),$M10/$L10,0),IF($J10="X",$M10/12*(AC$6&lt;=12),0)))</f>
        <v>0</v>
      </c>
      <c r="AD10" s="43">
        <f>IF($J10="R",$O10/12*IF(AD$6&lt;$K10,$U10,MIN(1,$U10+(1-$U10)*(AD$6-$K10+1)/$L10)),IF($J10="P",IF(AND(AD$6&gt;=$K10,AD$6&lt;$K10+$L10),$M10/$L10,0),IF($J10="X",$M10/12*(AD$6&lt;=12),0)))</f>
        <v>0</v>
      </c>
      <c r="AE10" s="43">
        <f>IF($J10="R",$O10/12*IF(AE$6&lt;$K10,$U10,MIN(1,$U10+(1-$U10)*(AE$6-$K10+1)/$L10)),IF($J10="P",IF(AND(AE$6&gt;=$K10,AE$6&lt;$K10+$L10),$M10/$L10,0),IF($J10="X",$M10/12*(AE$6&lt;=12),0)))</f>
        <v>0</v>
      </c>
      <c r="AF10" s="43">
        <f>IF($J10="R",$O10/12*IF(AF$6&lt;$K10,$U10,MIN(1,$U10+(1-$U10)*(AF$6-$K10+1)/$L10)),IF($J10="P",IF(AND(AF$6&gt;=$K10,AF$6&lt;$K10+$L10),$M10/$L10,0),IF($J10="X",$M10/12*(AF$6&lt;=12),0)))</f>
        <v>0</v>
      </c>
      <c r="AG10" s="43">
        <f>IF($J10="R",$O10/12*IF(AG$6&lt;$K10,$U10,MIN(1,$U10+(1-$U10)*(AG$6-$K10+1)/$L10)),IF($J10="P",IF(AND(AG$6&gt;=$K10,AG$6&lt;$K10+$L10),$M10/$L10,0),IF($J10="X",$M10/12*(AG$6&lt;=12),0)))</f>
        <v>4629.62962962963</v>
      </c>
      <c r="AH10" s="43">
        <f>IF($J10="R",$O10/12*IF(AH$6&lt;$K10,$U10,MIN(1,$U10+(1-$U10)*(AH$6-$K10+1)/$L10)),IF($J10="P",IF(AND(AH$6&gt;=$K10,AH$6&lt;$K10+$L10),$M10/$L10,0),IF($J10="X",$M10/12*(AH$6&lt;=12),0)))</f>
        <v>9259.25925925926</v>
      </c>
      <c r="AI10" s="43">
        <f>IF($J10="R",$O10/12*IF(AI$6&lt;$K10,$U10,MIN(1,$U10+(1-$U10)*(AI$6-$K10+1)/$L10)),IF($J10="P",IF(AND(AI$6&gt;=$K10,AI$6&lt;$K10+$L10),$M10/$L10,0),IF($J10="X",$M10/12*(AI$6&lt;=12),0)))</f>
        <v>13888.8888888889</v>
      </c>
      <c r="AJ10" s="43">
        <f>IF($J10="R",$O10/12*IF(AJ$6&lt;$K10,$U10,MIN(1,$U10+(1-$U10)*(AJ$6-$K10+1)/$L10)),IF($J10="P",IF(AND(AJ$6&gt;=$K10,AJ$6&lt;$K10+$L10),$M10/$L10,0),IF($J10="X",$M10/12*(AJ$6&lt;=12),0)))</f>
        <v>18518.5185185185</v>
      </c>
      <c r="AK10" s="43">
        <f>IF($J10="R",$O10/12*IF(AK$6&lt;$K10,$U10,MIN(1,$U10+(1-$U10)*(AK$6-$K10+1)/$L10)),IF($J10="P",IF(AND(AK$6&gt;=$K10,AK$6&lt;$K10+$L10),$M10/$L10,0),IF($J10="X",$M10/12*(AK$6&lt;=12),0)))</f>
        <v>23148.1481481482</v>
      </c>
      <c r="AL10" s="43">
        <f>IF($J10="R",$O10/12*IF(AL$6&lt;$K10,$U10,MIN(1,$U10+(1-$U10)*(AL$6-$K10+1)/$L10)),IF($J10="P",IF(AND(AL$6&gt;=$K10,AL$6&lt;$K10+$L10),$M10/$L10,0),IF($J10="X",$M10/12*(AL$6&lt;=12),0)))</f>
        <v>27777.7777777778</v>
      </c>
      <c r="AM10" s="43">
        <f>IF($J10="R",$O10/12*IF(AM$6&lt;$K10,$U10,MIN(1,$U10+(1-$U10)*(AM$6-$K10+1)/$L10)),IF($J10="P",IF(AND(AM$6&gt;=$K10,AM$6&lt;$K10+$L10),$M10/$L10,0),IF($J10="X",$M10/12*(AM$6&lt;=12),0)))</f>
        <v>32407.4074074074</v>
      </c>
      <c r="AN10" s="43">
        <f>IF($J10="R",$O10/12*IF(AN$6&lt;$K10,$U10,MIN(1,$U10+(1-$U10)*(AN$6-$K10+1)/$L10)),IF($J10="P",IF(AND(AN$6&gt;=$K10,AN$6&lt;$K10+$L10),$M10/$L10,0),IF($J10="X",$M10/12*(AN$6&lt;=12),0)))</f>
        <v>37037.037037037</v>
      </c>
      <c r="AO10" s="43">
        <f>IF($J10="R",$O10/12*IF(AO$6&lt;$K10,$U10,MIN(1,$U10+(1-$U10)*(AO$6-$K10+1)/$L10)),IF($J10="P",IF(AND(AO$6&gt;=$K10,AO$6&lt;$K10+$L10),$M10/$L10,0),IF($J10="X",$M10/12*(AO$6&lt;=12),0)))</f>
        <v>41666.6666666667</v>
      </c>
      <c r="AP10" s="43">
        <f>IF($J10="R",$O10/12*IF(AP$6&lt;$K10,$U10,MIN(1,$U10+(1-$U10)*(AP$6-$K10+1)/$L10)),IF($J10="P",IF(AND(AP$6&gt;=$K10,AP$6&lt;$K10+$L10),$M10/$L10,0),IF($J10="X",$M10/12*(AP$6&lt;=12),0)))</f>
        <v>46296.2962962963</v>
      </c>
      <c r="AQ10" s="43">
        <f>IF($J10="R",$O10/12*IF(AQ$6&lt;$K10,$U10,MIN(1,$U10+(1-$U10)*(AQ$6-$K10+1)/$L10)),IF($J10="P",IF(AND(AQ$6&gt;=$K10,AQ$6&lt;$K10+$L10),$M10/$L10,0),IF($J10="X",$M10/12*(AQ$6&lt;=12),0)))</f>
        <v>50925.9259259259</v>
      </c>
      <c r="AR10" s="43">
        <f>IF($J10="R",$O10/12*IF(AR$6&lt;$K10,$U10,MIN(1,$U10+(1-$U10)*(AR$6-$K10+1)/$L10)),IF($J10="P",IF(AND(AR$6&gt;=$K10,AR$6&lt;$K10+$L10),$M10/$L10,0),IF($J10="X",$M10/12*(AR$6&lt;=12),0)))</f>
        <v>55555.5555555556</v>
      </c>
      <c r="AS10" s="43">
        <f>IF($J10="R",$O10/12*IF(AS$6&lt;$K10,$U10,MIN(1,$U10+(1-$U10)*(AS$6-$K10+1)/$L10)),IF($J10="P",IF(AND(AS$6&gt;=$K10,AS$6&lt;$K10+$L10),$M10/$L10,0),IF($J10="X",$M10/12*(AS$6&lt;=12),0)))</f>
        <v>55555.5555555556</v>
      </c>
      <c r="AT10" s="43">
        <f>IF($J10="R",$O10/12*IF(AT$6&lt;$K10,$U10,MIN(1,$U10+(1-$U10)*(AT$6-$K10+1)/$L10)),IF($J10="P",IF(AND(AT$6&gt;=$K10,AT$6&lt;$K10+$L10),$M10/$L10,0),IF($J10="X",$M10/12*(AT$6&lt;=12),0)))</f>
        <v>55555.5555555556</v>
      </c>
      <c r="AU10" s="43">
        <f>IF($J10="R",$O10/12*IF(AU$6&lt;$K10,$U10,MIN(1,$U10+(1-$U10)*(AU$6-$K10+1)/$L10)),IF($J10="P",IF(AND(AU$6&gt;=$K10,AU$6&lt;$K10+$L10),$M10/$L10,0),IF($J10="X",$M10/12*(AU$6&lt;=12),0)))</f>
        <v>55555.5555555556</v>
      </c>
      <c r="AV10" s="23">
        <f>SUM(X10:AI10)</f>
        <v>27777.7777777778</v>
      </c>
      <c r="AW10" s="23">
        <f>SUM(AJ10:AU10)</f>
        <v>500000</v>
      </c>
      <c r="AX10" s="45">
        <f>$O10*(1+$P10)</f>
        <v>966666.666666667</v>
      </c>
      <c r="AY10" s="45">
        <f>AX10*(1+$Q10)</f>
        <v>1353333.33333333</v>
      </c>
      <c r="AZ10" s="45">
        <f>AY10*(1+$R10)</f>
        <v>1759333.33333333</v>
      </c>
      <c r="BA10" s="25">
        <f>SUM(AV10:AZ10)</f>
        <v>4607111.11111111</v>
      </c>
    </row>
    <row r="11">
      <c r="A11" s="62" t="n">
        <v>2</v>
      </c>
      <c r="B11" s="15" t="inlineStr">
        <is>
          <t>한국</t>
        </is>
      </c>
      <c r="C11" s="15" t="inlineStr">
        <is>
          <t>한국</t>
        </is>
      </c>
      <c r="D11" s="15" t="inlineStr">
        <is>
          <t>노인요양병원·시설(프리미엄 요양, 요양시설 기저귀 1위 유통사 경유)</t>
        </is>
      </c>
      <c r="E11" s="15" t="inlineStr">
        <is>
          <t>총판</t>
        </is>
      </c>
      <c r="F11" s="15" t="inlineStr">
        <is>
          <t>진행 중</t>
        </is>
      </c>
      <c r="G11" s="15" t="inlineStr">
        <is>
          <t>진행중</t>
        </is>
      </c>
      <c r="H11" s="15" t="inlineStr">
        <is>
          <t>B 등록·입찰·협의 단계</t>
        </is>
      </c>
      <c r="I11" s="15" t="inlineStr">
        <is>
          <t>SUB</t>
        </is>
      </c>
      <c r="J11" s="63" t="inlineStr">
        <is>
          <t>R</t>
        </is>
      </c>
      <c r="K11" s="64" t="n">
        <v>13</v>
      </c>
      <c r="L11" s="64" t="n">
        <v>9</v>
      </c>
      <c r="M11" s="65" t="n">
        <v>1986200</v>
      </c>
      <c r="N11" s="66">
        <f>SUMPRODUCT(($AJ$6:$AU$6&lt;$K11)*$U11+($AJ$6:$AU$6&gt;=$K11)*((($U11+(1-$U11)*($AJ$6:$AU$6-$K11+1)/$L11)&gt;=1)*1+(($U11+(1-$U11)*($AJ$6:$AU$6-$K11+1)/$L11)&lt;1)*($U11+(1-$U11)*($AJ$6:$AU$6-$K11+1)/$L11)))</f>
        <v>8</v>
      </c>
      <c r="O11" s="43">
        <f>IF($J11="R",IF($N11=0,0,$M11*12/$N11),$M11)</f>
        <v>2979300</v>
      </c>
      <c r="P11" s="67" t="n">
        <v>0.5</v>
      </c>
      <c r="Q11" s="67" t="n">
        <v>0.7</v>
      </c>
      <c r="R11" s="67" t="n">
        <v>0.5</v>
      </c>
      <c r="S11" s="68">
        <f>INDEX('8_가정'!$C$17:$E$24,MATCH($G11,'8_가정'!$A$17:$A$24,0),1)</f>
        <v>1</v>
      </c>
      <c r="T11" s="63" t="inlineStr">
        <is>
          <t>Y</t>
        </is>
      </c>
      <c r="U11" s="67" t="n">
        <v>0</v>
      </c>
      <c r="V11" s="69" t="inlineStr">
        <is>
          <t>IR p.10·25: 삼성노블카운티·KB골든라이프케어·화이트하우스·성빈센트병원 레퍼런스. 가정: 2027-01 도입 개시. (IR의 "구독자 2만 명"은 중장기 목표로 별도 처리)</t>
        </is>
      </c>
      <c r="X11" s="43">
        <f>IF($J11="R",$O11/12*IF(X$6&lt;$K11,$U11,MIN(1,$U11+(1-$U11)*(X$6-$K11+1)/$L11)),IF($J11="P",IF(AND(X$6&gt;=$K11,X$6&lt;$K11+$L11),$M11/$L11,0),IF($J11="X",$M11/12*(X$6&lt;=12),0)))</f>
        <v>0</v>
      </c>
      <c r="Y11" s="43">
        <f>IF($J11="R",$O11/12*IF(Y$6&lt;$K11,$U11,MIN(1,$U11+(1-$U11)*(Y$6-$K11+1)/$L11)),IF($J11="P",IF(AND(Y$6&gt;=$K11,Y$6&lt;$K11+$L11),$M11/$L11,0),IF($J11="X",$M11/12*(Y$6&lt;=12),0)))</f>
        <v>0</v>
      </c>
      <c r="Z11" s="43">
        <f>IF($J11="R",$O11/12*IF(Z$6&lt;$K11,$U11,MIN(1,$U11+(1-$U11)*(Z$6-$K11+1)/$L11)),IF($J11="P",IF(AND(Z$6&gt;=$K11,Z$6&lt;$K11+$L11),$M11/$L11,0),IF($J11="X",$M11/12*(Z$6&lt;=12),0)))</f>
        <v>0</v>
      </c>
      <c r="AA11" s="43">
        <f>IF($J11="R",$O11/12*IF(AA$6&lt;$K11,$U11,MIN(1,$U11+(1-$U11)*(AA$6-$K11+1)/$L11)),IF($J11="P",IF(AND(AA$6&gt;=$K11,AA$6&lt;$K11+$L11),$M11/$L11,0),IF($J11="X",$M11/12*(AA$6&lt;=12),0)))</f>
        <v>0</v>
      </c>
      <c r="AB11" s="43">
        <f>IF($J11="R",$O11/12*IF(AB$6&lt;$K11,$U11,MIN(1,$U11+(1-$U11)*(AB$6-$K11+1)/$L11)),IF($J11="P",IF(AND(AB$6&gt;=$K11,AB$6&lt;$K11+$L11),$M11/$L11,0),IF($J11="X",$M11/12*(AB$6&lt;=12),0)))</f>
        <v>0</v>
      </c>
      <c r="AC11" s="43">
        <f>IF($J11="R",$O11/12*IF(AC$6&lt;$K11,$U11,MIN(1,$U11+(1-$U11)*(AC$6-$K11+1)/$L11)),IF($J11="P",IF(AND(AC$6&gt;=$K11,AC$6&lt;$K11+$L11),$M11/$L11,0),IF($J11="X",$M11/12*(AC$6&lt;=12),0)))</f>
        <v>0</v>
      </c>
      <c r="AD11" s="43">
        <f>IF($J11="R",$O11/12*IF(AD$6&lt;$K11,$U11,MIN(1,$U11+(1-$U11)*(AD$6-$K11+1)/$L11)),IF($J11="P",IF(AND(AD$6&gt;=$K11,AD$6&lt;$K11+$L11),$M11/$L11,0),IF($J11="X",$M11/12*(AD$6&lt;=12),0)))</f>
        <v>0</v>
      </c>
      <c r="AE11" s="43">
        <f>IF($J11="R",$O11/12*IF(AE$6&lt;$K11,$U11,MIN(1,$U11+(1-$U11)*(AE$6-$K11+1)/$L11)),IF($J11="P",IF(AND(AE$6&gt;=$K11,AE$6&lt;$K11+$L11),$M11/$L11,0),IF($J11="X",$M11/12*(AE$6&lt;=12),0)))</f>
        <v>0</v>
      </c>
      <c r="AF11" s="43">
        <f>IF($J11="R",$O11/12*IF(AF$6&lt;$K11,$U11,MIN(1,$U11+(1-$U11)*(AF$6-$K11+1)/$L11)),IF($J11="P",IF(AND(AF$6&gt;=$K11,AF$6&lt;$K11+$L11),$M11/$L11,0),IF($J11="X",$M11/12*(AF$6&lt;=12),0)))</f>
        <v>0</v>
      </c>
      <c r="AG11" s="43">
        <f>IF($J11="R",$O11/12*IF(AG$6&lt;$K11,$U11,MIN(1,$U11+(1-$U11)*(AG$6-$K11+1)/$L11)),IF($J11="P",IF(AND(AG$6&gt;=$K11,AG$6&lt;$K11+$L11),$M11/$L11,0),IF($J11="X",$M11/12*(AG$6&lt;=12),0)))</f>
        <v>0</v>
      </c>
      <c r="AH11" s="43">
        <f>IF($J11="R",$O11/12*IF(AH$6&lt;$K11,$U11,MIN(1,$U11+(1-$U11)*(AH$6-$K11+1)/$L11)),IF($J11="P",IF(AND(AH$6&gt;=$K11,AH$6&lt;$K11+$L11),$M11/$L11,0),IF($J11="X",$M11/12*(AH$6&lt;=12),0)))</f>
        <v>0</v>
      </c>
      <c r="AI11" s="43">
        <f>IF($J11="R",$O11/12*IF(AI$6&lt;$K11,$U11,MIN(1,$U11+(1-$U11)*(AI$6-$K11+1)/$L11)),IF($J11="P",IF(AND(AI$6&gt;=$K11,AI$6&lt;$K11+$L11),$M11/$L11,0),IF($J11="X",$M11/12*(AI$6&lt;=12),0)))</f>
        <v>0</v>
      </c>
      <c r="AJ11" s="43">
        <f>IF($J11="R",$O11/12*IF(AJ$6&lt;$K11,$U11,MIN(1,$U11+(1-$U11)*(AJ$6-$K11+1)/$L11)),IF($J11="P",IF(AND(AJ$6&gt;=$K11,AJ$6&lt;$K11+$L11),$M11/$L11,0),IF($J11="X",$M11/12*(AJ$6&lt;=12),0)))</f>
        <v>27586.1111111111</v>
      </c>
      <c r="AK11" s="43">
        <f>IF($J11="R",$O11/12*IF(AK$6&lt;$K11,$U11,MIN(1,$U11+(1-$U11)*(AK$6-$K11+1)/$L11)),IF($J11="P",IF(AND(AK$6&gt;=$K11,AK$6&lt;$K11+$L11),$M11/$L11,0),IF($J11="X",$M11/12*(AK$6&lt;=12),0)))</f>
        <v>55172.2222222222</v>
      </c>
      <c r="AL11" s="43">
        <f>IF($J11="R",$O11/12*IF(AL$6&lt;$K11,$U11,MIN(1,$U11+(1-$U11)*(AL$6-$K11+1)/$L11)),IF($J11="P",IF(AND(AL$6&gt;=$K11,AL$6&lt;$K11+$L11),$M11/$L11,0),IF($J11="X",$M11/12*(AL$6&lt;=12),0)))</f>
        <v>82758.3333333333</v>
      </c>
      <c r="AM11" s="43">
        <f>IF($J11="R",$O11/12*IF(AM$6&lt;$K11,$U11,MIN(1,$U11+(1-$U11)*(AM$6-$K11+1)/$L11)),IF($J11="P",IF(AND(AM$6&gt;=$K11,AM$6&lt;$K11+$L11),$M11/$L11,0),IF($J11="X",$M11/12*(AM$6&lt;=12),0)))</f>
        <v>110344.444444444</v>
      </c>
      <c r="AN11" s="43">
        <f>IF($J11="R",$O11/12*IF(AN$6&lt;$K11,$U11,MIN(1,$U11+(1-$U11)*(AN$6-$K11+1)/$L11)),IF($J11="P",IF(AND(AN$6&gt;=$K11,AN$6&lt;$K11+$L11),$M11/$L11,0),IF($J11="X",$M11/12*(AN$6&lt;=12),0)))</f>
        <v>137930.555555556</v>
      </c>
      <c r="AO11" s="43">
        <f>IF($J11="R",$O11/12*IF(AO$6&lt;$K11,$U11,MIN(1,$U11+(1-$U11)*(AO$6-$K11+1)/$L11)),IF($J11="P",IF(AND(AO$6&gt;=$K11,AO$6&lt;$K11+$L11),$M11/$L11,0),IF($J11="X",$M11/12*(AO$6&lt;=12),0)))</f>
        <v>165516.666666667</v>
      </c>
      <c r="AP11" s="43">
        <f>IF($J11="R",$O11/12*IF(AP$6&lt;$K11,$U11,MIN(1,$U11+(1-$U11)*(AP$6-$K11+1)/$L11)),IF($J11="P",IF(AND(AP$6&gt;=$K11,AP$6&lt;$K11+$L11),$M11/$L11,0),IF($J11="X",$M11/12*(AP$6&lt;=12),0)))</f>
        <v>193102.777777778</v>
      </c>
      <c r="AQ11" s="43">
        <f>IF($J11="R",$O11/12*IF(AQ$6&lt;$K11,$U11,MIN(1,$U11+(1-$U11)*(AQ$6-$K11+1)/$L11)),IF($J11="P",IF(AND(AQ$6&gt;=$K11,AQ$6&lt;$K11+$L11),$M11/$L11,0),IF($J11="X",$M11/12*(AQ$6&lt;=12),0)))</f>
        <v>220688.888888889</v>
      </c>
      <c r="AR11" s="43">
        <f>IF($J11="R",$O11/12*IF(AR$6&lt;$K11,$U11,MIN(1,$U11+(1-$U11)*(AR$6-$K11+1)/$L11)),IF($J11="P",IF(AND(AR$6&gt;=$K11,AR$6&lt;$K11+$L11),$M11/$L11,0),IF($J11="X",$M11/12*(AR$6&lt;=12),0)))</f>
        <v>248275</v>
      </c>
      <c r="AS11" s="43">
        <f>IF($J11="R",$O11/12*IF(AS$6&lt;$K11,$U11,MIN(1,$U11+(1-$U11)*(AS$6-$K11+1)/$L11)),IF($J11="P",IF(AND(AS$6&gt;=$K11,AS$6&lt;$K11+$L11),$M11/$L11,0),IF($J11="X",$M11/12*(AS$6&lt;=12),0)))</f>
        <v>248275</v>
      </c>
      <c r="AT11" s="43">
        <f>IF($J11="R",$O11/12*IF(AT$6&lt;$K11,$U11,MIN(1,$U11+(1-$U11)*(AT$6-$K11+1)/$L11)),IF($J11="P",IF(AND(AT$6&gt;=$K11,AT$6&lt;$K11+$L11),$M11/$L11,0),IF($J11="X",$M11/12*(AT$6&lt;=12),0)))</f>
        <v>248275</v>
      </c>
      <c r="AU11" s="43">
        <f>IF($J11="R",$O11/12*IF(AU$6&lt;$K11,$U11,MIN(1,$U11+(1-$U11)*(AU$6-$K11+1)/$L11)),IF($J11="P",IF(AND(AU$6&gt;=$K11,AU$6&lt;$K11+$L11),$M11/$L11,0),IF($J11="X",$M11/12*(AU$6&lt;=12),0)))</f>
        <v>248275</v>
      </c>
      <c r="AV11" s="23">
        <f>SUM(X11:AI11)</f>
        <v>0</v>
      </c>
      <c r="AW11" s="23">
        <f>SUM(AJ11:AU11)</f>
        <v>1986200</v>
      </c>
      <c r="AX11" s="45">
        <f>$O11*(1+$P11)</f>
        <v>4468950</v>
      </c>
      <c r="AY11" s="45">
        <f>AX11*(1+$Q11)</f>
        <v>7597215</v>
      </c>
      <c r="AZ11" s="45">
        <f>AY11*(1+$R11)</f>
        <v>11395822.5</v>
      </c>
      <c r="BA11" s="25">
        <f>SUM(AV11:AZ11)</f>
        <v>25448187.5</v>
      </c>
    </row>
    <row r="12">
      <c r="A12" s="62" t="n">
        <v>3</v>
      </c>
      <c r="B12" s="15" t="inlineStr">
        <is>
          <t>한국</t>
        </is>
      </c>
      <c r="C12" s="15" t="inlineStr">
        <is>
          <t>한국</t>
        </is>
      </c>
      <c r="D12" s="15" t="inlineStr">
        <is>
          <t>APP 파트너십(키퍼스 시니어 팬티형 구독)</t>
        </is>
      </c>
      <c r="E12" s="15" t="inlineStr">
        <is>
          <t>파트너</t>
        </is>
      </c>
      <c r="F12" s="15" t="inlineStr">
        <is>
          <t>계약</t>
        </is>
      </c>
      <c r="G12" s="15" t="inlineStr">
        <is>
          <t>계약</t>
        </is>
      </c>
      <c r="H12" s="15" t="inlineStr">
        <is>
          <t>A 계약·기존 거래</t>
        </is>
      </c>
      <c r="I12" s="15" t="inlineStr">
        <is>
          <t>SUB</t>
        </is>
      </c>
      <c r="J12" s="63" t="inlineStr">
        <is>
          <t>R</t>
        </is>
      </c>
      <c r="K12" s="64" t="n">
        <v>12</v>
      </c>
      <c r="L12" s="64" t="n">
        <v>10</v>
      </c>
      <c r="M12" s="65" t="n">
        <v>1500000</v>
      </c>
      <c r="N12" s="66">
        <f>SUMPRODUCT(($AJ$6:$AU$6&lt;$K12)*$U12+($AJ$6:$AU$6&gt;=$K12)*((($U12+(1-$U12)*($AJ$6:$AU$6-$K12+1)/$L12)&gt;=1)*1+(($U12+(1-$U12)*($AJ$6:$AU$6-$K12+1)/$L12)&lt;1)*($U12+(1-$U12)*($AJ$6:$AU$6-$K12+1)/$L12)))</f>
        <v>8.4</v>
      </c>
      <c r="O12" s="43">
        <f>IF($J12="R",IF($N12=0,0,$M12*12/$N12),$M12)</f>
        <v>2142857.14285714</v>
      </c>
      <c r="P12" s="67" t="n">
        <v>0.4</v>
      </c>
      <c r="Q12" s="67" t="n">
        <v>0.4</v>
      </c>
      <c r="R12" s="67" t="n">
        <v>0.3</v>
      </c>
      <c r="S12" s="68">
        <f>INDEX('8_가정'!$C$17:$E$24,MATCH($G12,'8_가정'!$A$17:$A$24,0),1)</f>
        <v>1</v>
      </c>
      <c r="T12" s="63" t="inlineStr">
        <is>
          <t>Y</t>
        </is>
      </c>
      <c r="U12" s="67" t="n">
        <v>0</v>
      </c>
      <c r="V12" s="69" t="inlineStr">
        <is>
          <t>IR p.11·25: APP(Sinarmas, 매출 90억 USD) 팬티형 스마트 기저귀 연 15억. 가정: 2026-12 개시, 9개월 램프</t>
        </is>
      </c>
      <c r="X12" s="43">
        <f>IF($J12="R",$O12/12*IF(X$6&lt;$K12,$U12,MIN(1,$U12+(1-$U12)*(X$6-$K12+1)/$L12)),IF($J12="P",IF(AND(X$6&gt;=$K12,X$6&lt;$K12+$L12),$M12/$L12,0),IF($J12="X",$M12/12*(X$6&lt;=12),0)))</f>
        <v>0</v>
      </c>
      <c r="Y12" s="43">
        <f>IF($J12="R",$O12/12*IF(Y$6&lt;$K12,$U12,MIN(1,$U12+(1-$U12)*(Y$6-$K12+1)/$L12)),IF($J12="P",IF(AND(Y$6&gt;=$K12,Y$6&lt;$K12+$L12),$M12/$L12,0),IF($J12="X",$M12/12*(Y$6&lt;=12),0)))</f>
        <v>0</v>
      </c>
      <c r="Z12" s="43">
        <f>IF($J12="R",$O12/12*IF(Z$6&lt;$K12,$U12,MIN(1,$U12+(1-$U12)*(Z$6-$K12+1)/$L12)),IF($J12="P",IF(AND(Z$6&gt;=$K12,Z$6&lt;$K12+$L12),$M12/$L12,0),IF($J12="X",$M12/12*(Z$6&lt;=12),0)))</f>
        <v>0</v>
      </c>
      <c r="AA12" s="43">
        <f>IF($J12="R",$O12/12*IF(AA$6&lt;$K12,$U12,MIN(1,$U12+(1-$U12)*(AA$6-$K12+1)/$L12)),IF($J12="P",IF(AND(AA$6&gt;=$K12,AA$6&lt;$K12+$L12),$M12/$L12,0),IF($J12="X",$M12/12*(AA$6&lt;=12),0)))</f>
        <v>0</v>
      </c>
      <c r="AB12" s="43">
        <f>IF($J12="R",$O12/12*IF(AB$6&lt;$K12,$U12,MIN(1,$U12+(1-$U12)*(AB$6-$K12+1)/$L12)),IF($J12="P",IF(AND(AB$6&gt;=$K12,AB$6&lt;$K12+$L12),$M12/$L12,0),IF($J12="X",$M12/12*(AB$6&lt;=12),0)))</f>
        <v>0</v>
      </c>
      <c r="AC12" s="43">
        <f>IF($J12="R",$O12/12*IF(AC$6&lt;$K12,$U12,MIN(1,$U12+(1-$U12)*(AC$6-$K12+1)/$L12)),IF($J12="P",IF(AND(AC$6&gt;=$K12,AC$6&lt;$K12+$L12),$M12/$L12,0),IF($J12="X",$M12/12*(AC$6&lt;=12),0)))</f>
        <v>0</v>
      </c>
      <c r="AD12" s="43">
        <f>IF($J12="R",$O12/12*IF(AD$6&lt;$K12,$U12,MIN(1,$U12+(1-$U12)*(AD$6-$K12+1)/$L12)),IF($J12="P",IF(AND(AD$6&gt;=$K12,AD$6&lt;$K12+$L12),$M12/$L12,0),IF($J12="X",$M12/12*(AD$6&lt;=12),0)))</f>
        <v>0</v>
      </c>
      <c r="AE12" s="43">
        <f>IF($J12="R",$O12/12*IF(AE$6&lt;$K12,$U12,MIN(1,$U12+(1-$U12)*(AE$6-$K12+1)/$L12)),IF($J12="P",IF(AND(AE$6&gt;=$K12,AE$6&lt;$K12+$L12),$M12/$L12,0),IF($J12="X",$M12/12*(AE$6&lt;=12),0)))</f>
        <v>0</v>
      </c>
      <c r="AF12" s="43">
        <f>IF($J12="R",$O12/12*IF(AF$6&lt;$K12,$U12,MIN(1,$U12+(1-$U12)*(AF$6-$K12+1)/$L12)),IF($J12="P",IF(AND(AF$6&gt;=$K12,AF$6&lt;$K12+$L12),$M12/$L12,0),IF($J12="X",$M12/12*(AF$6&lt;=12),0)))</f>
        <v>0</v>
      </c>
      <c r="AG12" s="43">
        <f>IF($J12="R",$O12/12*IF(AG$6&lt;$K12,$U12,MIN(1,$U12+(1-$U12)*(AG$6-$K12+1)/$L12)),IF($J12="P",IF(AND(AG$6&gt;=$K12,AG$6&lt;$K12+$L12),$M12/$L12,0),IF($J12="X",$M12/12*(AG$6&lt;=12),0)))</f>
        <v>0</v>
      </c>
      <c r="AH12" s="43">
        <f>IF($J12="R",$O12/12*IF(AH$6&lt;$K12,$U12,MIN(1,$U12+(1-$U12)*(AH$6-$K12+1)/$L12)),IF($J12="P",IF(AND(AH$6&gt;=$K12,AH$6&lt;$K12+$L12),$M12/$L12,0),IF($J12="X",$M12/12*(AH$6&lt;=12),0)))</f>
        <v>0</v>
      </c>
      <c r="AI12" s="43">
        <f>IF($J12="R",$O12/12*IF(AI$6&lt;$K12,$U12,MIN(1,$U12+(1-$U12)*(AI$6-$K12+1)/$L12)),IF($J12="P",IF(AND(AI$6&gt;=$K12,AI$6&lt;$K12+$L12),$M12/$L12,0),IF($J12="X",$M12/12*(AI$6&lt;=12),0)))</f>
        <v>17857.1428571429</v>
      </c>
      <c r="AJ12" s="43">
        <f>IF($J12="R",$O12/12*IF(AJ$6&lt;$K12,$U12,MIN(1,$U12+(1-$U12)*(AJ$6-$K12+1)/$L12)),IF($J12="P",IF(AND(AJ$6&gt;=$K12,AJ$6&lt;$K12+$L12),$M12/$L12,0),IF($J12="X",$M12/12*(AJ$6&lt;=12),0)))</f>
        <v>35714.2857142857</v>
      </c>
      <c r="AK12" s="43">
        <f>IF($J12="R",$O12/12*IF(AK$6&lt;$K12,$U12,MIN(1,$U12+(1-$U12)*(AK$6-$K12+1)/$L12)),IF($J12="P",IF(AND(AK$6&gt;=$K12,AK$6&lt;$K12+$L12),$M12/$L12,0),IF($J12="X",$M12/12*(AK$6&lt;=12),0)))</f>
        <v>53571.4285714286</v>
      </c>
      <c r="AL12" s="43">
        <f>IF($J12="R",$O12/12*IF(AL$6&lt;$K12,$U12,MIN(1,$U12+(1-$U12)*(AL$6-$K12+1)/$L12)),IF($J12="P",IF(AND(AL$6&gt;=$K12,AL$6&lt;$K12+$L12),$M12/$L12,0),IF($J12="X",$M12/12*(AL$6&lt;=12),0)))</f>
        <v>71428.5714285714</v>
      </c>
      <c r="AM12" s="43">
        <f>IF($J12="R",$O12/12*IF(AM$6&lt;$K12,$U12,MIN(1,$U12+(1-$U12)*(AM$6-$K12+1)/$L12)),IF($J12="P",IF(AND(AM$6&gt;=$K12,AM$6&lt;$K12+$L12),$M12/$L12,0),IF($J12="X",$M12/12*(AM$6&lt;=12),0)))</f>
        <v>89285.7142857143</v>
      </c>
      <c r="AN12" s="43">
        <f>IF($J12="R",$O12/12*IF(AN$6&lt;$K12,$U12,MIN(1,$U12+(1-$U12)*(AN$6-$K12+1)/$L12)),IF($J12="P",IF(AND(AN$6&gt;=$K12,AN$6&lt;$K12+$L12),$M12/$L12,0),IF($J12="X",$M12/12*(AN$6&lt;=12),0)))</f>
        <v>107142.857142857</v>
      </c>
      <c r="AO12" s="43">
        <f>IF($J12="R",$O12/12*IF(AO$6&lt;$K12,$U12,MIN(1,$U12+(1-$U12)*(AO$6-$K12+1)/$L12)),IF($J12="P",IF(AND(AO$6&gt;=$K12,AO$6&lt;$K12+$L12),$M12/$L12,0),IF($J12="X",$M12/12*(AO$6&lt;=12),0)))</f>
        <v>125000</v>
      </c>
      <c r="AP12" s="43">
        <f>IF($J12="R",$O12/12*IF(AP$6&lt;$K12,$U12,MIN(1,$U12+(1-$U12)*(AP$6-$K12+1)/$L12)),IF($J12="P",IF(AND(AP$6&gt;=$K12,AP$6&lt;$K12+$L12),$M12/$L12,0),IF($J12="X",$M12/12*(AP$6&lt;=12),0)))</f>
        <v>142857.142857143</v>
      </c>
      <c r="AQ12" s="43">
        <f>IF($J12="R",$O12/12*IF(AQ$6&lt;$K12,$U12,MIN(1,$U12+(1-$U12)*(AQ$6-$K12+1)/$L12)),IF($J12="P",IF(AND(AQ$6&gt;=$K12,AQ$6&lt;$K12+$L12),$M12/$L12,0),IF($J12="X",$M12/12*(AQ$6&lt;=12),0)))</f>
        <v>160714.285714286</v>
      </c>
      <c r="AR12" s="43">
        <f>IF($J12="R",$O12/12*IF(AR$6&lt;$K12,$U12,MIN(1,$U12+(1-$U12)*(AR$6-$K12+1)/$L12)),IF($J12="P",IF(AND(AR$6&gt;=$K12,AR$6&lt;$K12+$L12),$M12/$L12,0),IF($J12="X",$M12/12*(AR$6&lt;=12),0)))</f>
        <v>178571.428571429</v>
      </c>
      <c r="AS12" s="43">
        <f>IF($J12="R",$O12/12*IF(AS$6&lt;$K12,$U12,MIN(1,$U12+(1-$U12)*(AS$6-$K12+1)/$L12)),IF($J12="P",IF(AND(AS$6&gt;=$K12,AS$6&lt;$K12+$L12),$M12/$L12,0),IF($J12="X",$M12/12*(AS$6&lt;=12),0)))</f>
        <v>178571.428571429</v>
      </c>
      <c r="AT12" s="43">
        <f>IF($J12="R",$O12/12*IF(AT$6&lt;$K12,$U12,MIN(1,$U12+(1-$U12)*(AT$6-$K12+1)/$L12)),IF($J12="P",IF(AND(AT$6&gt;=$K12,AT$6&lt;$K12+$L12),$M12/$L12,0),IF($J12="X",$M12/12*(AT$6&lt;=12),0)))</f>
        <v>178571.428571429</v>
      </c>
      <c r="AU12" s="43">
        <f>IF($J12="R",$O12/12*IF(AU$6&lt;$K12,$U12,MIN(1,$U12+(1-$U12)*(AU$6-$K12+1)/$L12)),IF($J12="P",IF(AND(AU$6&gt;=$K12,AU$6&lt;$K12+$L12),$M12/$L12,0),IF($J12="X",$M12/12*(AU$6&lt;=12),0)))</f>
        <v>178571.428571429</v>
      </c>
      <c r="AV12" s="23">
        <f>SUM(X12:AI12)</f>
        <v>17857.1428571429</v>
      </c>
      <c r="AW12" s="23">
        <f>SUM(AJ12:AU12)</f>
        <v>1500000</v>
      </c>
      <c r="AX12" s="45">
        <f>$O12*(1+$P12)</f>
        <v>3000000</v>
      </c>
      <c r="AY12" s="45">
        <f>AX12*(1+$Q12)</f>
        <v>4200000</v>
      </c>
      <c r="AZ12" s="45">
        <f>AY12*(1+$R12)</f>
        <v>5460000</v>
      </c>
      <c r="BA12" s="25">
        <f>SUM(AV12:AZ12)</f>
        <v>14177857.1428571</v>
      </c>
    </row>
    <row r="13">
      <c r="A13" s="62" t="n">
        <v>4</v>
      </c>
      <c r="B13" s="15" t="inlineStr">
        <is>
          <t>한국</t>
        </is>
      </c>
      <c r="C13" s="15" t="inlineStr">
        <is>
          <t>한국</t>
        </is>
      </c>
      <c r="D13" s="15" t="inlineStr">
        <is>
          <t>APP B2C(스마트 베이비·시니어 기저귀 구독)</t>
        </is>
      </c>
      <c r="E13" s="15" t="inlineStr">
        <is>
          <t>파트너</t>
        </is>
      </c>
      <c r="F13" s="15" t="inlineStr">
        <is>
          <t>계약</t>
        </is>
      </c>
      <c r="G13" s="15" t="inlineStr">
        <is>
          <t>계약</t>
        </is>
      </c>
      <c r="H13" s="15" t="inlineStr">
        <is>
          <t>A 계약·기존 거래</t>
        </is>
      </c>
      <c r="I13" s="15" t="inlineStr">
        <is>
          <t>BABY</t>
        </is>
      </c>
      <c r="J13" s="63" t="inlineStr">
        <is>
          <t>R</t>
        </is>
      </c>
      <c r="K13" s="64" t="n">
        <v>13</v>
      </c>
      <c r="L13" s="64" t="n">
        <v>9</v>
      </c>
      <c r="M13" s="65" t="n">
        <v>1000000</v>
      </c>
      <c r="N13" s="66">
        <f>SUMPRODUCT(($AJ$6:$AU$6&lt;$K13)*$U13+($AJ$6:$AU$6&gt;=$K13)*((($U13+(1-$U13)*($AJ$6:$AU$6-$K13+1)/$L13)&gt;=1)*1+(($U13+(1-$U13)*($AJ$6:$AU$6-$K13+1)/$L13)&lt;1)*($U13+(1-$U13)*($AJ$6:$AU$6-$K13+1)/$L13)))</f>
        <v>8</v>
      </c>
      <c r="O13" s="43">
        <f>IF($J13="R",IF($N13=0,0,$M13*12/$N13),$M13)</f>
        <v>1500000</v>
      </c>
      <c r="P13" s="67" t="n">
        <v>0.5</v>
      </c>
      <c r="Q13" s="67" t="n">
        <v>0.5</v>
      </c>
      <c r="R13" s="67" t="n">
        <v>0.4</v>
      </c>
      <c r="S13" s="68">
        <f>INDEX('8_가정'!$C$17:$E$24,MATCH($G13,'8_가정'!$A$17:$A$24,0),1)</f>
        <v>1</v>
      </c>
      <c r="T13" s="63" t="inlineStr">
        <is>
          <t>Y</t>
        </is>
      </c>
      <c r="U13" s="67" t="n">
        <v>0</v>
      </c>
      <c r="V13" s="69" t="inlineStr">
        <is>
          <t>IR p.12·25: APP·Beffys 스마트 베이비 기저귀 협업 연 10억. 가정: 2027-01 개시</t>
        </is>
      </c>
      <c r="X13" s="43">
        <f>IF($J13="R",$O13/12*IF(X$6&lt;$K13,$U13,MIN(1,$U13+(1-$U13)*(X$6-$K13+1)/$L13)),IF($J13="P",IF(AND(X$6&gt;=$K13,X$6&lt;$K13+$L13),$M13/$L13,0),IF($J13="X",$M13/12*(X$6&lt;=12),0)))</f>
        <v>0</v>
      </c>
      <c r="Y13" s="43">
        <f>IF($J13="R",$O13/12*IF(Y$6&lt;$K13,$U13,MIN(1,$U13+(1-$U13)*(Y$6-$K13+1)/$L13)),IF($J13="P",IF(AND(Y$6&gt;=$K13,Y$6&lt;$K13+$L13),$M13/$L13,0),IF($J13="X",$M13/12*(Y$6&lt;=12),0)))</f>
        <v>0</v>
      </c>
      <c r="Z13" s="43">
        <f>IF($J13="R",$O13/12*IF(Z$6&lt;$K13,$U13,MIN(1,$U13+(1-$U13)*(Z$6-$K13+1)/$L13)),IF($J13="P",IF(AND(Z$6&gt;=$K13,Z$6&lt;$K13+$L13),$M13/$L13,0),IF($J13="X",$M13/12*(Z$6&lt;=12),0)))</f>
        <v>0</v>
      </c>
      <c r="AA13" s="43">
        <f>IF($J13="R",$O13/12*IF(AA$6&lt;$K13,$U13,MIN(1,$U13+(1-$U13)*(AA$6-$K13+1)/$L13)),IF($J13="P",IF(AND(AA$6&gt;=$K13,AA$6&lt;$K13+$L13),$M13/$L13,0),IF($J13="X",$M13/12*(AA$6&lt;=12),0)))</f>
        <v>0</v>
      </c>
      <c r="AB13" s="43">
        <f>IF($J13="R",$O13/12*IF(AB$6&lt;$K13,$U13,MIN(1,$U13+(1-$U13)*(AB$6-$K13+1)/$L13)),IF($J13="P",IF(AND(AB$6&gt;=$K13,AB$6&lt;$K13+$L13),$M13/$L13,0),IF($J13="X",$M13/12*(AB$6&lt;=12),0)))</f>
        <v>0</v>
      </c>
      <c r="AC13" s="43">
        <f>IF($J13="R",$O13/12*IF(AC$6&lt;$K13,$U13,MIN(1,$U13+(1-$U13)*(AC$6-$K13+1)/$L13)),IF($J13="P",IF(AND(AC$6&gt;=$K13,AC$6&lt;$K13+$L13),$M13/$L13,0),IF($J13="X",$M13/12*(AC$6&lt;=12),0)))</f>
        <v>0</v>
      </c>
      <c r="AD13" s="43">
        <f>IF($J13="R",$O13/12*IF(AD$6&lt;$K13,$U13,MIN(1,$U13+(1-$U13)*(AD$6-$K13+1)/$L13)),IF($J13="P",IF(AND(AD$6&gt;=$K13,AD$6&lt;$K13+$L13),$M13/$L13,0),IF($J13="X",$M13/12*(AD$6&lt;=12),0)))</f>
        <v>0</v>
      </c>
      <c r="AE13" s="43">
        <f>IF($J13="R",$O13/12*IF(AE$6&lt;$K13,$U13,MIN(1,$U13+(1-$U13)*(AE$6-$K13+1)/$L13)),IF($J13="P",IF(AND(AE$6&gt;=$K13,AE$6&lt;$K13+$L13),$M13/$L13,0),IF($J13="X",$M13/12*(AE$6&lt;=12),0)))</f>
        <v>0</v>
      </c>
      <c r="AF13" s="43">
        <f>IF($J13="R",$O13/12*IF(AF$6&lt;$K13,$U13,MIN(1,$U13+(1-$U13)*(AF$6-$K13+1)/$L13)),IF($J13="P",IF(AND(AF$6&gt;=$K13,AF$6&lt;$K13+$L13),$M13/$L13,0),IF($J13="X",$M13/12*(AF$6&lt;=12),0)))</f>
        <v>0</v>
      </c>
      <c r="AG13" s="43">
        <f>IF($J13="R",$O13/12*IF(AG$6&lt;$K13,$U13,MIN(1,$U13+(1-$U13)*(AG$6-$K13+1)/$L13)),IF($J13="P",IF(AND(AG$6&gt;=$K13,AG$6&lt;$K13+$L13),$M13/$L13,0),IF($J13="X",$M13/12*(AG$6&lt;=12),0)))</f>
        <v>0</v>
      </c>
      <c r="AH13" s="43">
        <f>IF($J13="R",$O13/12*IF(AH$6&lt;$K13,$U13,MIN(1,$U13+(1-$U13)*(AH$6-$K13+1)/$L13)),IF($J13="P",IF(AND(AH$6&gt;=$K13,AH$6&lt;$K13+$L13),$M13/$L13,0),IF($J13="X",$M13/12*(AH$6&lt;=12),0)))</f>
        <v>0</v>
      </c>
      <c r="AI13" s="43">
        <f>IF($J13="R",$O13/12*IF(AI$6&lt;$K13,$U13,MIN(1,$U13+(1-$U13)*(AI$6-$K13+1)/$L13)),IF($J13="P",IF(AND(AI$6&gt;=$K13,AI$6&lt;$K13+$L13),$M13/$L13,0),IF($J13="X",$M13/12*(AI$6&lt;=12),0)))</f>
        <v>0</v>
      </c>
      <c r="AJ13" s="43">
        <f>IF($J13="R",$O13/12*IF(AJ$6&lt;$K13,$U13,MIN(1,$U13+(1-$U13)*(AJ$6-$K13+1)/$L13)),IF($J13="P",IF(AND(AJ$6&gt;=$K13,AJ$6&lt;$K13+$L13),$M13/$L13,0),IF($J13="X",$M13/12*(AJ$6&lt;=12),0)))</f>
        <v>13888.8888888889</v>
      </c>
      <c r="AK13" s="43">
        <f>IF($J13="R",$O13/12*IF(AK$6&lt;$K13,$U13,MIN(1,$U13+(1-$U13)*(AK$6-$K13+1)/$L13)),IF($J13="P",IF(AND(AK$6&gt;=$K13,AK$6&lt;$K13+$L13),$M13/$L13,0),IF($J13="X",$M13/12*(AK$6&lt;=12),0)))</f>
        <v>27777.7777777778</v>
      </c>
      <c r="AL13" s="43">
        <f>IF($J13="R",$O13/12*IF(AL$6&lt;$K13,$U13,MIN(1,$U13+(1-$U13)*(AL$6-$K13+1)/$L13)),IF($J13="P",IF(AND(AL$6&gt;=$K13,AL$6&lt;$K13+$L13),$M13/$L13,0),IF($J13="X",$M13/12*(AL$6&lt;=12),0)))</f>
        <v>41666.6666666667</v>
      </c>
      <c r="AM13" s="43">
        <f>IF($J13="R",$O13/12*IF(AM$6&lt;$K13,$U13,MIN(1,$U13+(1-$U13)*(AM$6-$K13+1)/$L13)),IF($J13="P",IF(AND(AM$6&gt;=$K13,AM$6&lt;$K13+$L13),$M13/$L13,0),IF($J13="X",$M13/12*(AM$6&lt;=12),0)))</f>
        <v>55555.5555555556</v>
      </c>
      <c r="AN13" s="43">
        <f>IF($J13="R",$O13/12*IF(AN$6&lt;$K13,$U13,MIN(1,$U13+(1-$U13)*(AN$6-$K13+1)/$L13)),IF($J13="P",IF(AND(AN$6&gt;=$K13,AN$6&lt;$K13+$L13),$M13/$L13,0),IF($J13="X",$M13/12*(AN$6&lt;=12),0)))</f>
        <v>69444.4444444445</v>
      </c>
      <c r="AO13" s="43">
        <f>IF($J13="R",$O13/12*IF(AO$6&lt;$K13,$U13,MIN(1,$U13+(1-$U13)*(AO$6-$K13+1)/$L13)),IF($J13="P",IF(AND(AO$6&gt;=$K13,AO$6&lt;$K13+$L13),$M13/$L13,0),IF($J13="X",$M13/12*(AO$6&lt;=12),0)))</f>
        <v>83333.3333333333</v>
      </c>
      <c r="AP13" s="43">
        <f>IF($J13="R",$O13/12*IF(AP$6&lt;$K13,$U13,MIN(1,$U13+(1-$U13)*(AP$6-$K13+1)/$L13)),IF($J13="P",IF(AND(AP$6&gt;=$K13,AP$6&lt;$K13+$L13),$M13/$L13,0),IF($J13="X",$M13/12*(AP$6&lt;=12),0)))</f>
        <v>97222.2222222222</v>
      </c>
      <c r="AQ13" s="43">
        <f>IF($J13="R",$O13/12*IF(AQ$6&lt;$K13,$U13,MIN(1,$U13+(1-$U13)*(AQ$6-$K13+1)/$L13)),IF($J13="P",IF(AND(AQ$6&gt;=$K13,AQ$6&lt;$K13+$L13),$M13/$L13,0),IF($J13="X",$M13/12*(AQ$6&lt;=12),0)))</f>
        <v>111111.111111111</v>
      </c>
      <c r="AR13" s="43">
        <f>IF($J13="R",$O13/12*IF(AR$6&lt;$K13,$U13,MIN(1,$U13+(1-$U13)*(AR$6-$K13+1)/$L13)),IF($J13="P",IF(AND(AR$6&gt;=$K13,AR$6&lt;$K13+$L13),$M13/$L13,0),IF($J13="X",$M13/12*(AR$6&lt;=12),0)))</f>
        <v>125000</v>
      </c>
      <c r="AS13" s="43">
        <f>IF($J13="R",$O13/12*IF(AS$6&lt;$K13,$U13,MIN(1,$U13+(1-$U13)*(AS$6-$K13+1)/$L13)),IF($J13="P",IF(AND(AS$6&gt;=$K13,AS$6&lt;$K13+$L13),$M13/$L13,0),IF($J13="X",$M13/12*(AS$6&lt;=12),0)))</f>
        <v>125000</v>
      </c>
      <c r="AT13" s="43">
        <f>IF($J13="R",$O13/12*IF(AT$6&lt;$K13,$U13,MIN(1,$U13+(1-$U13)*(AT$6-$K13+1)/$L13)),IF($J13="P",IF(AND(AT$6&gt;=$K13,AT$6&lt;$K13+$L13),$M13/$L13,0),IF($J13="X",$M13/12*(AT$6&lt;=12),0)))</f>
        <v>125000</v>
      </c>
      <c r="AU13" s="43">
        <f>IF($J13="R",$O13/12*IF(AU$6&lt;$K13,$U13,MIN(1,$U13+(1-$U13)*(AU$6-$K13+1)/$L13)),IF($J13="P",IF(AND(AU$6&gt;=$K13,AU$6&lt;$K13+$L13),$M13/$L13,0),IF($J13="X",$M13/12*(AU$6&lt;=12),0)))</f>
        <v>125000</v>
      </c>
      <c r="AV13" s="23">
        <f>SUM(X13:AI13)</f>
        <v>0</v>
      </c>
      <c r="AW13" s="23">
        <f>SUM(AJ13:AU13)</f>
        <v>1000000</v>
      </c>
      <c r="AX13" s="45">
        <f>$O13*(1+$P13)</f>
        <v>2250000</v>
      </c>
      <c r="AY13" s="45">
        <f>AX13*(1+$Q13)</f>
        <v>3375000</v>
      </c>
      <c r="AZ13" s="45">
        <f>AY13*(1+$R13)</f>
        <v>4725000</v>
      </c>
      <c r="BA13" s="25">
        <f>SUM(AV13:AZ13)</f>
        <v>11350000</v>
      </c>
    </row>
    <row r="14">
      <c r="A14" s="62" t="n">
        <v>5</v>
      </c>
      <c r="B14" s="15" t="inlineStr">
        <is>
          <t>일본</t>
        </is>
      </c>
      <c r="C14" s="15" t="inlineStr">
        <is>
          <t>일본</t>
        </is>
      </c>
      <c r="D14" s="15" t="inlineStr">
        <is>
          <t>HeartKium 총판(HEARTCARE 오사카 요양시설 23곳 포함)</t>
        </is>
      </c>
      <c r="E14" s="15" t="inlineStr">
        <is>
          <t>총판</t>
        </is>
      </c>
      <c r="F14" s="15" t="inlineStr">
        <is>
          <t>계약</t>
        </is>
      </c>
      <c r="G14" s="15" t="inlineStr">
        <is>
          <t>계약</t>
        </is>
      </c>
      <c r="H14" s="15" t="inlineStr">
        <is>
          <t>A 계약·기존 거래</t>
        </is>
      </c>
      <c r="I14" s="15" t="inlineStr">
        <is>
          <t>DIST</t>
        </is>
      </c>
      <c r="J14" s="63" t="inlineStr">
        <is>
          <t>R</t>
        </is>
      </c>
      <c r="K14" s="64" t="n">
        <v>7</v>
      </c>
      <c r="L14" s="64" t="n">
        <v>12</v>
      </c>
      <c r="M14" s="65" t="n">
        <v>1600000</v>
      </c>
      <c r="N14" s="66">
        <f>SUMPRODUCT(($AJ$6:$AU$6&lt;$K14)*$U14+($AJ$6:$AU$6&gt;=$K14)*((($U14+(1-$U14)*($AJ$6:$AU$6-$K14+1)/$L14)&gt;=1)*1+(($U14+(1-$U14)*($AJ$6:$AU$6-$K14+1)/$L14)&lt;1)*($U14+(1-$U14)*($AJ$6:$AU$6-$K14+1)/$L14)))</f>
        <v>11.25</v>
      </c>
      <c r="O14" s="43">
        <f>IF($J14="R",IF($N14=0,0,$M14*12/$N14),$M14)</f>
        <v>1706666.66666667</v>
      </c>
      <c r="P14" s="67" t="n">
        <v>0.9</v>
      </c>
      <c r="Q14" s="67" t="n">
        <v>0.7</v>
      </c>
      <c r="R14" s="67" t="n">
        <v>0.5</v>
      </c>
      <c r="S14" s="68">
        <f>INDEX('8_가정'!$C$17:$E$24,MATCH($G14,'8_가정'!$A$17:$A$24,0),1)</f>
        <v>1</v>
      </c>
      <c r="T14" s="63" t="inlineStr">
        <is>
          <t>N</t>
        </is>
      </c>
      <c r="U14" s="67" t="n">
        <v>0.4</v>
      </c>
      <c r="V14" s="69" t="inlineStr">
        <is>
          <t>IR p.13·23·25: 오사카 14→23개 시설, 기저귀 100만개·센싱 시스템 2,000대 공급. 기존 거래(초기수준 40%) — 2026-07부터 시설 확대, 지연 미적용</t>
        </is>
      </c>
      <c r="X14" s="43">
        <f>IF($J14="R",$O14/12*IF(X$6&lt;$K14,$U14,MIN(1,$U14+(1-$U14)*(X$6-$K14+1)/$L14)),IF($J14="P",IF(AND(X$6&gt;=$K14,X$6&lt;$K14+$L14),$M14/$L14,0),IF($J14="X",$M14/12*(X$6&lt;=12),0)))</f>
        <v>56888.8888888889</v>
      </c>
      <c r="Y14" s="43">
        <f>IF($J14="R",$O14/12*IF(Y$6&lt;$K14,$U14,MIN(1,$U14+(1-$U14)*(Y$6-$K14+1)/$L14)),IF($J14="P",IF(AND(Y$6&gt;=$K14,Y$6&lt;$K14+$L14),$M14/$L14,0),IF($J14="X",$M14/12*(Y$6&lt;=12),0)))</f>
        <v>56888.8888888889</v>
      </c>
      <c r="Z14" s="43">
        <f>IF($J14="R",$O14/12*IF(Z$6&lt;$K14,$U14,MIN(1,$U14+(1-$U14)*(Z$6-$K14+1)/$L14)),IF($J14="P",IF(AND(Z$6&gt;=$K14,Z$6&lt;$K14+$L14),$M14/$L14,0),IF($J14="X",$M14/12*(Z$6&lt;=12),0)))</f>
        <v>56888.8888888889</v>
      </c>
      <c r="AA14" s="43">
        <f>IF($J14="R",$O14/12*IF(AA$6&lt;$K14,$U14,MIN(1,$U14+(1-$U14)*(AA$6-$K14+1)/$L14)),IF($J14="P",IF(AND(AA$6&gt;=$K14,AA$6&lt;$K14+$L14),$M14/$L14,0),IF($J14="X",$M14/12*(AA$6&lt;=12),0)))</f>
        <v>56888.8888888889</v>
      </c>
      <c r="AB14" s="43">
        <f>IF($J14="R",$O14/12*IF(AB$6&lt;$K14,$U14,MIN(1,$U14+(1-$U14)*(AB$6-$K14+1)/$L14)),IF($J14="P",IF(AND(AB$6&gt;=$K14,AB$6&lt;$K14+$L14),$M14/$L14,0),IF($J14="X",$M14/12*(AB$6&lt;=12),0)))</f>
        <v>56888.8888888889</v>
      </c>
      <c r="AC14" s="43">
        <f>IF($J14="R",$O14/12*IF(AC$6&lt;$K14,$U14,MIN(1,$U14+(1-$U14)*(AC$6-$K14+1)/$L14)),IF($J14="P",IF(AND(AC$6&gt;=$K14,AC$6&lt;$K14+$L14),$M14/$L14,0),IF($J14="X",$M14/12*(AC$6&lt;=12),0)))</f>
        <v>56888.8888888889</v>
      </c>
      <c r="AD14" s="43">
        <f>IF($J14="R",$O14/12*IF(AD$6&lt;$K14,$U14,MIN(1,$U14+(1-$U14)*(AD$6-$K14+1)/$L14)),IF($J14="P",IF(AND(AD$6&gt;=$K14,AD$6&lt;$K14+$L14),$M14/$L14,0),IF($J14="X",$M14/12*(AD$6&lt;=12),0)))</f>
        <v>64000</v>
      </c>
      <c r="AE14" s="43">
        <f>IF($J14="R",$O14/12*IF(AE$6&lt;$K14,$U14,MIN(1,$U14+(1-$U14)*(AE$6-$K14+1)/$L14)),IF($J14="P",IF(AND(AE$6&gt;=$K14,AE$6&lt;$K14+$L14),$M14/$L14,0),IF($J14="X",$M14/12*(AE$6&lt;=12),0)))</f>
        <v>71111.1111111111</v>
      </c>
      <c r="AF14" s="43">
        <f>IF($J14="R",$O14/12*IF(AF$6&lt;$K14,$U14,MIN(1,$U14+(1-$U14)*(AF$6-$K14+1)/$L14)),IF($J14="P",IF(AND(AF$6&gt;=$K14,AF$6&lt;$K14+$L14),$M14/$L14,0),IF($J14="X",$M14/12*(AF$6&lt;=12),0)))</f>
        <v>78222.2222222222</v>
      </c>
      <c r="AG14" s="43">
        <f>IF($J14="R",$O14/12*IF(AG$6&lt;$K14,$U14,MIN(1,$U14+(1-$U14)*(AG$6-$K14+1)/$L14)),IF($J14="P",IF(AND(AG$6&gt;=$K14,AG$6&lt;$K14+$L14),$M14/$L14,0),IF($J14="X",$M14/12*(AG$6&lt;=12),0)))</f>
        <v>85333.3333333333</v>
      </c>
      <c r="AH14" s="43">
        <f>IF($J14="R",$O14/12*IF(AH$6&lt;$K14,$U14,MIN(1,$U14+(1-$U14)*(AH$6-$K14+1)/$L14)),IF($J14="P",IF(AND(AH$6&gt;=$K14,AH$6&lt;$K14+$L14),$M14/$L14,0),IF($J14="X",$M14/12*(AH$6&lt;=12),0)))</f>
        <v>92444.4444444445</v>
      </c>
      <c r="AI14" s="43">
        <f>IF($J14="R",$O14/12*IF(AI$6&lt;$K14,$U14,MIN(1,$U14+(1-$U14)*(AI$6-$K14+1)/$L14)),IF($J14="P",IF(AND(AI$6&gt;=$K14,AI$6&lt;$K14+$L14),$M14/$L14,0),IF($J14="X",$M14/12*(AI$6&lt;=12),0)))</f>
        <v>99555.5555555556</v>
      </c>
      <c r="AJ14" s="43">
        <f>IF($J14="R",$O14/12*IF(AJ$6&lt;$K14,$U14,MIN(1,$U14+(1-$U14)*(AJ$6-$K14+1)/$L14)),IF($J14="P",IF(AND(AJ$6&gt;=$K14,AJ$6&lt;$K14+$L14),$M14/$L14,0),IF($J14="X",$M14/12*(AJ$6&lt;=12),0)))</f>
        <v>106666.666666667</v>
      </c>
      <c r="AK14" s="43">
        <f>IF($J14="R",$O14/12*IF(AK$6&lt;$K14,$U14,MIN(1,$U14+(1-$U14)*(AK$6-$K14+1)/$L14)),IF($J14="P",IF(AND(AK$6&gt;=$K14,AK$6&lt;$K14+$L14),$M14/$L14,0),IF($J14="X",$M14/12*(AK$6&lt;=12),0)))</f>
        <v>113777.777777778</v>
      </c>
      <c r="AL14" s="43">
        <f>IF($J14="R",$O14/12*IF(AL$6&lt;$K14,$U14,MIN(1,$U14+(1-$U14)*(AL$6-$K14+1)/$L14)),IF($J14="P",IF(AND(AL$6&gt;=$K14,AL$6&lt;$K14+$L14),$M14/$L14,0),IF($J14="X",$M14/12*(AL$6&lt;=12),0)))</f>
        <v>120888.888888889</v>
      </c>
      <c r="AM14" s="43">
        <f>IF($J14="R",$O14/12*IF(AM$6&lt;$K14,$U14,MIN(1,$U14+(1-$U14)*(AM$6-$K14+1)/$L14)),IF($J14="P",IF(AND(AM$6&gt;=$K14,AM$6&lt;$K14+$L14),$M14/$L14,0),IF($J14="X",$M14/12*(AM$6&lt;=12),0)))</f>
        <v>128000</v>
      </c>
      <c r="AN14" s="43">
        <f>IF($J14="R",$O14/12*IF(AN$6&lt;$K14,$U14,MIN(1,$U14+(1-$U14)*(AN$6-$K14+1)/$L14)),IF($J14="P",IF(AND(AN$6&gt;=$K14,AN$6&lt;$K14+$L14),$M14/$L14,0),IF($J14="X",$M14/12*(AN$6&lt;=12),0)))</f>
        <v>135111.111111111</v>
      </c>
      <c r="AO14" s="43">
        <f>IF($J14="R",$O14/12*IF(AO$6&lt;$K14,$U14,MIN(1,$U14+(1-$U14)*(AO$6-$K14+1)/$L14)),IF($J14="P",IF(AND(AO$6&gt;=$K14,AO$6&lt;$K14+$L14),$M14/$L14,0),IF($J14="X",$M14/12*(AO$6&lt;=12),0)))</f>
        <v>142222.222222222</v>
      </c>
      <c r="AP14" s="43">
        <f>IF($J14="R",$O14/12*IF(AP$6&lt;$K14,$U14,MIN(1,$U14+(1-$U14)*(AP$6-$K14+1)/$L14)),IF($J14="P",IF(AND(AP$6&gt;=$K14,AP$6&lt;$K14+$L14),$M14/$L14,0),IF($J14="X",$M14/12*(AP$6&lt;=12),0)))</f>
        <v>142222.222222222</v>
      </c>
      <c r="AQ14" s="43">
        <f>IF($J14="R",$O14/12*IF(AQ$6&lt;$K14,$U14,MIN(1,$U14+(1-$U14)*(AQ$6-$K14+1)/$L14)),IF($J14="P",IF(AND(AQ$6&gt;=$K14,AQ$6&lt;$K14+$L14),$M14/$L14,0),IF($J14="X",$M14/12*(AQ$6&lt;=12),0)))</f>
        <v>142222.222222222</v>
      </c>
      <c r="AR14" s="43">
        <f>IF($J14="R",$O14/12*IF(AR$6&lt;$K14,$U14,MIN(1,$U14+(1-$U14)*(AR$6-$K14+1)/$L14)),IF($J14="P",IF(AND(AR$6&gt;=$K14,AR$6&lt;$K14+$L14),$M14/$L14,0),IF($J14="X",$M14/12*(AR$6&lt;=12),0)))</f>
        <v>142222.222222222</v>
      </c>
      <c r="AS14" s="43">
        <f>IF($J14="R",$O14/12*IF(AS$6&lt;$K14,$U14,MIN(1,$U14+(1-$U14)*(AS$6-$K14+1)/$L14)),IF($J14="P",IF(AND(AS$6&gt;=$K14,AS$6&lt;$K14+$L14),$M14/$L14,0),IF($J14="X",$M14/12*(AS$6&lt;=12),0)))</f>
        <v>142222.222222222</v>
      </c>
      <c r="AT14" s="43">
        <f>IF($J14="R",$O14/12*IF(AT$6&lt;$K14,$U14,MIN(1,$U14+(1-$U14)*(AT$6-$K14+1)/$L14)),IF($J14="P",IF(AND(AT$6&gt;=$K14,AT$6&lt;$K14+$L14),$M14/$L14,0),IF($J14="X",$M14/12*(AT$6&lt;=12),0)))</f>
        <v>142222.222222222</v>
      </c>
      <c r="AU14" s="43">
        <f>IF($J14="R",$O14/12*IF(AU$6&lt;$K14,$U14,MIN(1,$U14+(1-$U14)*(AU$6-$K14+1)/$L14)),IF($J14="P",IF(AND(AU$6&gt;=$K14,AU$6&lt;$K14+$L14),$M14/$L14,0),IF($J14="X",$M14/12*(AU$6&lt;=12),0)))</f>
        <v>142222.222222222</v>
      </c>
      <c r="AV14" s="23">
        <f>SUM(X14:AI14)</f>
        <v>832000</v>
      </c>
      <c r="AW14" s="23">
        <f>SUM(AJ14:AU14)</f>
        <v>1600000</v>
      </c>
      <c r="AX14" s="45">
        <f>$O14*(1+$P14)</f>
        <v>3242666.66666667</v>
      </c>
      <c r="AY14" s="45">
        <f>AX14*(1+$Q14)</f>
        <v>5512533.33333333</v>
      </c>
      <c r="AZ14" s="45">
        <f>AY14*(1+$R14)</f>
        <v>8268800</v>
      </c>
      <c r="BA14" s="25">
        <f>SUM(AV14:AZ14)</f>
        <v>19456000</v>
      </c>
    </row>
    <row r="15">
      <c r="A15" s="62" t="n">
        <v>6</v>
      </c>
      <c r="B15" s="15" t="inlineStr">
        <is>
          <t>일본</t>
        </is>
      </c>
      <c r="C15" s="15" t="inlineStr">
        <is>
          <t>일본</t>
        </is>
      </c>
      <c r="D15" s="15" t="inlineStr">
        <is>
          <t>일본 TAIS 등록 기반 복지용구 채널(JAIS)</t>
        </is>
      </c>
      <c r="E15" s="15" t="inlineStr">
        <is>
          <t>B2G·제도</t>
        </is>
      </c>
      <c r="F15" s="15" t="inlineStr">
        <is>
          <t>등록 완료</t>
        </is>
      </c>
      <c r="G15" s="15" t="inlineStr">
        <is>
          <t>등록완료</t>
        </is>
      </c>
      <c r="H15" s="15" t="inlineStr">
        <is>
          <t>B 등록·입찰·협의 단계</t>
        </is>
      </c>
      <c r="I15" s="15" t="inlineStr">
        <is>
          <t>SUB</t>
        </is>
      </c>
      <c r="J15" s="63" t="inlineStr">
        <is>
          <t>R</t>
        </is>
      </c>
      <c r="K15" s="64" t="n">
        <v>13</v>
      </c>
      <c r="L15" s="64" t="n">
        <v>9</v>
      </c>
      <c r="M15" s="65" t="n">
        <v>2000000</v>
      </c>
      <c r="N15" s="66">
        <f>SUMPRODUCT(($AJ$6:$AU$6&lt;$K15)*$U15+($AJ$6:$AU$6&gt;=$K15)*((($U15+(1-$U15)*($AJ$6:$AU$6-$K15+1)/$L15)&gt;=1)*1+(($U15+(1-$U15)*($AJ$6:$AU$6-$K15+1)/$L15)&lt;1)*($U15+(1-$U15)*($AJ$6:$AU$6-$K15+1)/$L15)))</f>
        <v>8</v>
      </c>
      <c r="O15" s="43">
        <f>IF($J15="R",IF($N15=0,0,$M15*12/$N15),$M15)</f>
        <v>3000000</v>
      </c>
      <c r="P15" s="67" t="n">
        <v>0.6</v>
      </c>
      <c r="Q15" s="67" t="n">
        <v>0.8</v>
      </c>
      <c r="R15" s="67" t="n">
        <v>0.6</v>
      </c>
      <c r="S15" s="68">
        <f>INDEX('8_가정'!$C$17:$E$24,MATCH($G15,'8_가정'!$A$17:$A$24,0),1)</f>
        <v>1</v>
      </c>
      <c r="T15" s="63" t="inlineStr">
        <is>
          <t>Y</t>
        </is>
      </c>
      <c r="U15" s="67" t="n">
        <v>0</v>
      </c>
      <c r="V15" s="69" t="inlineStr">
        <is>
          <t>IR p.13·25: TAIS(복지용구 정보시스템) 등록 완료. 가정: 2027-01 채널 개시, 6개월 램프</t>
        </is>
      </c>
      <c r="X15" s="43">
        <f>IF($J15="R",$O15/12*IF(X$6&lt;$K15,$U15,MIN(1,$U15+(1-$U15)*(X$6-$K15+1)/$L15)),IF($J15="P",IF(AND(X$6&gt;=$K15,X$6&lt;$K15+$L15),$M15/$L15,0),IF($J15="X",$M15/12*(X$6&lt;=12),0)))</f>
        <v>0</v>
      </c>
      <c r="Y15" s="43">
        <f>IF($J15="R",$O15/12*IF(Y$6&lt;$K15,$U15,MIN(1,$U15+(1-$U15)*(Y$6-$K15+1)/$L15)),IF($J15="P",IF(AND(Y$6&gt;=$K15,Y$6&lt;$K15+$L15),$M15/$L15,0),IF($J15="X",$M15/12*(Y$6&lt;=12),0)))</f>
        <v>0</v>
      </c>
      <c r="Z15" s="43">
        <f>IF($J15="R",$O15/12*IF(Z$6&lt;$K15,$U15,MIN(1,$U15+(1-$U15)*(Z$6-$K15+1)/$L15)),IF($J15="P",IF(AND(Z$6&gt;=$K15,Z$6&lt;$K15+$L15),$M15/$L15,0),IF($J15="X",$M15/12*(Z$6&lt;=12),0)))</f>
        <v>0</v>
      </c>
      <c r="AA15" s="43">
        <f>IF($J15="R",$O15/12*IF(AA$6&lt;$K15,$U15,MIN(1,$U15+(1-$U15)*(AA$6-$K15+1)/$L15)),IF($J15="P",IF(AND(AA$6&gt;=$K15,AA$6&lt;$K15+$L15),$M15/$L15,0),IF($J15="X",$M15/12*(AA$6&lt;=12),0)))</f>
        <v>0</v>
      </c>
      <c r="AB15" s="43">
        <f>IF($J15="R",$O15/12*IF(AB$6&lt;$K15,$U15,MIN(1,$U15+(1-$U15)*(AB$6-$K15+1)/$L15)),IF($J15="P",IF(AND(AB$6&gt;=$K15,AB$6&lt;$K15+$L15),$M15/$L15,0),IF($J15="X",$M15/12*(AB$6&lt;=12),0)))</f>
        <v>0</v>
      </c>
      <c r="AC15" s="43">
        <f>IF($J15="R",$O15/12*IF(AC$6&lt;$K15,$U15,MIN(1,$U15+(1-$U15)*(AC$6-$K15+1)/$L15)),IF($J15="P",IF(AND(AC$6&gt;=$K15,AC$6&lt;$K15+$L15),$M15/$L15,0),IF($J15="X",$M15/12*(AC$6&lt;=12),0)))</f>
        <v>0</v>
      </c>
      <c r="AD15" s="43">
        <f>IF($J15="R",$O15/12*IF(AD$6&lt;$K15,$U15,MIN(1,$U15+(1-$U15)*(AD$6-$K15+1)/$L15)),IF($J15="P",IF(AND(AD$6&gt;=$K15,AD$6&lt;$K15+$L15),$M15/$L15,0),IF($J15="X",$M15/12*(AD$6&lt;=12),0)))</f>
        <v>0</v>
      </c>
      <c r="AE15" s="43">
        <f>IF($J15="R",$O15/12*IF(AE$6&lt;$K15,$U15,MIN(1,$U15+(1-$U15)*(AE$6-$K15+1)/$L15)),IF($J15="P",IF(AND(AE$6&gt;=$K15,AE$6&lt;$K15+$L15),$M15/$L15,0),IF($J15="X",$M15/12*(AE$6&lt;=12),0)))</f>
        <v>0</v>
      </c>
      <c r="AF15" s="43">
        <f>IF($J15="R",$O15/12*IF(AF$6&lt;$K15,$U15,MIN(1,$U15+(1-$U15)*(AF$6-$K15+1)/$L15)),IF($J15="P",IF(AND(AF$6&gt;=$K15,AF$6&lt;$K15+$L15),$M15/$L15,0),IF($J15="X",$M15/12*(AF$6&lt;=12),0)))</f>
        <v>0</v>
      </c>
      <c r="AG15" s="43">
        <f>IF($J15="R",$O15/12*IF(AG$6&lt;$K15,$U15,MIN(1,$U15+(1-$U15)*(AG$6-$K15+1)/$L15)),IF($J15="P",IF(AND(AG$6&gt;=$K15,AG$6&lt;$K15+$L15),$M15/$L15,0),IF($J15="X",$M15/12*(AG$6&lt;=12),0)))</f>
        <v>0</v>
      </c>
      <c r="AH15" s="43">
        <f>IF($J15="R",$O15/12*IF(AH$6&lt;$K15,$U15,MIN(1,$U15+(1-$U15)*(AH$6-$K15+1)/$L15)),IF($J15="P",IF(AND(AH$6&gt;=$K15,AH$6&lt;$K15+$L15),$M15/$L15,0),IF($J15="X",$M15/12*(AH$6&lt;=12),0)))</f>
        <v>0</v>
      </c>
      <c r="AI15" s="43">
        <f>IF($J15="R",$O15/12*IF(AI$6&lt;$K15,$U15,MIN(1,$U15+(1-$U15)*(AI$6-$K15+1)/$L15)),IF($J15="P",IF(AND(AI$6&gt;=$K15,AI$6&lt;$K15+$L15),$M15/$L15,0),IF($J15="X",$M15/12*(AI$6&lt;=12),0)))</f>
        <v>0</v>
      </c>
      <c r="AJ15" s="43">
        <f>IF($J15="R",$O15/12*IF(AJ$6&lt;$K15,$U15,MIN(1,$U15+(1-$U15)*(AJ$6-$K15+1)/$L15)),IF($J15="P",IF(AND(AJ$6&gt;=$K15,AJ$6&lt;$K15+$L15),$M15/$L15,0),IF($J15="X",$M15/12*(AJ$6&lt;=12),0)))</f>
        <v>27777.7777777778</v>
      </c>
      <c r="AK15" s="43">
        <f>IF($J15="R",$O15/12*IF(AK$6&lt;$K15,$U15,MIN(1,$U15+(1-$U15)*(AK$6-$K15+1)/$L15)),IF($J15="P",IF(AND(AK$6&gt;=$K15,AK$6&lt;$K15+$L15),$M15/$L15,0),IF($J15="X",$M15/12*(AK$6&lt;=12),0)))</f>
        <v>55555.5555555556</v>
      </c>
      <c r="AL15" s="43">
        <f>IF($J15="R",$O15/12*IF(AL$6&lt;$K15,$U15,MIN(1,$U15+(1-$U15)*(AL$6-$K15+1)/$L15)),IF($J15="P",IF(AND(AL$6&gt;=$K15,AL$6&lt;$K15+$L15),$M15/$L15,0),IF($J15="X",$M15/12*(AL$6&lt;=12),0)))</f>
        <v>83333.3333333333</v>
      </c>
      <c r="AM15" s="43">
        <f>IF($J15="R",$O15/12*IF(AM$6&lt;$K15,$U15,MIN(1,$U15+(1-$U15)*(AM$6-$K15+1)/$L15)),IF($J15="P",IF(AND(AM$6&gt;=$K15,AM$6&lt;$K15+$L15),$M15/$L15,0),IF($J15="X",$M15/12*(AM$6&lt;=12),0)))</f>
        <v>111111.111111111</v>
      </c>
      <c r="AN15" s="43">
        <f>IF($J15="R",$O15/12*IF(AN$6&lt;$K15,$U15,MIN(1,$U15+(1-$U15)*(AN$6-$K15+1)/$L15)),IF($J15="P",IF(AND(AN$6&gt;=$K15,AN$6&lt;$K15+$L15),$M15/$L15,0),IF($J15="X",$M15/12*(AN$6&lt;=12),0)))</f>
        <v>138888.888888889</v>
      </c>
      <c r="AO15" s="43">
        <f>IF($J15="R",$O15/12*IF(AO$6&lt;$K15,$U15,MIN(1,$U15+(1-$U15)*(AO$6-$K15+1)/$L15)),IF($J15="P",IF(AND(AO$6&gt;=$K15,AO$6&lt;$K15+$L15),$M15/$L15,0),IF($J15="X",$M15/12*(AO$6&lt;=12),0)))</f>
        <v>166666.666666667</v>
      </c>
      <c r="AP15" s="43">
        <f>IF($J15="R",$O15/12*IF(AP$6&lt;$K15,$U15,MIN(1,$U15+(1-$U15)*(AP$6-$K15+1)/$L15)),IF($J15="P",IF(AND(AP$6&gt;=$K15,AP$6&lt;$K15+$L15),$M15/$L15,0),IF($J15="X",$M15/12*(AP$6&lt;=12),0)))</f>
        <v>194444.444444444</v>
      </c>
      <c r="AQ15" s="43">
        <f>IF($J15="R",$O15/12*IF(AQ$6&lt;$K15,$U15,MIN(1,$U15+(1-$U15)*(AQ$6-$K15+1)/$L15)),IF($J15="P",IF(AND(AQ$6&gt;=$K15,AQ$6&lt;$K15+$L15),$M15/$L15,0),IF($J15="X",$M15/12*(AQ$6&lt;=12),0)))</f>
        <v>222222.222222222</v>
      </c>
      <c r="AR15" s="43">
        <f>IF($J15="R",$O15/12*IF(AR$6&lt;$K15,$U15,MIN(1,$U15+(1-$U15)*(AR$6-$K15+1)/$L15)),IF($J15="P",IF(AND(AR$6&gt;=$K15,AR$6&lt;$K15+$L15),$M15/$L15,0),IF($J15="X",$M15/12*(AR$6&lt;=12),0)))</f>
        <v>250000</v>
      </c>
      <c r="AS15" s="43">
        <f>IF($J15="R",$O15/12*IF(AS$6&lt;$K15,$U15,MIN(1,$U15+(1-$U15)*(AS$6-$K15+1)/$L15)),IF($J15="P",IF(AND(AS$6&gt;=$K15,AS$6&lt;$K15+$L15),$M15/$L15,0),IF($J15="X",$M15/12*(AS$6&lt;=12),0)))</f>
        <v>250000</v>
      </c>
      <c r="AT15" s="43">
        <f>IF($J15="R",$O15/12*IF(AT$6&lt;$K15,$U15,MIN(1,$U15+(1-$U15)*(AT$6-$K15+1)/$L15)),IF($J15="P",IF(AND(AT$6&gt;=$K15,AT$6&lt;$K15+$L15),$M15/$L15,0),IF($J15="X",$M15/12*(AT$6&lt;=12),0)))</f>
        <v>250000</v>
      </c>
      <c r="AU15" s="43">
        <f>IF($J15="R",$O15/12*IF(AU$6&lt;$K15,$U15,MIN(1,$U15+(1-$U15)*(AU$6-$K15+1)/$L15)),IF($J15="P",IF(AND(AU$6&gt;=$K15,AU$6&lt;$K15+$L15),$M15/$L15,0),IF($J15="X",$M15/12*(AU$6&lt;=12),0)))</f>
        <v>250000</v>
      </c>
      <c r="AV15" s="23">
        <f>SUM(X15:AI15)</f>
        <v>0</v>
      </c>
      <c r="AW15" s="23">
        <f>SUM(AJ15:AU15)</f>
        <v>2000000</v>
      </c>
      <c r="AX15" s="45">
        <f>$O15*(1+$P15)</f>
        <v>4800000</v>
      </c>
      <c r="AY15" s="45">
        <f>AX15*(1+$Q15)</f>
        <v>8640000</v>
      </c>
      <c r="AZ15" s="45">
        <f>AY15*(1+$R15)</f>
        <v>13824000</v>
      </c>
      <c r="BA15" s="25">
        <f>SUM(AV15:AZ15)</f>
        <v>29264000</v>
      </c>
    </row>
    <row r="16">
      <c r="A16" s="62" t="n">
        <v>7</v>
      </c>
      <c r="B16" s="15" t="inlineStr">
        <is>
          <t>싱가포르</t>
        </is>
      </c>
      <c r="C16" s="15" t="inlineStr">
        <is>
          <t>동남아·APAC</t>
        </is>
      </c>
      <c r="D16" s="15" t="inlineStr">
        <is>
          <t>NHG(KTPH·TTSH·Woodlands) 스마트 병동</t>
        </is>
      </c>
      <c r="E16" s="15" t="inlineStr">
        <is>
          <t>기관(직접)</t>
        </is>
      </c>
      <c r="F16" s="15" t="inlineStr">
        <is>
          <t>계약</t>
        </is>
      </c>
      <c r="G16" s="15" t="inlineStr">
        <is>
          <t>입찰</t>
        </is>
      </c>
      <c r="H16" s="15" t="inlineStr">
        <is>
          <t>B 등록·입찰·협의 단계</t>
        </is>
      </c>
      <c r="I16" s="15" t="inlineStr">
        <is>
          <t>HWPROJ</t>
        </is>
      </c>
      <c r="J16" s="63" t="inlineStr">
        <is>
          <t>P</t>
        </is>
      </c>
      <c r="K16" s="64" t="n">
        <v>18</v>
      </c>
      <c r="L16" s="64" t="n">
        <v>3</v>
      </c>
      <c r="M16" s="65" t="n">
        <v>180000</v>
      </c>
      <c r="O16" s="43">
        <f>IF($J16="R",IF($N16=0,0,$M16*12/$N16),$M16)</f>
        <v>180000</v>
      </c>
      <c r="P16" s="67" t="n">
        <v>0.6</v>
      </c>
      <c r="Q16" s="67" t="n">
        <v>0.4</v>
      </c>
      <c r="R16" s="67" t="n">
        <v>0.4</v>
      </c>
      <c r="S16" s="68">
        <f>INDEX('8_가정'!$C$17:$E$24,MATCH($G16,'8_가정'!$A$17:$A$24,0),1)</f>
        <v>1</v>
      </c>
      <c r="T16" s="63" t="inlineStr">
        <is>
          <t>Y</t>
        </is>
      </c>
      <c r="V16" s="69" t="inlineStr">
        <is>
          <t>IR p.14~17: 계약 SGD 180,000. 입찰자료(KTPH-RFP-26-165-MJ): 2026-09 제안서 제출, LOA 미확인, 센서 135·GW 40~53대, 병동별 최종검수 후 청구. 가정: 2027-06~08 검수 매출</t>
        </is>
      </c>
      <c r="X16" s="43">
        <f>IF($J16="R",$O16/12*IF(X$6&lt;$K16,$U16,MIN(1,$U16+(1-$U16)*(X$6-$K16+1)/$L16)),IF($J16="P",IF(AND(X$6&gt;=$K16,X$6&lt;$K16+$L16),$M16/$L16,0),IF($J16="X",$M16/12*(X$6&lt;=12),0)))</f>
        <v>0</v>
      </c>
      <c r="Y16" s="43">
        <f>IF($J16="R",$O16/12*IF(Y$6&lt;$K16,$U16,MIN(1,$U16+(1-$U16)*(Y$6-$K16+1)/$L16)),IF($J16="P",IF(AND(Y$6&gt;=$K16,Y$6&lt;$K16+$L16),$M16/$L16,0),IF($J16="X",$M16/12*(Y$6&lt;=12),0)))</f>
        <v>0</v>
      </c>
      <c r="Z16" s="43">
        <f>IF($J16="R",$O16/12*IF(Z$6&lt;$K16,$U16,MIN(1,$U16+(1-$U16)*(Z$6-$K16+1)/$L16)),IF($J16="P",IF(AND(Z$6&gt;=$K16,Z$6&lt;$K16+$L16),$M16/$L16,0),IF($J16="X",$M16/12*(Z$6&lt;=12),0)))</f>
        <v>0</v>
      </c>
      <c r="AA16" s="43">
        <f>IF($J16="R",$O16/12*IF(AA$6&lt;$K16,$U16,MIN(1,$U16+(1-$U16)*(AA$6-$K16+1)/$L16)),IF($J16="P",IF(AND(AA$6&gt;=$K16,AA$6&lt;$K16+$L16),$M16/$L16,0),IF($J16="X",$M16/12*(AA$6&lt;=12),0)))</f>
        <v>0</v>
      </c>
      <c r="AB16" s="43">
        <f>IF($J16="R",$O16/12*IF(AB$6&lt;$K16,$U16,MIN(1,$U16+(1-$U16)*(AB$6-$K16+1)/$L16)),IF($J16="P",IF(AND(AB$6&gt;=$K16,AB$6&lt;$K16+$L16),$M16/$L16,0),IF($J16="X",$M16/12*(AB$6&lt;=12),0)))</f>
        <v>0</v>
      </c>
      <c r="AC16" s="43">
        <f>IF($J16="R",$O16/12*IF(AC$6&lt;$K16,$U16,MIN(1,$U16+(1-$U16)*(AC$6-$K16+1)/$L16)),IF($J16="P",IF(AND(AC$6&gt;=$K16,AC$6&lt;$K16+$L16),$M16/$L16,0),IF($J16="X",$M16/12*(AC$6&lt;=12),0)))</f>
        <v>0</v>
      </c>
      <c r="AD16" s="43">
        <f>IF($J16="R",$O16/12*IF(AD$6&lt;$K16,$U16,MIN(1,$U16+(1-$U16)*(AD$6-$K16+1)/$L16)),IF($J16="P",IF(AND(AD$6&gt;=$K16,AD$6&lt;$K16+$L16),$M16/$L16,0),IF($J16="X",$M16/12*(AD$6&lt;=12),0)))</f>
        <v>0</v>
      </c>
      <c r="AE16" s="43">
        <f>IF($J16="R",$O16/12*IF(AE$6&lt;$K16,$U16,MIN(1,$U16+(1-$U16)*(AE$6-$K16+1)/$L16)),IF($J16="P",IF(AND(AE$6&gt;=$K16,AE$6&lt;$K16+$L16),$M16/$L16,0),IF($J16="X",$M16/12*(AE$6&lt;=12),0)))</f>
        <v>0</v>
      </c>
      <c r="AF16" s="43">
        <f>IF($J16="R",$O16/12*IF(AF$6&lt;$K16,$U16,MIN(1,$U16+(1-$U16)*(AF$6-$K16+1)/$L16)),IF($J16="P",IF(AND(AF$6&gt;=$K16,AF$6&lt;$K16+$L16),$M16/$L16,0),IF($J16="X",$M16/12*(AF$6&lt;=12),0)))</f>
        <v>0</v>
      </c>
      <c r="AG16" s="43">
        <f>IF($J16="R",$O16/12*IF(AG$6&lt;$K16,$U16,MIN(1,$U16+(1-$U16)*(AG$6-$K16+1)/$L16)),IF($J16="P",IF(AND(AG$6&gt;=$K16,AG$6&lt;$K16+$L16),$M16/$L16,0),IF($J16="X",$M16/12*(AG$6&lt;=12),0)))</f>
        <v>0</v>
      </c>
      <c r="AH16" s="43">
        <f>IF($J16="R",$O16/12*IF(AH$6&lt;$K16,$U16,MIN(1,$U16+(1-$U16)*(AH$6-$K16+1)/$L16)),IF($J16="P",IF(AND(AH$6&gt;=$K16,AH$6&lt;$K16+$L16),$M16/$L16,0),IF($J16="X",$M16/12*(AH$6&lt;=12),0)))</f>
        <v>0</v>
      </c>
      <c r="AI16" s="43">
        <f>IF($J16="R",$O16/12*IF(AI$6&lt;$K16,$U16,MIN(1,$U16+(1-$U16)*(AI$6-$K16+1)/$L16)),IF($J16="P",IF(AND(AI$6&gt;=$K16,AI$6&lt;$K16+$L16),$M16/$L16,0),IF($J16="X",$M16/12*(AI$6&lt;=12),0)))</f>
        <v>0</v>
      </c>
      <c r="AJ16" s="43">
        <f>IF($J16="R",$O16/12*IF(AJ$6&lt;$K16,$U16,MIN(1,$U16+(1-$U16)*(AJ$6-$K16+1)/$L16)),IF($J16="P",IF(AND(AJ$6&gt;=$K16,AJ$6&lt;$K16+$L16),$M16/$L16,0),IF($J16="X",$M16/12*(AJ$6&lt;=12),0)))</f>
        <v>0</v>
      </c>
      <c r="AK16" s="43">
        <f>IF($J16="R",$O16/12*IF(AK$6&lt;$K16,$U16,MIN(1,$U16+(1-$U16)*(AK$6-$K16+1)/$L16)),IF($J16="P",IF(AND(AK$6&gt;=$K16,AK$6&lt;$K16+$L16),$M16/$L16,0),IF($J16="X",$M16/12*(AK$6&lt;=12),0)))</f>
        <v>0</v>
      </c>
      <c r="AL16" s="43">
        <f>IF($J16="R",$O16/12*IF(AL$6&lt;$K16,$U16,MIN(1,$U16+(1-$U16)*(AL$6-$K16+1)/$L16)),IF($J16="P",IF(AND(AL$6&gt;=$K16,AL$6&lt;$K16+$L16),$M16/$L16,0),IF($J16="X",$M16/12*(AL$6&lt;=12),0)))</f>
        <v>0</v>
      </c>
      <c r="AM16" s="43">
        <f>IF($J16="R",$O16/12*IF(AM$6&lt;$K16,$U16,MIN(1,$U16+(1-$U16)*(AM$6-$K16+1)/$L16)),IF($J16="P",IF(AND(AM$6&gt;=$K16,AM$6&lt;$K16+$L16),$M16/$L16,0),IF($J16="X",$M16/12*(AM$6&lt;=12),0)))</f>
        <v>0</v>
      </c>
      <c r="AN16" s="43">
        <f>IF($J16="R",$O16/12*IF(AN$6&lt;$K16,$U16,MIN(1,$U16+(1-$U16)*(AN$6-$K16+1)/$L16)),IF($J16="P",IF(AND(AN$6&gt;=$K16,AN$6&lt;$K16+$L16),$M16/$L16,0),IF($J16="X",$M16/12*(AN$6&lt;=12),0)))</f>
        <v>0</v>
      </c>
      <c r="AO16" s="43">
        <f>IF($J16="R",$O16/12*IF(AO$6&lt;$K16,$U16,MIN(1,$U16+(1-$U16)*(AO$6-$K16+1)/$L16)),IF($J16="P",IF(AND(AO$6&gt;=$K16,AO$6&lt;$K16+$L16),$M16/$L16,0),IF($J16="X",$M16/12*(AO$6&lt;=12),0)))</f>
        <v>60000</v>
      </c>
      <c r="AP16" s="43">
        <f>IF($J16="R",$O16/12*IF(AP$6&lt;$K16,$U16,MIN(1,$U16+(1-$U16)*(AP$6-$K16+1)/$L16)),IF($J16="P",IF(AND(AP$6&gt;=$K16,AP$6&lt;$K16+$L16),$M16/$L16,0),IF($J16="X",$M16/12*(AP$6&lt;=12),0)))</f>
        <v>60000</v>
      </c>
      <c r="AQ16" s="43">
        <f>IF($J16="R",$O16/12*IF(AQ$6&lt;$K16,$U16,MIN(1,$U16+(1-$U16)*(AQ$6-$K16+1)/$L16)),IF($J16="P",IF(AND(AQ$6&gt;=$K16,AQ$6&lt;$K16+$L16),$M16/$L16,0),IF($J16="X",$M16/12*(AQ$6&lt;=12),0)))</f>
        <v>60000</v>
      </c>
      <c r="AR16" s="43">
        <f>IF($J16="R",$O16/12*IF(AR$6&lt;$K16,$U16,MIN(1,$U16+(1-$U16)*(AR$6-$K16+1)/$L16)),IF($J16="P",IF(AND(AR$6&gt;=$K16,AR$6&lt;$K16+$L16),$M16/$L16,0),IF($J16="X",$M16/12*(AR$6&lt;=12),0)))</f>
        <v>0</v>
      </c>
      <c r="AS16" s="43">
        <f>IF($J16="R",$O16/12*IF(AS$6&lt;$K16,$U16,MIN(1,$U16+(1-$U16)*(AS$6-$K16+1)/$L16)),IF($J16="P",IF(AND(AS$6&gt;=$K16,AS$6&lt;$K16+$L16),$M16/$L16,0),IF($J16="X",$M16/12*(AS$6&lt;=12),0)))</f>
        <v>0</v>
      </c>
      <c r="AT16" s="43">
        <f>IF($J16="R",$O16/12*IF(AT$6&lt;$K16,$U16,MIN(1,$U16+(1-$U16)*(AT$6-$K16+1)/$L16)),IF($J16="P",IF(AND(AT$6&gt;=$K16,AT$6&lt;$K16+$L16),$M16/$L16,0),IF($J16="X",$M16/12*(AT$6&lt;=12),0)))</f>
        <v>0</v>
      </c>
      <c r="AU16" s="43">
        <f>IF($J16="R",$O16/12*IF(AU$6&lt;$K16,$U16,MIN(1,$U16+(1-$U16)*(AU$6-$K16+1)/$L16)),IF($J16="P",IF(AND(AU$6&gt;=$K16,AU$6&lt;$K16+$L16),$M16/$L16,0),IF($J16="X",$M16/12*(AU$6&lt;=12),0)))</f>
        <v>0</v>
      </c>
      <c r="AV16" s="23">
        <f>SUM(X16:AI16)</f>
        <v>0</v>
      </c>
      <c r="AW16" s="23">
        <f>SUM(AJ16:AU16)</f>
        <v>180000</v>
      </c>
      <c r="AX16" s="45">
        <f>$O16*(1+$P16)</f>
        <v>288000</v>
      </c>
      <c r="AY16" s="45">
        <f>AX16*(1+$Q16)</f>
        <v>403200</v>
      </c>
      <c r="AZ16" s="45">
        <f>AY16*(1+$R16)</f>
        <v>564480</v>
      </c>
      <c r="BA16" s="25">
        <f>SUM(AV16:AZ16)</f>
        <v>1435680</v>
      </c>
    </row>
    <row r="17">
      <c r="A17" s="62" t="n">
        <v>8</v>
      </c>
      <c r="B17" s="15" t="inlineStr">
        <is>
          <t>싱가포르</t>
        </is>
      </c>
      <c r="C17" s="15" t="inlineStr">
        <is>
          <t>동남아·APAC</t>
        </is>
      </c>
      <c r="D17" s="15" t="inlineStr">
        <is>
          <t>IMH 스마트 욕창 케어 R&amp;D(연 SGD 120,000)</t>
        </is>
      </c>
      <c r="E17" s="15" t="inlineStr">
        <is>
          <t>기관(직접)</t>
        </is>
      </c>
      <c r="F17" s="15" t="inlineStr">
        <is>
          <t>계약</t>
        </is>
      </c>
      <c r="G17" s="15" t="inlineStr">
        <is>
          <t>계약</t>
        </is>
      </c>
      <c r="H17" s="15" t="inlineStr">
        <is>
          <t>A 계약·기존 거래</t>
        </is>
      </c>
      <c r="I17" s="15" t="inlineStr">
        <is>
          <t>RND</t>
        </is>
      </c>
      <c r="J17" s="63" t="inlineStr">
        <is>
          <t>R</t>
        </is>
      </c>
      <c r="K17" s="64" t="n">
        <v>7</v>
      </c>
      <c r="L17" s="64" t="n">
        <v>1</v>
      </c>
      <c r="M17" s="65" t="n">
        <v>120000</v>
      </c>
      <c r="N17" s="66">
        <f>SUMPRODUCT(($AJ$6:$AU$6&lt;$K17)*$U17+($AJ$6:$AU$6&gt;=$K17)*((($U17+(1-$U17)*($AJ$6:$AU$6-$K17+1)/$L17)&gt;=1)*1+(($U17+(1-$U17)*($AJ$6:$AU$6-$K17+1)/$L17)&lt;1)*($U17+(1-$U17)*($AJ$6:$AU$6-$K17+1)/$L17)))</f>
        <v>12</v>
      </c>
      <c r="O17" s="43">
        <f>IF($J17="R",IF($N17=0,0,$M17*12/$N17),$M17)</f>
        <v>120000</v>
      </c>
      <c r="P17" s="67" t="n">
        <v>0</v>
      </c>
      <c r="Q17" s="67" t="n">
        <v>-1</v>
      </c>
      <c r="R17" s="67" t="n">
        <v>0</v>
      </c>
      <c r="S17" s="68">
        <f>INDEX('8_가정'!$C$17:$E$24,MATCH($G17,'8_가정'!$A$17:$A$24,0),1)</f>
        <v>1</v>
      </c>
      <c r="T17" s="63" t="inlineStr">
        <is>
          <t>Y</t>
        </is>
      </c>
      <c r="U17" s="67" t="n">
        <v>0</v>
      </c>
      <c r="V17" s="69" t="inlineStr">
        <is>
          <t>IR p.20·25: 공동 R&amp;D 연 SGD 120,000. 가정: 2026-07 착수, 2028 종료 후 상용 매출은 신규 파이프라인에 포함</t>
        </is>
      </c>
      <c r="X17" s="43">
        <f>IF($J17="R",$O17/12*IF(X$6&lt;$K17,$U17,MIN(1,$U17+(1-$U17)*(X$6-$K17+1)/$L17)),IF($J17="P",IF(AND(X$6&gt;=$K17,X$6&lt;$K17+$L17),$M17/$L17,0),IF($J17="X",$M17/12*(X$6&lt;=12),0)))</f>
        <v>0</v>
      </c>
      <c r="Y17" s="43">
        <f>IF($J17="R",$O17/12*IF(Y$6&lt;$K17,$U17,MIN(1,$U17+(1-$U17)*(Y$6-$K17+1)/$L17)),IF($J17="P",IF(AND(Y$6&gt;=$K17,Y$6&lt;$K17+$L17),$M17/$L17,0),IF($J17="X",$M17/12*(Y$6&lt;=12),0)))</f>
        <v>0</v>
      </c>
      <c r="Z17" s="43">
        <f>IF($J17="R",$O17/12*IF(Z$6&lt;$K17,$U17,MIN(1,$U17+(1-$U17)*(Z$6-$K17+1)/$L17)),IF($J17="P",IF(AND(Z$6&gt;=$K17,Z$6&lt;$K17+$L17),$M17/$L17,0),IF($J17="X",$M17/12*(Z$6&lt;=12),0)))</f>
        <v>0</v>
      </c>
      <c r="AA17" s="43">
        <f>IF($J17="R",$O17/12*IF(AA$6&lt;$K17,$U17,MIN(1,$U17+(1-$U17)*(AA$6-$K17+1)/$L17)),IF($J17="P",IF(AND(AA$6&gt;=$K17,AA$6&lt;$K17+$L17),$M17/$L17,0),IF($J17="X",$M17/12*(AA$6&lt;=12),0)))</f>
        <v>0</v>
      </c>
      <c r="AB17" s="43">
        <f>IF($J17="R",$O17/12*IF(AB$6&lt;$K17,$U17,MIN(1,$U17+(1-$U17)*(AB$6-$K17+1)/$L17)),IF($J17="P",IF(AND(AB$6&gt;=$K17,AB$6&lt;$K17+$L17),$M17/$L17,0),IF($J17="X",$M17/12*(AB$6&lt;=12),0)))</f>
        <v>0</v>
      </c>
      <c r="AC17" s="43">
        <f>IF($J17="R",$O17/12*IF(AC$6&lt;$K17,$U17,MIN(1,$U17+(1-$U17)*(AC$6-$K17+1)/$L17)),IF($J17="P",IF(AND(AC$6&gt;=$K17,AC$6&lt;$K17+$L17),$M17/$L17,0),IF($J17="X",$M17/12*(AC$6&lt;=12),0)))</f>
        <v>0</v>
      </c>
      <c r="AD17" s="43">
        <f>IF($J17="R",$O17/12*IF(AD$6&lt;$K17,$U17,MIN(1,$U17+(1-$U17)*(AD$6-$K17+1)/$L17)),IF($J17="P",IF(AND(AD$6&gt;=$K17,AD$6&lt;$K17+$L17),$M17/$L17,0),IF($J17="X",$M17/12*(AD$6&lt;=12),0)))</f>
        <v>10000</v>
      </c>
      <c r="AE17" s="43">
        <f>IF($J17="R",$O17/12*IF(AE$6&lt;$K17,$U17,MIN(1,$U17+(1-$U17)*(AE$6-$K17+1)/$L17)),IF($J17="P",IF(AND(AE$6&gt;=$K17,AE$6&lt;$K17+$L17),$M17/$L17,0),IF($J17="X",$M17/12*(AE$6&lt;=12),0)))</f>
        <v>10000</v>
      </c>
      <c r="AF17" s="43">
        <f>IF($J17="R",$O17/12*IF(AF$6&lt;$K17,$U17,MIN(1,$U17+(1-$U17)*(AF$6-$K17+1)/$L17)),IF($J17="P",IF(AND(AF$6&gt;=$K17,AF$6&lt;$K17+$L17),$M17/$L17,0),IF($J17="X",$M17/12*(AF$6&lt;=12),0)))</f>
        <v>10000</v>
      </c>
      <c r="AG17" s="43">
        <f>IF($J17="R",$O17/12*IF(AG$6&lt;$K17,$U17,MIN(1,$U17+(1-$U17)*(AG$6-$K17+1)/$L17)),IF($J17="P",IF(AND(AG$6&gt;=$K17,AG$6&lt;$K17+$L17),$M17/$L17,0),IF($J17="X",$M17/12*(AG$6&lt;=12),0)))</f>
        <v>10000</v>
      </c>
      <c r="AH17" s="43">
        <f>IF($J17="R",$O17/12*IF(AH$6&lt;$K17,$U17,MIN(1,$U17+(1-$U17)*(AH$6-$K17+1)/$L17)),IF($J17="P",IF(AND(AH$6&gt;=$K17,AH$6&lt;$K17+$L17),$M17/$L17,0),IF($J17="X",$M17/12*(AH$6&lt;=12),0)))</f>
        <v>10000</v>
      </c>
      <c r="AI17" s="43">
        <f>IF($J17="R",$O17/12*IF(AI$6&lt;$K17,$U17,MIN(1,$U17+(1-$U17)*(AI$6-$K17+1)/$L17)),IF($J17="P",IF(AND(AI$6&gt;=$K17,AI$6&lt;$K17+$L17),$M17/$L17,0),IF($J17="X",$M17/12*(AI$6&lt;=12),0)))</f>
        <v>10000</v>
      </c>
      <c r="AJ17" s="43">
        <f>IF($J17="R",$O17/12*IF(AJ$6&lt;$K17,$U17,MIN(1,$U17+(1-$U17)*(AJ$6-$K17+1)/$L17)),IF($J17="P",IF(AND(AJ$6&gt;=$K17,AJ$6&lt;$K17+$L17),$M17/$L17,0),IF($J17="X",$M17/12*(AJ$6&lt;=12),0)))</f>
        <v>10000</v>
      </c>
      <c r="AK17" s="43">
        <f>IF($J17="R",$O17/12*IF(AK$6&lt;$K17,$U17,MIN(1,$U17+(1-$U17)*(AK$6-$K17+1)/$L17)),IF($J17="P",IF(AND(AK$6&gt;=$K17,AK$6&lt;$K17+$L17),$M17/$L17,0),IF($J17="X",$M17/12*(AK$6&lt;=12),0)))</f>
        <v>10000</v>
      </c>
      <c r="AL17" s="43">
        <f>IF($J17="R",$O17/12*IF(AL$6&lt;$K17,$U17,MIN(1,$U17+(1-$U17)*(AL$6-$K17+1)/$L17)),IF($J17="P",IF(AND(AL$6&gt;=$K17,AL$6&lt;$K17+$L17),$M17/$L17,0),IF($J17="X",$M17/12*(AL$6&lt;=12),0)))</f>
        <v>10000</v>
      </c>
      <c r="AM17" s="43">
        <f>IF($J17="R",$O17/12*IF(AM$6&lt;$K17,$U17,MIN(1,$U17+(1-$U17)*(AM$6-$K17+1)/$L17)),IF($J17="P",IF(AND(AM$6&gt;=$K17,AM$6&lt;$K17+$L17),$M17/$L17,0),IF($J17="X",$M17/12*(AM$6&lt;=12),0)))</f>
        <v>10000</v>
      </c>
      <c r="AN17" s="43">
        <f>IF($J17="R",$O17/12*IF(AN$6&lt;$K17,$U17,MIN(1,$U17+(1-$U17)*(AN$6-$K17+1)/$L17)),IF($J17="P",IF(AND(AN$6&gt;=$K17,AN$6&lt;$K17+$L17),$M17/$L17,0),IF($J17="X",$M17/12*(AN$6&lt;=12),0)))</f>
        <v>10000</v>
      </c>
      <c r="AO17" s="43">
        <f>IF($J17="R",$O17/12*IF(AO$6&lt;$K17,$U17,MIN(1,$U17+(1-$U17)*(AO$6-$K17+1)/$L17)),IF($J17="P",IF(AND(AO$6&gt;=$K17,AO$6&lt;$K17+$L17),$M17/$L17,0),IF($J17="X",$M17/12*(AO$6&lt;=12),0)))</f>
        <v>10000</v>
      </c>
      <c r="AP17" s="43">
        <f>IF($J17="R",$O17/12*IF(AP$6&lt;$K17,$U17,MIN(1,$U17+(1-$U17)*(AP$6-$K17+1)/$L17)),IF($J17="P",IF(AND(AP$6&gt;=$K17,AP$6&lt;$K17+$L17),$M17/$L17,0),IF($J17="X",$M17/12*(AP$6&lt;=12),0)))</f>
        <v>10000</v>
      </c>
      <c r="AQ17" s="43">
        <f>IF($J17="R",$O17/12*IF(AQ$6&lt;$K17,$U17,MIN(1,$U17+(1-$U17)*(AQ$6-$K17+1)/$L17)),IF($J17="P",IF(AND(AQ$6&gt;=$K17,AQ$6&lt;$K17+$L17),$M17/$L17,0),IF($J17="X",$M17/12*(AQ$6&lt;=12),0)))</f>
        <v>10000</v>
      </c>
      <c r="AR17" s="43">
        <f>IF($J17="R",$O17/12*IF(AR$6&lt;$K17,$U17,MIN(1,$U17+(1-$U17)*(AR$6-$K17+1)/$L17)),IF($J17="P",IF(AND(AR$6&gt;=$K17,AR$6&lt;$K17+$L17),$M17/$L17,0),IF($J17="X",$M17/12*(AR$6&lt;=12),0)))</f>
        <v>10000</v>
      </c>
      <c r="AS17" s="43">
        <f>IF($J17="R",$O17/12*IF(AS$6&lt;$K17,$U17,MIN(1,$U17+(1-$U17)*(AS$6-$K17+1)/$L17)),IF($J17="P",IF(AND(AS$6&gt;=$K17,AS$6&lt;$K17+$L17),$M17/$L17,0),IF($J17="X",$M17/12*(AS$6&lt;=12),0)))</f>
        <v>10000</v>
      </c>
      <c r="AT17" s="43">
        <f>IF($J17="R",$O17/12*IF(AT$6&lt;$K17,$U17,MIN(1,$U17+(1-$U17)*(AT$6-$K17+1)/$L17)),IF($J17="P",IF(AND(AT$6&gt;=$K17,AT$6&lt;$K17+$L17),$M17/$L17,0),IF($J17="X",$M17/12*(AT$6&lt;=12),0)))</f>
        <v>10000</v>
      </c>
      <c r="AU17" s="43">
        <f>IF($J17="R",$O17/12*IF(AU$6&lt;$K17,$U17,MIN(1,$U17+(1-$U17)*(AU$6-$K17+1)/$L17)),IF($J17="P",IF(AND(AU$6&gt;=$K17,AU$6&lt;$K17+$L17),$M17/$L17,0),IF($J17="X",$M17/12*(AU$6&lt;=12),0)))</f>
        <v>10000</v>
      </c>
      <c r="AV17" s="23">
        <f>SUM(X17:AI17)</f>
        <v>60000</v>
      </c>
      <c r="AW17" s="23">
        <f>SUM(AJ17:AU17)</f>
        <v>120000</v>
      </c>
      <c r="AX17" s="45">
        <f>$O17*(1+$P17)</f>
        <v>120000</v>
      </c>
      <c r="AY17" s="45">
        <f>AX17*(1+$Q17)</f>
        <v>0</v>
      </c>
      <c r="AZ17" s="45">
        <f>AY17*(1+$R17)</f>
        <v>0</v>
      </c>
      <c r="BA17" s="25">
        <f>SUM(AV17:AZ17)</f>
        <v>300000</v>
      </c>
    </row>
    <row r="18">
      <c r="A18" s="62" t="n">
        <v>9</v>
      </c>
      <c r="B18" s="15" t="inlineStr">
        <is>
          <t>싱가포르</t>
        </is>
      </c>
      <c r="C18" s="15" t="inlineStr">
        <is>
          <t>동남아·APAC</t>
        </is>
      </c>
      <c r="D18" s="15" t="inlineStr">
        <is>
          <t>Vanguard Healthcare(요양원 5곳, 입소자 300명 구독)</t>
        </is>
      </c>
      <c r="E18" s="15" t="inlineStr">
        <is>
          <t>기관(직접)</t>
        </is>
      </c>
      <c r="F18" s="15" t="inlineStr">
        <is>
          <t>계약</t>
        </is>
      </c>
      <c r="G18" s="15" t="inlineStr">
        <is>
          <t>계약</t>
        </is>
      </c>
      <c r="H18" s="15" t="inlineStr">
        <is>
          <t>A 계약·기존 거래</t>
        </is>
      </c>
      <c r="I18" s="15" t="inlineStr">
        <is>
          <t>SUB</t>
        </is>
      </c>
      <c r="J18" s="63" t="inlineStr">
        <is>
          <t>R</t>
        </is>
      </c>
      <c r="K18" s="64" t="n">
        <v>11</v>
      </c>
      <c r="L18" s="64" t="n">
        <v>3</v>
      </c>
      <c r="M18" s="65" t="n">
        <v>285840</v>
      </c>
      <c r="N18" s="66">
        <f>SUMPRODUCT(($AJ$6:$AU$6&lt;$K18)*$U18+($AJ$6:$AU$6&gt;=$K18)*((($U18+(1-$U18)*($AJ$6:$AU$6-$K18+1)/$L18)&gt;=1)*1+(($U18+(1-$U18)*($AJ$6:$AU$6-$K18+1)/$L18)&lt;1)*($U18+(1-$U18)*($AJ$6:$AU$6-$K18+1)/$L18)))</f>
        <v>12</v>
      </c>
      <c r="O18" s="43">
        <f>IF($J18="R",IF($N18=0,0,$M18*12/$N18),$M18)</f>
        <v>285840</v>
      </c>
      <c r="P18" s="67" t="n">
        <v>0.2</v>
      </c>
      <c r="Q18" s="67" t="n">
        <v>0.2</v>
      </c>
      <c r="R18" s="67" t="n">
        <v>0.2</v>
      </c>
      <c r="S18" s="68">
        <f>INDEX('8_가정'!$C$17:$E$24,MATCH($G18,'8_가정'!$A$17:$A$24,0),1)</f>
        <v>1</v>
      </c>
      <c r="T18" s="63" t="inlineStr">
        <is>
          <t>Y</t>
        </is>
      </c>
      <c r="U18" s="67" t="n">
        <v>0</v>
      </c>
      <c r="V18" s="69" t="inlineStr">
        <is>
          <t>IR p.18·25: 입소자 300명 구독 계약 확정(연 285,840 USD → IR 표는 천원 단위로 표기). 가정: 2026-11 개시</t>
        </is>
      </c>
      <c r="X18" s="43">
        <f>IF($J18="R",$O18/12*IF(X$6&lt;$K18,$U18,MIN(1,$U18+(1-$U18)*(X$6-$K18+1)/$L18)),IF($J18="P",IF(AND(X$6&gt;=$K18,X$6&lt;$K18+$L18),$M18/$L18,0),IF($J18="X",$M18/12*(X$6&lt;=12),0)))</f>
        <v>0</v>
      </c>
      <c r="Y18" s="43">
        <f>IF($J18="R",$O18/12*IF(Y$6&lt;$K18,$U18,MIN(1,$U18+(1-$U18)*(Y$6-$K18+1)/$L18)),IF($J18="P",IF(AND(Y$6&gt;=$K18,Y$6&lt;$K18+$L18),$M18/$L18,0),IF($J18="X",$M18/12*(Y$6&lt;=12),0)))</f>
        <v>0</v>
      </c>
      <c r="Z18" s="43">
        <f>IF($J18="R",$O18/12*IF(Z$6&lt;$K18,$U18,MIN(1,$U18+(1-$U18)*(Z$6-$K18+1)/$L18)),IF($J18="P",IF(AND(Z$6&gt;=$K18,Z$6&lt;$K18+$L18),$M18/$L18,0),IF($J18="X",$M18/12*(Z$6&lt;=12),0)))</f>
        <v>0</v>
      </c>
      <c r="AA18" s="43">
        <f>IF($J18="R",$O18/12*IF(AA$6&lt;$K18,$U18,MIN(1,$U18+(1-$U18)*(AA$6-$K18+1)/$L18)),IF($J18="P",IF(AND(AA$6&gt;=$K18,AA$6&lt;$K18+$L18),$M18/$L18,0),IF($J18="X",$M18/12*(AA$6&lt;=12),0)))</f>
        <v>0</v>
      </c>
      <c r="AB18" s="43">
        <f>IF($J18="R",$O18/12*IF(AB$6&lt;$K18,$U18,MIN(1,$U18+(1-$U18)*(AB$6-$K18+1)/$L18)),IF($J18="P",IF(AND(AB$6&gt;=$K18,AB$6&lt;$K18+$L18),$M18/$L18,0),IF($J18="X",$M18/12*(AB$6&lt;=12),0)))</f>
        <v>0</v>
      </c>
      <c r="AC18" s="43">
        <f>IF($J18="R",$O18/12*IF(AC$6&lt;$K18,$U18,MIN(1,$U18+(1-$U18)*(AC$6-$K18+1)/$L18)),IF($J18="P",IF(AND(AC$6&gt;=$K18,AC$6&lt;$K18+$L18),$M18/$L18,0),IF($J18="X",$M18/12*(AC$6&lt;=12),0)))</f>
        <v>0</v>
      </c>
      <c r="AD18" s="43">
        <f>IF($J18="R",$O18/12*IF(AD$6&lt;$K18,$U18,MIN(1,$U18+(1-$U18)*(AD$6-$K18+1)/$L18)),IF($J18="P",IF(AND(AD$6&gt;=$K18,AD$6&lt;$K18+$L18),$M18/$L18,0),IF($J18="X",$M18/12*(AD$6&lt;=12),0)))</f>
        <v>0</v>
      </c>
      <c r="AE18" s="43">
        <f>IF($J18="R",$O18/12*IF(AE$6&lt;$K18,$U18,MIN(1,$U18+(1-$U18)*(AE$6-$K18+1)/$L18)),IF($J18="P",IF(AND(AE$6&gt;=$K18,AE$6&lt;$K18+$L18),$M18/$L18,0),IF($J18="X",$M18/12*(AE$6&lt;=12),0)))</f>
        <v>0</v>
      </c>
      <c r="AF18" s="43">
        <f>IF($J18="R",$O18/12*IF(AF$6&lt;$K18,$U18,MIN(1,$U18+(1-$U18)*(AF$6-$K18+1)/$L18)),IF($J18="P",IF(AND(AF$6&gt;=$K18,AF$6&lt;$K18+$L18),$M18/$L18,0),IF($J18="X",$M18/12*(AF$6&lt;=12),0)))</f>
        <v>0</v>
      </c>
      <c r="AG18" s="43">
        <f>IF($J18="R",$O18/12*IF(AG$6&lt;$K18,$U18,MIN(1,$U18+(1-$U18)*(AG$6-$K18+1)/$L18)),IF($J18="P",IF(AND(AG$6&gt;=$K18,AG$6&lt;$K18+$L18),$M18/$L18,0),IF($J18="X",$M18/12*(AG$6&lt;=12),0)))</f>
        <v>0</v>
      </c>
      <c r="AH18" s="43">
        <f>IF($J18="R",$O18/12*IF(AH$6&lt;$K18,$U18,MIN(1,$U18+(1-$U18)*(AH$6-$K18+1)/$L18)),IF($J18="P",IF(AND(AH$6&gt;=$K18,AH$6&lt;$K18+$L18),$M18/$L18,0),IF($J18="X",$M18/12*(AH$6&lt;=12),0)))</f>
        <v>7940</v>
      </c>
      <c r="AI18" s="43">
        <f>IF($J18="R",$O18/12*IF(AI$6&lt;$K18,$U18,MIN(1,$U18+(1-$U18)*(AI$6-$K18+1)/$L18)),IF($J18="P",IF(AND(AI$6&gt;=$K18,AI$6&lt;$K18+$L18),$M18/$L18,0),IF($J18="X",$M18/12*(AI$6&lt;=12),0)))</f>
        <v>15880</v>
      </c>
      <c r="AJ18" s="43">
        <f>IF($J18="R",$O18/12*IF(AJ$6&lt;$K18,$U18,MIN(1,$U18+(1-$U18)*(AJ$6-$K18+1)/$L18)),IF($J18="P",IF(AND(AJ$6&gt;=$K18,AJ$6&lt;$K18+$L18),$M18/$L18,0),IF($J18="X",$M18/12*(AJ$6&lt;=12),0)))</f>
        <v>23820</v>
      </c>
      <c r="AK18" s="43">
        <f>IF($J18="R",$O18/12*IF(AK$6&lt;$K18,$U18,MIN(1,$U18+(1-$U18)*(AK$6-$K18+1)/$L18)),IF($J18="P",IF(AND(AK$6&gt;=$K18,AK$6&lt;$K18+$L18),$M18/$L18,0),IF($J18="X",$M18/12*(AK$6&lt;=12),0)))</f>
        <v>23820</v>
      </c>
      <c r="AL18" s="43">
        <f>IF($J18="R",$O18/12*IF(AL$6&lt;$K18,$U18,MIN(1,$U18+(1-$U18)*(AL$6-$K18+1)/$L18)),IF($J18="P",IF(AND(AL$6&gt;=$K18,AL$6&lt;$K18+$L18),$M18/$L18,0),IF($J18="X",$M18/12*(AL$6&lt;=12),0)))</f>
        <v>23820</v>
      </c>
      <c r="AM18" s="43">
        <f>IF($J18="R",$O18/12*IF(AM$6&lt;$K18,$U18,MIN(1,$U18+(1-$U18)*(AM$6-$K18+1)/$L18)),IF($J18="P",IF(AND(AM$6&gt;=$K18,AM$6&lt;$K18+$L18),$M18/$L18,0),IF($J18="X",$M18/12*(AM$6&lt;=12),0)))</f>
        <v>23820</v>
      </c>
      <c r="AN18" s="43">
        <f>IF($J18="R",$O18/12*IF(AN$6&lt;$K18,$U18,MIN(1,$U18+(1-$U18)*(AN$6-$K18+1)/$L18)),IF($J18="P",IF(AND(AN$6&gt;=$K18,AN$6&lt;$K18+$L18),$M18/$L18,0),IF($J18="X",$M18/12*(AN$6&lt;=12),0)))</f>
        <v>23820</v>
      </c>
      <c r="AO18" s="43">
        <f>IF($J18="R",$O18/12*IF(AO$6&lt;$K18,$U18,MIN(1,$U18+(1-$U18)*(AO$6-$K18+1)/$L18)),IF($J18="P",IF(AND(AO$6&gt;=$K18,AO$6&lt;$K18+$L18),$M18/$L18,0),IF($J18="X",$M18/12*(AO$6&lt;=12),0)))</f>
        <v>23820</v>
      </c>
      <c r="AP18" s="43">
        <f>IF($J18="R",$O18/12*IF(AP$6&lt;$K18,$U18,MIN(1,$U18+(1-$U18)*(AP$6-$K18+1)/$L18)),IF($J18="P",IF(AND(AP$6&gt;=$K18,AP$6&lt;$K18+$L18),$M18/$L18,0),IF($J18="X",$M18/12*(AP$6&lt;=12),0)))</f>
        <v>23820</v>
      </c>
      <c r="AQ18" s="43">
        <f>IF($J18="R",$O18/12*IF(AQ$6&lt;$K18,$U18,MIN(1,$U18+(1-$U18)*(AQ$6-$K18+1)/$L18)),IF($J18="P",IF(AND(AQ$6&gt;=$K18,AQ$6&lt;$K18+$L18),$M18/$L18,0),IF($J18="X",$M18/12*(AQ$6&lt;=12),0)))</f>
        <v>23820</v>
      </c>
      <c r="AR18" s="43">
        <f>IF($J18="R",$O18/12*IF(AR$6&lt;$K18,$U18,MIN(1,$U18+(1-$U18)*(AR$6-$K18+1)/$L18)),IF($J18="P",IF(AND(AR$6&gt;=$K18,AR$6&lt;$K18+$L18),$M18/$L18,0),IF($J18="X",$M18/12*(AR$6&lt;=12),0)))</f>
        <v>23820</v>
      </c>
      <c r="AS18" s="43">
        <f>IF($J18="R",$O18/12*IF(AS$6&lt;$K18,$U18,MIN(1,$U18+(1-$U18)*(AS$6-$K18+1)/$L18)),IF($J18="P",IF(AND(AS$6&gt;=$K18,AS$6&lt;$K18+$L18),$M18/$L18,0),IF($J18="X",$M18/12*(AS$6&lt;=12),0)))</f>
        <v>23820</v>
      </c>
      <c r="AT18" s="43">
        <f>IF($J18="R",$O18/12*IF(AT$6&lt;$K18,$U18,MIN(1,$U18+(1-$U18)*(AT$6-$K18+1)/$L18)),IF($J18="P",IF(AND(AT$6&gt;=$K18,AT$6&lt;$K18+$L18),$M18/$L18,0),IF($J18="X",$M18/12*(AT$6&lt;=12),0)))</f>
        <v>23820</v>
      </c>
      <c r="AU18" s="43">
        <f>IF($J18="R",$O18/12*IF(AU$6&lt;$K18,$U18,MIN(1,$U18+(1-$U18)*(AU$6-$K18+1)/$L18)),IF($J18="P",IF(AND(AU$6&gt;=$K18,AU$6&lt;$K18+$L18),$M18/$L18,0),IF($J18="X",$M18/12*(AU$6&lt;=12),0)))</f>
        <v>23820</v>
      </c>
      <c r="AV18" s="23">
        <f>SUM(X18:AI18)</f>
        <v>23820</v>
      </c>
      <c r="AW18" s="23">
        <f>SUM(AJ18:AU18)</f>
        <v>285840</v>
      </c>
      <c r="AX18" s="45">
        <f>$O18*(1+$P18)</f>
        <v>343008</v>
      </c>
      <c r="AY18" s="45">
        <f>AX18*(1+$Q18)</f>
        <v>411609.6</v>
      </c>
      <c r="AZ18" s="45">
        <f>AY18*(1+$R18)</f>
        <v>493931.52</v>
      </c>
      <c r="BA18" s="25">
        <f>SUM(AV18:AZ18)</f>
        <v>1558209.12</v>
      </c>
    </row>
    <row r="19">
      <c r="A19" s="62" t="n">
        <v>10</v>
      </c>
      <c r="B19" s="15" t="inlineStr">
        <is>
          <t>싱가포르</t>
        </is>
      </c>
      <c r="C19" s="15" t="inlineStr">
        <is>
          <t>동남아·APAC</t>
        </is>
      </c>
      <c r="D19" s="15" t="inlineStr">
        <is>
          <t>Intega Healthcare(싱가포르 총판)</t>
        </is>
      </c>
      <c r="E19" s="15" t="inlineStr">
        <is>
          <t>총판</t>
        </is>
      </c>
      <c r="F19" s="15" t="inlineStr">
        <is>
          <t>계약</t>
        </is>
      </c>
      <c r="G19" s="15" t="inlineStr">
        <is>
          <t>계약</t>
        </is>
      </c>
      <c r="H19" s="15" t="inlineStr">
        <is>
          <t>A 계약·기존 거래</t>
        </is>
      </c>
      <c r="I19" s="15" t="inlineStr">
        <is>
          <t>DIST</t>
        </is>
      </c>
      <c r="J19" s="63" t="inlineStr">
        <is>
          <t>R</t>
        </is>
      </c>
      <c r="K19" s="64" t="n">
        <v>1</v>
      </c>
      <c r="L19" s="64" t="n">
        <v>15</v>
      </c>
      <c r="M19" s="65" t="n">
        <v>300000</v>
      </c>
      <c r="N19" s="66">
        <f>SUMPRODUCT(($AJ$6:$AU$6&lt;$K19)*$U19+($AJ$6:$AU$6&gt;=$K19)*((($U19+(1-$U19)*($AJ$6:$AU$6-$K19+1)/$L19)&gt;=1)*1+(($U19+(1-$U19)*($AJ$6:$AU$6-$K19+1)/$L19)&lt;1)*($U19+(1-$U19)*($AJ$6:$AU$6-$K19+1)/$L19)))</f>
        <v>11.8</v>
      </c>
      <c r="O19" s="43">
        <f>IF($J19="R",IF($N19=0,0,$M19*12/$N19),$M19)</f>
        <v>305084.745762712</v>
      </c>
      <c r="P19" s="67" t="n">
        <v>0.5</v>
      </c>
      <c r="Q19" s="67" t="n">
        <v>0.4</v>
      </c>
      <c r="R19" s="67" t="n">
        <v>0.3</v>
      </c>
      <c r="S19" s="68">
        <f>INDEX('8_가정'!$C$17:$E$24,MATCH($G19,'8_가정'!$A$17:$A$24,0),1)</f>
        <v>1</v>
      </c>
      <c r="T19" s="63" t="inlineStr">
        <is>
          <t>N</t>
        </is>
      </c>
      <c r="U19" s="67" t="n">
        <v>0</v>
      </c>
      <c r="V19" s="69" t="inlineStr">
        <is>
          <t>IR p.23·25, 회사연혁: 2026-01 첫 수출(USD 17,440). 기존 거래 — 지연 미적용</t>
        </is>
      </c>
      <c r="X19" s="43">
        <f>IF($J19="R",$O19/12*IF(X$6&lt;$K19,$U19,MIN(1,$U19+(1-$U19)*(X$6-$K19+1)/$L19)),IF($J19="P",IF(AND(X$6&gt;=$K19,X$6&lt;$K19+$L19),$M19/$L19,0),IF($J19="X",$M19/12*(X$6&lt;=12),0)))</f>
        <v>1694.91525423729</v>
      </c>
      <c r="Y19" s="43">
        <f>IF($J19="R",$O19/12*IF(Y$6&lt;$K19,$U19,MIN(1,$U19+(1-$U19)*(Y$6-$K19+1)/$L19)),IF($J19="P",IF(AND(Y$6&gt;=$K19,Y$6&lt;$K19+$L19),$M19/$L19,0),IF($J19="X",$M19/12*(Y$6&lt;=12),0)))</f>
        <v>3389.83050847458</v>
      </c>
      <c r="Z19" s="43">
        <f>IF($J19="R",$O19/12*IF(Z$6&lt;$K19,$U19,MIN(1,$U19+(1-$U19)*(Z$6-$K19+1)/$L19)),IF($J19="P",IF(AND(Z$6&gt;=$K19,Z$6&lt;$K19+$L19),$M19/$L19,0),IF($J19="X",$M19/12*(Z$6&lt;=12),0)))</f>
        <v>5084.74576271187</v>
      </c>
      <c r="AA19" s="43">
        <f>IF($J19="R",$O19/12*IF(AA$6&lt;$K19,$U19,MIN(1,$U19+(1-$U19)*(AA$6-$K19+1)/$L19)),IF($J19="P",IF(AND(AA$6&gt;=$K19,AA$6&lt;$K19+$L19),$M19/$L19,0),IF($J19="X",$M19/12*(AA$6&lt;=12),0)))</f>
        <v>6779.66101694915</v>
      </c>
      <c r="AB19" s="43">
        <f>IF($J19="R",$O19/12*IF(AB$6&lt;$K19,$U19,MIN(1,$U19+(1-$U19)*(AB$6-$K19+1)/$L19)),IF($J19="P",IF(AND(AB$6&gt;=$K19,AB$6&lt;$K19+$L19),$M19/$L19,0),IF($J19="X",$M19/12*(AB$6&lt;=12),0)))</f>
        <v>8474.57627118644</v>
      </c>
      <c r="AC19" s="43">
        <f>IF($J19="R",$O19/12*IF(AC$6&lt;$K19,$U19,MIN(1,$U19+(1-$U19)*(AC$6-$K19+1)/$L19)),IF($J19="P",IF(AND(AC$6&gt;=$K19,AC$6&lt;$K19+$L19),$M19/$L19,0),IF($J19="X",$M19/12*(AC$6&lt;=12),0)))</f>
        <v>10169.4915254237</v>
      </c>
      <c r="AD19" s="43">
        <f>IF($J19="R",$O19/12*IF(AD$6&lt;$K19,$U19,MIN(1,$U19+(1-$U19)*(AD$6-$K19+1)/$L19)),IF($J19="P",IF(AND(AD$6&gt;=$K19,AD$6&lt;$K19+$L19),$M19/$L19,0),IF($J19="X",$M19/12*(AD$6&lt;=12),0)))</f>
        <v>11864.406779661</v>
      </c>
      <c r="AE19" s="43">
        <f>IF($J19="R",$O19/12*IF(AE$6&lt;$K19,$U19,MIN(1,$U19+(1-$U19)*(AE$6-$K19+1)/$L19)),IF($J19="P",IF(AND(AE$6&gt;=$K19,AE$6&lt;$K19+$L19),$M19/$L19,0),IF($J19="X",$M19/12*(AE$6&lt;=12),0)))</f>
        <v>13559.3220338983</v>
      </c>
      <c r="AF19" s="43">
        <f>IF($J19="R",$O19/12*IF(AF$6&lt;$K19,$U19,MIN(1,$U19+(1-$U19)*(AF$6-$K19+1)/$L19)),IF($J19="P",IF(AND(AF$6&gt;=$K19,AF$6&lt;$K19+$L19),$M19/$L19,0),IF($J19="X",$M19/12*(AF$6&lt;=12),0)))</f>
        <v>15254.2372881356</v>
      </c>
      <c r="AG19" s="43">
        <f>IF($J19="R",$O19/12*IF(AG$6&lt;$K19,$U19,MIN(1,$U19+(1-$U19)*(AG$6-$K19+1)/$L19)),IF($J19="P",IF(AND(AG$6&gt;=$K19,AG$6&lt;$K19+$L19),$M19/$L19,0),IF($J19="X",$M19/12*(AG$6&lt;=12),0)))</f>
        <v>16949.1525423729</v>
      </c>
      <c r="AH19" s="43">
        <f>IF($J19="R",$O19/12*IF(AH$6&lt;$K19,$U19,MIN(1,$U19+(1-$U19)*(AH$6-$K19+1)/$L19)),IF($J19="P",IF(AND(AH$6&gt;=$K19,AH$6&lt;$K19+$L19),$M19/$L19,0),IF($J19="X",$M19/12*(AH$6&lt;=12),0)))</f>
        <v>18644.0677966102</v>
      </c>
      <c r="AI19" s="43">
        <f>IF($J19="R",$O19/12*IF(AI$6&lt;$K19,$U19,MIN(1,$U19+(1-$U19)*(AI$6-$K19+1)/$L19)),IF($J19="P",IF(AND(AI$6&gt;=$K19,AI$6&lt;$K19+$L19),$M19/$L19,0),IF($J19="X",$M19/12*(AI$6&lt;=12),0)))</f>
        <v>20338.9830508475</v>
      </c>
      <c r="AJ19" s="43">
        <f>IF($J19="R",$O19/12*IF(AJ$6&lt;$K19,$U19,MIN(1,$U19+(1-$U19)*(AJ$6-$K19+1)/$L19)),IF($J19="P",IF(AND(AJ$6&gt;=$K19,AJ$6&lt;$K19+$L19),$M19/$L19,0),IF($J19="X",$M19/12*(AJ$6&lt;=12),0)))</f>
        <v>22033.8983050847</v>
      </c>
      <c r="AK19" s="43">
        <f>IF($J19="R",$O19/12*IF(AK$6&lt;$K19,$U19,MIN(1,$U19+(1-$U19)*(AK$6-$K19+1)/$L19)),IF($J19="P",IF(AND(AK$6&gt;=$K19,AK$6&lt;$K19+$L19),$M19/$L19,0),IF($J19="X",$M19/12*(AK$6&lt;=12),0)))</f>
        <v>23728.813559322</v>
      </c>
      <c r="AL19" s="43">
        <f>IF($J19="R",$O19/12*IF(AL$6&lt;$K19,$U19,MIN(1,$U19+(1-$U19)*(AL$6-$K19+1)/$L19)),IF($J19="P",IF(AND(AL$6&gt;=$K19,AL$6&lt;$K19+$L19),$M19/$L19,0),IF($J19="X",$M19/12*(AL$6&lt;=12),0)))</f>
        <v>25423.7288135593</v>
      </c>
      <c r="AM19" s="43">
        <f>IF($J19="R",$O19/12*IF(AM$6&lt;$K19,$U19,MIN(1,$U19+(1-$U19)*(AM$6-$K19+1)/$L19)),IF($J19="P",IF(AND(AM$6&gt;=$K19,AM$6&lt;$K19+$L19),$M19/$L19,0),IF($J19="X",$M19/12*(AM$6&lt;=12),0)))</f>
        <v>25423.7288135593</v>
      </c>
      <c r="AN19" s="43">
        <f>IF($J19="R",$O19/12*IF(AN$6&lt;$K19,$U19,MIN(1,$U19+(1-$U19)*(AN$6-$K19+1)/$L19)),IF($J19="P",IF(AND(AN$6&gt;=$K19,AN$6&lt;$K19+$L19),$M19/$L19,0),IF($J19="X",$M19/12*(AN$6&lt;=12),0)))</f>
        <v>25423.7288135593</v>
      </c>
      <c r="AO19" s="43">
        <f>IF($J19="R",$O19/12*IF(AO$6&lt;$K19,$U19,MIN(1,$U19+(1-$U19)*(AO$6-$K19+1)/$L19)),IF($J19="P",IF(AND(AO$6&gt;=$K19,AO$6&lt;$K19+$L19),$M19/$L19,0),IF($J19="X",$M19/12*(AO$6&lt;=12),0)))</f>
        <v>25423.7288135593</v>
      </c>
      <c r="AP19" s="43">
        <f>IF($J19="R",$O19/12*IF(AP$6&lt;$K19,$U19,MIN(1,$U19+(1-$U19)*(AP$6-$K19+1)/$L19)),IF($J19="P",IF(AND(AP$6&gt;=$K19,AP$6&lt;$K19+$L19),$M19/$L19,0),IF($J19="X",$M19/12*(AP$6&lt;=12),0)))</f>
        <v>25423.7288135593</v>
      </c>
      <c r="AQ19" s="43">
        <f>IF($J19="R",$O19/12*IF(AQ$6&lt;$K19,$U19,MIN(1,$U19+(1-$U19)*(AQ$6-$K19+1)/$L19)),IF($J19="P",IF(AND(AQ$6&gt;=$K19,AQ$6&lt;$K19+$L19),$M19/$L19,0),IF($J19="X",$M19/12*(AQ$6&lt;=12),0)))</f>
        <v>25423.7288135593</v>
      </c>
      <c r="AR19" s="43">
        <f>IF($J19="R",$O19/12*IF(AR$6&lt;$K19,$U19,MIN(1,$U19+(1-$U19)*(AR$6-$K19+1)/$L19)),IF($J19="P",IF(AND(AR$6&gt;=$K19,AR$6&lt;$K19+$L19),$M19/$L19,0),IF($J19="X",$M19/12*(AR$6&lt;=12),0)))</f>
        <v>25423.7288135593</v>
      </c>
      <c r="AS19" s="43">
        <f>IF($J19="R",$O19/12*IF(AS$6&lt;$K19,$U19,MIN(1,$U19+(1-$U19)*(AS$6-$K19+1)/$L19)),IF($J19="P",IF(AND(AS$6&gt;=$K19,AS$6&lt;$K19+$L19),$M19/$L19,0),IF($J19="X",$M19/12*(AS$6&lt;=12),0)))</f>
        <v>25423.7288135593</v>
      </c>
      <c r="AT19" s="43">
        <f>IF($J19="R",$O19/12*IF(AT$6&lt;$K19,$U19,MIN(1,$U19+(1-$U19)*(AT$6-$K19+1)/$L19)),IF($J19="P",IF(AND(AT$6&gt;=$K19,AT$6&lt;$K19+$L19),$M19/$L19,0),IF($J19="X",$M19/12*(AT$6&lt;=12),0)))</f>
        <v>25423.7288135593</v>
      </c>
      <c r="AU19" s="43">
        <f>IF($J19="R",$O19/12*IF(AU$6&lt;$K19,$U19,MIN(1,$U19+(1-$U19)*(AU$6-$K19+1)/$L19)),IF($J19="P",IF(AND(AU$6&gt;=$K19,AU$6&lt;$K19+$L19),$M19/$L19,0),IF($J19="X",$M19/12*(AU$6&lt;=12),0)))</f>
        <v>25423.7288135593</v>
      </c>
      <c r="AV19" s="23">
        <f>SUM(X19:AI19)</f>
        <v>132203.389830508</v>
      </c>
      <c r="AW19" s="23">
        <f>SUM(AJ19:AU19)</f>
        <v>300000</v>
      </c>
      <c r="AX19" s="45">
        <f>$O19*(1+$P19)</f>
        <v>457627.118644068</v>
      </c>
      <c r="AY19" s="45">
        <f>AX19*(1+$Q19)</f>
        <v>640677.966101695</v>
      </c>
      <c r="AZ19" s="45">
        <f>AY19*(1+$R19)</f>
        <v>832881.355932203</v>
      </c>
      <c r="BA19" s="25">
        <f>SUM(AV19:AZ19)</f>
        <v>2363389.83050847</v>
      </c>
    </row>
    <row r="20">
      <c r="A20" s="62" t="n">
        <v>11</v>
      </c>
      <c r="B20" s="15" t="inlineStr">
        <is>
          <t>말레이시아</t>
        </is>
      </c>
      <c r="C20" s="15" t="inlineStr">
        <is>
          <t>동남아·APAC</t>
        </is>
      </c>
      <c r="D20" s="15" t="inlineStr">
        <is>
          <t>Sunway Sanctuary(PoC / R&amp;D)</t>
        </is>
      </c>
      <c r="E20" s="15" t="inlineStr">
        <is>
          <t>기관(직접)</t>
        </is>
      </c>
      <c r="F20" s="15" t="inlineStr">
        <is>
          <t>PoC / R&amp;D</t>
        </is>
      </c>
      <c r="G20" s="15" t="inlineStr">
        <is>
          <t>PoC</t>
        </is>
      </c>
      <c r="H20" s="15" t="inlineStr">
        <is>
          <t>B 등록·입찰·협의 단계</t>
        </is>
      </c>
      <c r="I20" s="15" t="inlineStr">
        <is>
          <t>RND</t>
        </is>
      </c>
      <c r="J20" s="63" t="inlineStr">
        <is>
          <t>R</t>
        </is>
      </c>
      <c r="K20" s="64" t="n">
        <v>17</v>
      </c>
      <c r="L20" s="64" t="n">
        <v>3</v>
      </c>
      <c r="M20" s="65" t="n">
        <v>300000</v>
      </c>
      <c r="N20" s="66">
        <f>SUMPRODUCT(($AJ$6:$AU$6&lt;$K20)*$U20+($AJ$6:$AU$6&gt;=$K20)*((($U20+(1-$U20)*($AJ$6:$AU$6-$K20+1)/$L20)&gt;=1)*1+(($U20+(1-$U20)*($AJ$6:$AU$6-$K20+1)/$L20)&lt;1)*($U20+(1-$U20)*($AJ$6:$AU$6-$K20+1)/$L20)))</f>
        <v>7</v>
      </c>
      <c r="O20" s="43">
        <f>IF($J20="R",IF($N20=0,0,$M20*12/$N20),$M20)</f>
        <v>514285.714285714</v>
      </c>
      <c r="P20" s="67" t="n">
        <v>0</v>
      </c>
      <c r="Q20" s="67" t="n">
        <v>0</v>
      </c>
      <c r="R20" s="67" t="n">
        <v>0</v>
      </c>
      <c r="S20" s="68">
        <f>INDEX('8_가정'!$C$17:$E$24,MATCH($G20,'8_가정'!$A$17:$A$24,0),1)</f>
        <v>0</v>
      </c>
      <c r="T20" s="63" t="inlineStr">
        <is>
          <t>Y</t>
        </is>
      </c>
      <c r="U20" s="67" t="n">
        <v>0</v>
      </c>
      <c r="V20" s="69" t="inlineStr">
        <is>
          <t>IR p.25 표에 3.0억 표기. PoC 단계 → 모든 시나리오에서 매출 제외(상방). IR 차트 10,005 ≈ 표 합계 − 본 건</t>
        </is>
      </c>
      <c r="X20" s="43">
        <f>IF($J20="R",$O20/12*IF(X$6&lt;$K20,$U20,MIN(1,$U20+(1-$U20)*(X$6-$K20+1)/$L20)),IF($J20="P",IF(AND(X$6&gt;=$K20,X$6&lt;$K20+$L20),$M20/$L20,0),IF($J20="X",$M20/12*(X$6&lt;=12),0)))</f>
        <v>0</v>
      </c>
      <c r="Y20" s="43">
        <f>IF($J20="R",$O20/12*IF(Y$6&lt;$K20,$U20,MIN(1,$U20+(1-$U20)*(Y$6-$K20+1)/$L20)),IF($J20="P",IF(AND(Y$6&gt;=$K20,Y$6&lt;$K20+$L20),$M20/$L20,0),IF($J20="X",$M20/12*(Y$6&lt;=12),0)))</f>
        <v>0</v>
      </c>
      <c r="Z20" s="43">
        <f>IF($J20="R",$O20/12*IF(Z$6&lt;$K20,$U20,MIN(1,$U20+(1-$U20)*(Z$6-$K20+1)/$L20)),IF($J20="P",IF(AND(Z$6&gt;=$K20,Z$6&lt;$K20+$L20),$M20/$L20,0),IF($J20="X",$M20/12*(Z$6&lt;=12),0)))</f>
        <v>0</v>
      </c>
      <c r="AA20" s="43">
        <f>IF($J20="R",$O20/12*IF(AA$6&lt;$K20,$U20,MIN(1,$U20+(1-$U20)*(AA$6-$K20+1)/$L20)),IF($J20="P",IF(AND(AA$6&gt;=$K20,AA$6&lt;$K20+$L20),$M20/$L20,0),IF($J20="X",$M20/12*(AA$6&lt;=12),0)))</f>
        <v>0</v>
      </c>
      <c r="AB20" s="43">
        <f>IF($J20="R",$O20/12*IF(AB$6&lt;$K20,$U20,MIN(1,$U20+(1-$U20)*(AB$6-$K20+1)/$L20)),IF($J20="P",IF(AND(AB$6&gt;=$K20,AB$6&lt;$K20+$L20),$M20/$L20,0),IF($J20="X",$M20/12*(AB$6&lt;=12),0)))</f>
        <v>0</v>
      </c>
      <c r="AC20" s="43">
        <f>IF($J20="R",$O20/12*IF(AC$6&lt;$K20,$U20,MIN(1,$U20+(1-$U20)*(AC$6-$K20+1)/$L20)),IF($J20="P",IF(AND(AC$6&gt;=$K20,AC$6&lt;$K20+$L20),$M20/$L20,0),IF($J20="X",$M20/12*(AC$6&lt;=12),0)))</f>
        <v>0</v>
      </c>
      <c r="AD20" s="43">
        <f>IF($J20="R",$O20/12*IF(AD$6&lt;$K20,$U20,MIN(1,$U20+(1-$U20)*(AD$6-$K20+1)/$L20)),IF($J20="P",IF(AND(AD$6&gt;=$K20,AD$6&lt;$K20+$L20),$M20/$L20,0),IF($J20="X",$M20/12*(AD$6&lt;=12),0)))</f>
        <v>0</v>
      </c>
      <c r="AE20" s="43">
        <f>IF($J20="R",$O20/12*IF(AE$6&lt;$K20,$U20,MIN(1,$U20+(1-$U20)*(AE$6-$K20+1)/$L20)),IF($J20="P",IF(AND(AE$6&gt;=$K20,AE$6&lt;$K20+$L20),$M20/$L20,0),IF($J20="X",$M20/12*(AE$6&lt;=12),0)))</f>
        <v>0</v>
      </c>
      <c r="AF20" s="43">
        <f>IF($J20="R",$O20/12*IF(AF$6&lt;$K20,$U20,MIN(1,$U20+(1-$U20)*(AF$6-$K20+1)/$L20)),IF($J20="P",IF(AND(AF$6&gt;=$K20,AF$6&lt;$K20+$L20),$M20/$L20,0),IF($J20="X",$M20/12*(AF$6&lt;=12),0)))</f>
        <v>0</v>
      </c>
      <c r="AG20" s="43">
        <f>IF($J20="R",$O20/12*IF(AG$6&lt;$K20,$U20,MIN(1,$U20+(1-$U20)*(AG$6-$K20+1)/$L20)),IF($J20="P",IF(AND(AG$6&gt;=$K20,AG$6&lt;$K20+$L20),$M20/$L20,0),IF($J20="X",$M20/12*(AG$6&lt;=12),0)))</f>
        <v>0</v>
      </c>
      <c r="AH20" s="43">
        <f>IF($J20="R",$O20/12*IF(AH$6&lt;$K20,$U20,MIN(1,$U20+(1-$U20)*(AH$6-$K20+1)/$L20)),IF($J20="P",IF(AND(AH$6&gt;=$K20,AH$6&lt;$K20+$L20),$M20/$L20,0),IF($J20="X",$M20/12*(AH$6&lt;=12),0)))</f>
        <v>0</v>
      </c>
      <c r="AI20" s="43">
        <f>IF($J20="R",$O20/12*IF(AI$6&lt;$K20,$U20,MIN(1,$U20+(1-$U20)*(AI$6-$K20+1)/$L20)),IF($J20="P",IF(AND(AI$6&gt;=$K20,AI$6&lt;$K20+$L20),$M20/$L20,0),IF($J20="X",$M20/12*(AI$6&lt;=12),0)))</f>
        <v>0</v>
      </c>
      <c r="AJ20" s="43">
        <f>IF($J20="R",$O20/12*IF(AJ$6&lt;$K20,$U20,MIN(1,$U20+(1-$U20)*(AJ$6-$K20+1)/$L20)),IF($J20="P",IF(AND(AJ$6&gt;=$K20,AJ$6&lt;$K20+$L20),$M20/$L20,0),IF($J20="X",$M20/12*(AJ$6&lt;=12),0)))</f>
        <v>0</v>
      </c>
      <c r="AK20" s="43">
        <f>IF($J20="R",$O20/12*IF(AK$6&lt;$K20,$U20,MIN(1,$U20+(1-$U20)*(AK$6-$K20+1)/$L20)),IF($J20="P",IF(AND(AK$6&gt;=$K20,AK$6&lt;$K20+$L20),$M20/$L20,0),IF($J20="X",$M20/12*(AK$6&lt;=12),0)))</f>
        <v>0</v>
      </c>
      <c r="AL20" s="43">
        <f>IF($J20="R",$O20/12*IF(AL$6&lt;$K20,$U20,MIN(1,$U20+(1-$U20)*(AL$6-$K20+1)/$L20)),IF($J20="P",IF(AND(AL$6&gt;=$K20,AL$6&lt;$K20+$L20),$M20/$L20,0),IF($J20="X",$M20/12*(AL$6&lt;=12),0)))</f>
        <v>0</v>
      </c>
      <c r="AM20" s="43">
        <f>IF($J20="R",$O20/12*IF(AM$6&lt;$K20,$U20,MIN(1,$U20+(1-$U20)*(AM$6-$K20+1)/$L20)),IF($J20="P",IF(AND(AM$6&gt;=$K20,AM$6&lt;$K20+$L20),$M20/$L20,0),IF($J20="X",$M20/12*(AM$6&lt;=12),0)))</f>
        <v>0</v>
      </c>
      <c r="AN20" s="43">
        <f>IF($J20="R",$O20/12*IF(AN$6&lt;$K20,$U20,MIN(1,$U20+(1-$U20)*(AN$6-$K20+1)/$L20)),IF($J20="P",IF(AND(AN$6&gt;=$K20,AN$6&lt;$K20+$L20),$M20/$L20,0),IF($J20="X",$M20/12*(AN$6&lt;=12),0)))</f>
        <v>14285.7142857143</v>
      </c>
      <c r="AO20" s="43">
        <f>IF($J20="R",$O20/12*IF(AO$6&lt;$K20,$U20,MIN(1,$U20+(1-$U20)*(AO$6-$K20+1)/$L20)),IF($J20="P",IF(AND(AO$6&gt;=$K20,AO$6&lt;$K20+$L20),$M20/$L20,0),IF($J20="X",$M20/12*(AO$6&lt;=12),0)))</f>
        <v>28571.4285714286</v>
      </c>
      <c r="AP20" s="43">
        <f>IF($J20="R",$O20/12*IF(AP$6&lt;$K20,$U20,MIN(1,$U20+(1-$U20)*(AP$6-$K20+1)/$L20)),IF($J20="P",IF(AND(AP$6&gt;=$K20,AP$6&lt;$K20+$L20),$M20/$L20,0),IF($J20="X",$M20/12*(AP$6&lt;=12),0)))</f>
        <v>42857.1428571429</v>
      </c>
      <c r="AQ20" s="43">
        <f>IF($J20="R",$O20/12*IF(AQ$6&lt;$K20,$U20,MIN(1,$U20+(1-$U20)*(AQ$6-$K20+1)/$L20)),IF($J20="P",IF(AND(AQ$6&gt;=$K20,AQ$6&lt;$K20+$L20),$M20/$L20,0),IF($J20="X",$M20/12*(AQ$6&lt;=12),0)))</f>
        <v>42857.1428571429</v>
      </c>
      <c r="AR20" s="43">
        <f>IF($J20="R",$O20/12*IF(AR$6&lt;$K20,$U20,MIN(1,$U20+(1-$U20)*(AR$6-$K20+1)/$L20)),IF($J20="P",IF(AND(AR$6&gt;=$K20,AR$6&lt;$K20+$L20),$M20/$L20,0),IF($J20="X",$M20/12*(AR$6&lt;=12),0)))</f>
        <v>42857.1428571429</v>
      </c>
      <c r="AS20" s="43">
        <f>IF($J20="R",$O20/12*IF(AS$6&lt;$K20,$U20,MIN(1,$U20+(1-$U20)*(AS$6-$K20+1)/$L20)),IF($J20="P",IF(AND(AS$6&gt;=$K20,AS$6&lt;$K20+$L20),$M20/$L20,0),IF($J20="X",$M20/12*(AS$6&lt;=12),0)))</f>
        <v>42857.1428571429</v>
      </c>
      <c r="AT20" s="43">
        <f>IF($J20="R",$O20/12*IF(AT$6&lt;$K20,$U20,MIN(1,$U20+(1-$U20)*(AT$6-$K20+1)/$L20)),IF($J20="P",IF(AND(AT$6&gt;=$K20,AT$6&lt;$K20+$L20),$M20/$L20,0),IF($J20="X",$M20/12*(AT$6&lt;=12),0)))</f>
        <v>42857.1428571429</v>
      </c>
      <c r="AU20" s="43">
        <f>IF($J20="R",$O20/12*IF(AU$6&lt;$K20,$U20,MIN(1,$U20+(1-$U20)*(AU$6-$K20+1)/$L20)),IF($J20="P",IF(AND(AU$6&gt;=$K20,AU$6&lt;$K20+$L20),$M20/$L20,0),IF($J20="X",$M20/12*(AU$6&lt;=12),0)))</f>
        <v>42857.1428571429</v>
      </c>
      <c r="AV20" s="23">
        <f>SUM(X20:AI20)</f>
        <v>0</v>
      </c>
      <c r="AW20" s="23">
        <f>SUM(AJ20:AU20)</f>
        <v>300000</v>
      </c>
      <c r="AX20" s="45">
        <f>$O20*(1+$P20)</f>
        <v>514285.714285714</v>
      </c>
      <c r="AY20" s="45">
        <f>AX20*(1+$Q20)</f>
        <v>514285.714285714</v>
      </c>
      <c r="AZ20" s="45">
        <f>AY20*(1+$R20)</f>
        <v>514285.714285714</v>
      </c>
      <c r="BA20" s="25">
        <f>SUM(AV20:AZ20)</f>
        <v>1842857.14285714</v>
      </c>
    </row>
    <row r="21">
      <c r="A21" s="62" t="n">
        <v>12</v>
      </c>
      <c r="B21" s="15" t="inlineStr">
        <is>
          <t>태국</t>
        </is>
      </c>
      <c r="C21" s="15" t="inlineStr">
        <is>
          <t>동남아·APAC</t>
        </is>
      </c>
      <c r="D21" s="15" t="inlineStr">
        <is>
          <t>Punnita(태국, 베이비)</t>
        </is>
      </c>
      <c r="E21" s="15" t="inlineStr">
        <is>
          <t>총판</t>
        </is>
      </c>
      <c r="F21" s="15" t="inlineStr">
        <is>
          <t>계약</t>
        </is>
      </c>
      <c r="G21" s="15" t="inlineStr">
        <is>
          <t>계약</t>
        </is>
      </c>
      <c r="H21" s="15" t="inlineStr">
        <is>
          <t>A 계약·기존 거래</t>
        </is>
      </c>
      <c r="I21" s="15" t="inlineStr">
        <is>
          <t>BABY</t>
        </is>
      </c>
      <c r="J21" s="63" t="inlineStr">
        <is>
          <t>R</t>
        </is>
      </c>
      <c r="K21" s="64" t="n">
        <v>14</v>
      </c>
      <c r="L21" s="64" t="n">
        <v>6</v>
      </c>
      <c r="M21" s="65" t="n">
        <v>90000</v>
      </c>
      <c r="N21" s="66">
        <f>SUMPRODUCT(($AJ$6:$AU$6&lt;$K21)*$U21+($AJ$6:$AU$6&gt;=$K21)*((($U21+(1-$U21)*($AJ$6:$AU$6-$K21+1)/$L21)&gt;=1)*1+(($U21+(1-$U21)*($AJ$6:$AU$6-$K21+1)/$L21)&lt;1)*($U21+(1-$U21)*($AJ$6:$AU$6-$K21+1)/$L21)))</f>
        <v>8.5</v>
      </c>
      <c r="O21" s="43">
        <f>IF($J21="R",IF($N21=0,0,$M21*12/$N21),$M21)</f>
        <v>127058.823529412</v>
      </c>
      <c r="P21" s="67" t="n">
        <v>1</v>
      </c>
      <c r="Q21" s="67" t="n">
        <v>0.8</v>
      </c>
      <c r="R21" s="67" t="n">
        <v>0.6</v>
      </c>
      <c r="S21" s="68">
        <f>INDEX('8_가정'!$C$17:$E$24,MATCH($G21,'8_가정'!$A$17:$A$24,0),1)</f>
        <v>1</v>
      </c>
      <c r="T21" s="63" t="inlineStr">
        <is>
          <t>Y</t>
        </is>
      </c>
      <c r="U21" s="67" t="n">
        <v>0</v>
      </c>
      <c r="V21" s="69" t="inlineStr">
        <is>
          <t>IR p.23·25. 가정: 2027-02 개시</t>
        </is>
      </c>
      <c r="X21" s="43">
        <f>IF($J21="R",$O21/12*IF(X$6&lt;$K21,$U21,MIN(1,$U21+(1-$U21)*(X$6-$K21+1)/$L21)),IF($J21="P",IF(AND(X$6&gt;=$K21,X$6&lt;$K21+$L21),$M21/$L21,0),IF($J21="X",$M21/12*(X$6&lt;=12),0)))</f>
        <v>0</v>
      </c>
      <c r="Y21" s="43">
        <f>IF($J21="R",$O21/12*IF(Y$6&lt;$K21,$U21,MIN(1,$U21+(1-$U21)*(Y$6-$K21+1)/$L21)),IF($J21="P",IF(AND(Y$6&gt;=$K21,Y$6&lt;$K21+$L21),$M21/$L21,0),IF($J21="X",$M21/12*(Y$6&lt;=12),0)))</f>
        <v>0</v>
      </c>
      <c r="Z21" s="43">
        <f>IF($J21="R",$O21/12*IF(Z$6&lt;$K21,$U21,MIN(1,$U21+(1-$U21)*(Z$6-$K21+1)/$L21)),IF($J21="P",IF(AND(Z$6&gt;=$K21,Z$6&lt;$K21+$L21),$M21/$L21,0),IF($J21="X",$M21/12*(Z$6&lt;=12),0)))</f>
        <v>0</v>
      </c>
      <c r="AA21" s="43">
        <f>IF($J21="R",$O21/12*IF(AA$6&lt;$K21,$U21,MIN(1,$U21+(1-$U21)*(AA$6-$K21+1)/$L21)),IF($J21="P",IF(AND(AA$6&gt;=$K21,AA$6&lt;$K21+$L21),$M21/$L21,0),IF($J21="X",$M21/12*(AA$6&lt;=12),0)))</f>
        <v>0</v>
      </c>
      <c r="AB21" s="43">
        <f>IF($J21="R",$O21/12*IF(AB$6&lt;$K21,$U21,MIN(1,$U21+(1-$U21)*(AB$6-$K21+1)/$L21)),IF($J21="P",IF(AND(AB$6&gt;=$K21,AB$6&lt;$K21+$L21),$M21/$L21,0),IF($J21="X",$M21/12*(AB$6&lt;=12),0)))</f>
        <v>0</v>
      </c>
      <c r="AC21" s="43">
        <f>IF($J21="R",$O21/12*IF(AC$6&lt;$K21,$U21,MIN(1,$U21+(1-$U21)*(AC$6-$K21+1)/$L21)),IF($J21="P",IF(AND(AC$6&gt;=$K21,AC$6&lt;$K21+$L21),$M21/$L21,0),IF($J21="X",$M21/12*(AC$6&lt;=12),0)))</f>
        <v>0</v>
      </c>
      <c r="AD21" s="43">
        <f>IF($J21="R",$O21/12*IF(AD$6&lt;$K21,$U21,MIN(1,$U21+(1-$U21)*(AD$6-$K21+1)/$L21)),IF($J21="P",IF(AND(AD$6&gt;=$K21,AD$6&lt;$K21+$L21),$M21/$L21,0),IF($J21="X",$M21/12*(AD$6&lt;=12),0)))</f>
        <v>0</v>
      </c>
      <c r="AE21" s="43">
        <f>IF($J21="R",$O21/12*IF(AE$6&lt;$K21,$U21,MIN(1,$U21+(1-$U21)*(AE$6-$K21+1)/$L21)),IF($J21="P",IF(AND(AE$6&gt;=$K21,AE$6&lt;$K21+$L21),$M21/$L21,0),IF($J21="X",$M21/12*(AE$6&lt;=12),0)))</f>
        <v>0</v>
      </c>
      <c r="AF21" s="43">
        <f>IF($J21="R",$O21/12*IF(AF$6&lt;$K21,$U21,MIN(1,$U21+(1-$U21)*(AF$6-$K21+1)/$L21)),IF($J21="P",IF(AND(AF$6&gt;=$K21,AF$6&lt;$K21+$L21),$M21/$L21,0),IF($J21="X",$M21/12*(AF$6&lt;=12),0)))</f>
        <v>0</v>
      </c>
      <c r="AG21" s="43">
        <f>IF($J21="R",$O21/12*IF(AG$6&lt;$K21,$U21,MIN(1,$U21+(1-$U21)*(AG$6-$K21+1)/$L21)),IF($J21="P",IF(AND(AG$6&gt;=$K21,AG$6&lt;$K21+$L21),$M21/$L21,0),IF($J21="X",$M21/12*(AG$6&lt;=12),0)))</f>
        <v>0</v>
      </c>
      <c r="AH21" s="43">
        <f>IF($J21="R",$O21/12*IF(AH$6&lt;$K21,$U21,MIN(1,$U21+(1-$U21)*(AH$6-$K21+1)/$L21)),IF($J21="P",IF(AND(AH$6&gt;=$K21,AH$6&lt;$K21+$L21),$M21/$L21,0),IF($J21="X",$M21/12*(AH$6&lt;=12),0)))</f>
        <v>0</v>
      </c>
      <c r="AI21" s="43">
        <f>IF($J21="R",$O21/12*IF(AI$6&lt;$K21,$U21,MIN(1,$U21+(1-$U21)*(AI$6-$K21+1)/$L21)),IF($J21="P",IF(AND(AI$6&gt;=$K21,AI$6&lt;$K21+$L21),$M21/$L21,0),IF($J21="X",$M21/12*(AI$6&lt;=12),0)))</f>
        <v>0</v>
      </c>
      <c r="AJ21" s="43">
        <f>IF($J21="R",$O21/12*IF(AJ$6&lt;$K21,$U21,MIN(1,$U21+(1-$U21)*(AJ$6-$K21+1)/$L21)),IF($J21="P",IF(AND(AJ$6&gt;=$K21,AJ$6&lt;$K21+$L21),$M21/$L21,0),IF($J21="X",$M21/12*(AJ$6&lt;=12),0)))</f>
        <v>0</v>
      </c>
      <c r="AK21" s="43">
        <f>IF($J21="R",$O21/12*IF(AK$6&lt;$K21,$U21,MIN(1,$U21+(1-$U21)*(AK$6-$K21+1)/$L21)),IF($J21="P",IF(AND(AK$6&gt;=$K21,AK$6&lt;$K21+$L21),$M21/$L21,0),IF($J21="X",$M21/12*(AK$6&lt;=12),0)))</f>
        <v>1764.70588235294</v>
      </c>
      <c r="AL21" s="43">
        <f>IF($J21="R",$O21/12*IF(AL$6&lt;$K21,$U21,MIN(1,$U21+(1-$U21)*(AL$6-$K21+1)/$L21)),IF($J21="P",IF(AND(AL$6&gt;=$K21,AL$6&lt;$K21+$L21),$M21/$L21,0),IF($J21="X",$M21/12*(AL$6&lt;=12),0)))</f>
        <v>3529.41176470588</v>
      </c>
      <c r="AM21" s="43">
        <f>IF($J21="R",$O21/12*IF(AM$6&lt;$K21,$U21,MIN(1,$U21+(1-$U21)*(AM$6-$K21+1)/$L21)),IF($J21="P",IF(AND(AM$6&gt;=$K21,AM$6&lt;$K21+$L21),$M21/$L21,0),IF($J21="X",$M21/12*(AM$6&lt;=12),0)))</f>
        <v>5294.11764705882</v>
      </c>
      <c r="AN21" s="43">
        <f>IF($J21="R",$O21/12*IF(AN$6&lt;$K21,$U21,MIN(1,$U21+(1-$U21)*(AN$6-$K21+1)/$L21)),IF($J21="P",IF(AND(AN$6&gt;=$K21,AN$6&lt;$K21+$L21),$M21/$L21,0),IF($J21="X",$M21/12*(AN$6&lt;=12),0)))</f>
        <v>7058.82352941176</v>
      </c>
      <c r="AO21" s="43">
        <f>IF($J21="R",$O21/12*IF(AO$6&lt;$K21,$U21,MIN(1,$U21+(1-$U21)*(AO$6-$K21+1)/$L21)),IF($J21="P",IF(AND(AO$6&gt;=$K21,AO$6&lt;$K21+$L21),$M21/$L21,0),IF($J21="X",$M21/12*(AO$6&lt;=12),0)))</f>
        <v>8823.52941176471</v>
      </c>
      <c r="AP21" s="43">
        <f>IF($J21="R",$O21/12*IF(AP$6&lt;$K21,$U21,MIN(1,$U21+(1-$U21)*(AP$6-$K21+1)/$L21)),IF($J21="P",IF(AND(AP$6&gt;=$K21,AP$6&lt;$K21+$L21),$M21/$L21,0),IF($J21="X",$M21/12*(AP$6&lt;=12),0)))</f>
        <v>10588.2352941176</v>
      </c>
      <c r="AQ21" s="43">
        <f>IF($J21="R",$O21/12*IF(AQ$6&lt;$K21,$U21,MIN(1,$U21+(1-$U21)*(AQ$6-$K21+1)/$L21)),IF($J21="P",IF(AND(AQ$6&gt;=$K21,AQ$6&lt;$K21+$L21),$M21/$L21,0),IF($J21="X",$M21/12*(AQ$6&lt;=12),0)))</f>
        <v>10588.2352941176</v>
      </c>
      <c r="AR21" s="43">
        <f>IF($J21="R",$O21/12*IF(AR$6&lt;$K21,$U21,MIN(1,$U21+(1-$U21)*(AR$6-$K21+1)/$L21)),IF($J21="P",IF(AND(AR$6&gt;=$K21,AR$6&lt;$K21+$L21),$M21/$L21,0),IF($J21="X",$M21/12*(AR$6&lt;=12),0)))</f>
        <v>10588.2352941176</v>
      </c>
      <c r="AS21" s="43">
        <f>IF($J21="R",$O21/12*IF(AS$6&lt;$K21,$U21,MIN(1,$U21+(1-$U21)*(AS$6-$K21+1)/$L21)),IF($J21="P",IF(AND(AS$6&gt;=$K21,AS$6&lt;$K21+$L21),$M21/$L21,0),IF($J21="X",$M21/12*(AS$6&lt;=12),0)))</f>
        <v>10588.2352941176</v>
      </c>
      <c r="AT21" s="43">
        <f>IF($J21="R",$O21/12*IF(AT$6&lt;$K21,$U21,MIN(1,$U21+(1-$U21)*(AT$6-$K21+1)/$L21)),IF($J21="P",IF(AND(AT$6&gt;=$K21,AT$6&lt;$K21+$L21),$M21/$L21,0),IF($J21="X",$M21/12*(AT$6&lt;=12),0)))</f>
        <v>10588.2352941176</v>
      </c>
      <c r="AU21" s="43">
        <f>IF($J21="R",$O21/12*IF(AU$6&lt;$K21,$U21,MIN(1,$U21+(1-$U21)*(AU$6-$K21+1)/$L21)),IF($J21="P",IF(AND(AU$6&gt;=$K21,AU$6&lt;$K21+$L21),$M21/$L21,0),IF($J21="X",$M21/12*(AU$6&lt;=12),0)))</f>
        <v>10588.2352941176</v>
      </c>
      <c r="AV21" s="23">
        <f>SUM(X21:AI21)</f>
        <v>0</v>
      </c>
      <c r="AW21" s="23">
        <f>SUM(AJ21:AU21)</f>
        <v>90000</v>
      </c>
      <c r="AX21" s="45">
        <f>$O21*(1+$P21)</f>
        <v>254117.647058824</v>
      </c>
      <c r="AY21" s="45">
        <f>AX21*(1+$Q21)</f>
        <v>457411.764705882</v>
      </c>
      <c r="AZ21" s="45">
        <f>AY21*(1+$R21)</f>
        <v>731858.823529412</v>
      </c>
      <c r="BA21" s="25">
        <f>SUM(AV21:AZ21)</f>
        <v>1533388.23529412</v>
      </c>
    </row>
    <row r="22">
      <c r="A22" s="62" t="n">
        <v>13</v>
      </c>
      <c r="B22" s="15" t="inlineStr">
        <is>
          <t>대만</t>
        </is>
      </c>
      <c r="C22" s="15" t="inlineStr">
        <is>
          <t>동남아·APAC</t>
        </is>
      </c>
      <c r="D22" s="15" t="inlineStr">
        <is>
          <t>Littleloft(대만, 베이비)</t>
        </is>
      </c>
      <c r="E22" s="15" t="inlineStr">
        <is>
          <t>총판</t>
        </is>
      </c>
      <c r="F22" s="15" t="inlineStr">
        <is>
          <t>계약</t>
        </is>
      </c>
      <c r="G22" s="15" t="inlineStr">
        <is>
          <t>계약</t>
        </is>
      </c>
      <c r="H22" s="15" t="inlineStr">
        <is>
          <t>A 계약·기존 거래</t>
        </is>
      </c>
      <c r="I22" s="15" t="inlineStr">
        <is>
          <t>BABY</t>
        </is>
      </c>
      <c r="J22" s="63" t="inlineStr">
        <is>
          <t>R</t>
        </is>
      </c>
      <c r="K22" s="64" t="n">
        <v>14</v>
      </c>
      <c r="L22" s="64" t="n">
        <v>6</v>
      </c>
      <c r="M22" s="65" t="n">
        <v>120000</v>
      </c>
      <c r="N22" s="66">
        <f>SUMPRODUCT(($AJ$6:$AU$6&lt;$K22)*$U22+($AJ$6:$AU$6&gt;=$K22)*((($U22+(1-$U22)*($AJ$6:$AU$6-$K22+1)/$L22)&gt;=1)*1+(($U22+(1-$U22)*($AJ$6:$AU$6-$K22+1)/$L22)&lt;1)*($U22+(1-$U22)*($AJ$6:$AU$6-$K22+1)/$L22)))</f>
        <v>8.5</v>
      </c>
      <c r="O22" s="43">
        <f>IF($J22="R",IF($N22=0,0,$M22*12/$N22),$M22)</f>
        <v>169411.764705882</v>
      </c>
      <c r="P22" s="67" t="n">
        <v>1</v>
      </c>
      <c r="Q22" s="67" t="n">
        <v>0.8</v>
      </c>
      <c r="R22" s="67" t="n">
        <v>0.6</v>
      </c>
      <c r="S22" s="68">
        <f>INDEX('8_가정'!$C$17:$E$24,MATCH($G22,'8_가정'!$A$17:$A$24,0),1)</f>
        <v>1</v>
      </c>
      <c r="T22" s="63" t="inlineStr">
        <is>
          <t>Y</t>
        </is>
      </c>
      <c r="U22" s="67" t="n">
        <v>0</v>
      </c>
      <c r="V22" s="69" t="inlineStr">
        <is>
          <t>IR p.23·25. 가정: 2027-02 개시</t>
        </is>
      </c>
      <c r="X22" s="43">
        <f>IF($J22="R",$O22/12*IF(X$6&lt;$K22,$U22,MIN(1,$U22+(1-$U22)*(X$6-$K22+1)/$L22)),IF($J22="P",IF(AND(X$6&gt;=$K22,X$6&lt;$K22+$L22),$M22/$L22,0),IF($J22="X",$M22/12*(X$6&lt;=12),0)))</f>
        <v>0</v>
      </c>
      <c r="Y22" s="43">
        <f>IF($J22="R",$O22/12*IF(Y$6&lt;$K22,$U22,MIN(1,$U22+(1-$U22)*(Y$6-$K22+1)/$L22)),IF($J22="P",IF(AND(Y$6&gt;=$K22,Y$6&lt;$K22+$L22),$M22/$L22,0),IF($J22="X",$M22/12*(Y$6&lt;=12),0)))</f>
        <v>0</v>
      </c>
      <c r="Z22" s="43">
        <f>IF($J22="R",$O22/12*IF(Z$6&lt;$K22,$U22,MIN(1,$U22+(1-$U22)*(Z$6-$K22+1)/$L22)),IF($J22="P",IF(AND(Z$6&gt;=$K22,Z$6&lt;$K22+$L22),$M22/$L22,0),IF($J22="X",$M22/12*(Z$6&lt;=12),0)))</f>
        <v>0</v>
      </c>
      <c r="AA22" s="43">
        <f>IF($J22="R",$O22/12*IF(AA$6&lt;$K22,$U22,MIN(1,$U22+(1-$U22)*(AA$6-$K22+1)/$L22)),IF($J22="P",IF(AND(AA$6&gt;=$K22,AA$6&lt;$K22+$L22),$M22/$L22,0),IF($J22="X",$M22/12*(AA$6&lt;=12),0)))</f>
        <v>0</v>
      </c>
      <c r="AB22" s="43">
        <f>IF($J22="R",$O22/12*IF(AB$6&lt;$K22,$U22,MIN(1,$U22+(1-$U22)*(AB$6-$K22+1)/$L22)),IF($J22="P",IF(AND(AB$6&gt;=$K22,AB$6&lt;$K22+$L22),$M22/$L22,0),IF($J22="X",$M22/12*(AB$6&lt;=12),0)))</f>
        <v>0</v>
      </c>
      <c r="AC22" s="43">
        <f>IF($J22="R",$O22/12*IF(AC$6&lt;$K22,$U22,MIN(1,$U22+(1-$U22)*(AC$6-$K22+1)/$L22)),IF($J22="P",IF(AND(AC$6&gt;=$K22,AC$6&lt;$K22+$L22),$M22/$L22,0),IF($J22="X",$M22/12*(AC$6&lt;=12),0)))</f>
        <v>0</v>
      </c>
      <c r="AD22" s="43">
        <f>IF($J22="R",$O22/12*IF(AD$6&lt;$K22,$U22,MIN(1,$U22+(1-$U22)*(AD$6-$K22+1)/$L22)),IF($J22="P",IF(AND(AD$6&gt;=$K22,AD$6&lt;$K22+$L22),$M22/$L22,0),IF($J22="X",$M22/12*(AD$6&lt;=12),0)))</f>
        <v>0</v>
      </c>
      <c r="AE22" s="43">
        <f>IF($J22="R",$O22/12*IF(AE$6&lt;$K22,$U22,MIN(1,$U22+(1-$U22)*(AE$6-$K22+1)/$L22)),IF($J22="P",IF(AND(AE$6&gt;=$K22,AE$6&lt;$K22+$L22),$M22/$L22,0),IF($J22="X",$M22/12*(AE$6&lt;=12),0)))</f>
        <v>0</v>
      </c>
      <c r="AF22" s="43">
        <f>IF($J22="R",$O22/12*IF(AF$6&lt;$K22,$U22,MIN(1,$U22+(1-$U22)*(AF$6-$K22+1)/$L22)),IF($J22="P",IF(AND(AF$6&gt;=$K22,AF$6&lt;$K22+$L22),$M22/$L22,0),IF($J22="X",$M22/12*(AF$6&lt;=12),0)))</f>
        <v>0</v>
      </c>
      <c r="AG22" s="43">
        <f>IF($J22="R",$O22/12*IF(AG$6&lt;$K22,$U22,MIN(1,$U22+(1-$U22)*(AG$6-$K22+1)/$L22)),IF($J22="P",IF(AND(AG$6&gt;=$K22,AG$6&lt;$K22+$L22),$M22/$L22,0),IF($J22="X",$M22/12*(AG$6&lt;=12),0)))</f>
        <v>0</v>
      </c>
      <c r="AH22" s="43">
        <f>IF($J22="R",$O22/12*IF(AH$6&lt;$K22,$U22,MIN(1,$U22+(1-$U22)*(AH$6-$K22+1)/$L22)),IF($J22="P",IF(AND(AH$6&gt;=$K22,AH$6&lt;$K22+$L22),$M22/$L22,0),IF($J22="X",$M22/12*(AH$6&lt;=12),0)))</f>
        <v>0</v>
      </c>
      <c r="AI22" s="43">
        <f>IF($J22="R",$O22/12*IF(AI$6&lt;$K22,$U22,MIN(1,$U22+(1-$U22)*(AI$6-$K22+1)/$L22)),IF($J22="P",IF(AND(AI$6&gt;=$K22,AI$6&lt;$K22+$L22),$M22/$L22,0),IF($J22="X",$M22/12*(AI$6&lt;=12),0)))</f>
        <v>0</v>
      </c>
      <c r="AJ22" s="43">
        <f>IF($J22="R",$O22/12*IF(AJ$6&lt;$K22,$U22,MIN(1,$U22+(1-$U22)*(AJ$6-$K22+1)/$L22)),IF($J22="P",IF(AND(AJ$6&gt;=$K22,AJ$6&lt;$K22+$L22),$M22/$L22,0),IF($J22="X",$M22/12*(AJ$6&lt;=12),0)))</f>
        <v>0</v>
      </c>
      <c r="AK22" s="43">
        <f>IF($J22="R",$O22/12*IF(AK$6&lt;$K22,$U22,MIN(1,$U22+(1-$U22)*(AK$6-$K22+1)/$L22)),IF($J22="P",IF(AND(AK$6&gt;=$K22,AK$6&lt;$K22+$L22),$M22/$L22,0),IF($J22="X",$M22/12*(AK$6&lt;=12),0)))</f>
        <v>2352.94117647059</v>
      </c>
      <c r="AL22" s="43">
        <f>IF($J22="R",$O22/12*IF(AL$6&lt;$K22,$U22,MIN(1,$U22+(1-$U22)*(AL$6-$K22+1)/$L22)),IF($J22="P",IF(AND(AL$6&gt;=$K22,AL$6&lt;$K22+$L22),$M22/$L22,0),IF($J22="X",$M22/12*(AL$6&lt;=12),0)))</f>
        <v>4705.88235294118</v>
      </c>
      <c r="AM22" s="43">
        <f>IF($J22="R",$O22/12*IF(AM$6&lt;$K22,$U22,MIN(1,$U22+(1-$U22)*(AM$6-$K22+1)/$L22)),IF($J22="P",IF(AND(AM$6&gt;=$K22,AM$6&lt;$K22+$L22),$M22/$L22,0),IF($J22="X",$M22/12*(AM$6&lt;=12),0)))</f>
        <v>7058.82352941177</v>
      </c>
      <c r="AN22" s="43">
        <f>IF($J22="R",$O22/12*IF(AN$6&lt;$K22,$U22,MIN(1,$U22+(1-$U22)*(AN$6-$K22+1)/$L22)),IF($J22="P",IF(AND(AN$6&gt;=$K22,AN$6&lt;$K22+$L22),$M22/$L22,0),IF($J22="X",$M22/12*(AN$6&lt;=12),0)))</f>
        <v>9411.76470588235</v>
      </c>
      <c r="AO22" s="43">
        <f>IF($J22="R",$O22/12*IF(AO$6&lt;$K22,$U22,MIN(1,$U22+(1-$U22)*(AO$6-$K22+1)/$L22)),IF($J22="P",IF(AND(AO$6&gt;=$K22,AO$6&lt;$K22+$L22),$M22/$L22,0),IF($J22="X",$M22/12*(AO$6&lt;=12),0)))</f>
        <v>11764.7058823529</v>
      </c>
      <c r="AP22" s="43">
        <f>IF($J22="R",$O22/12*IF(AP$6&lt;$K22,$U22,MIN(1,$U22+(1-$U22)*(AP$6-$K22+1)/$L22)),IF($J22="P",IF(AND(AP$6&gt;=$K22,AP$6&lt;$K22+$L22),$M22/$L22,0),IF($J22="X",$M22/12*(AP$6&lt;=12),0)))</f>
        <v>14117.6470588235</v>
      </c>
      <c r="AQ22" s="43">
        <f>IF($J22="R",$O22/12*IF(AQ$6&lt;$K22,$U22,MIN(1,$U22+(1-$U22)*(AQ$6-$K22+1)/$L22)),IF($J22="P",IF(AND(AQ$6&gt;=$K22,AQ$6&lt;$K22+$L22),$M22/$L22,0),IF($J22="X",$M22/12*(AQ$6&lt;=12),0)))</f>
        <v>14117.6470588235</v>
      </c>
      <c r="AR22" s="43">
        <f>IF($J22="R",$O22/12*IF(AR$6&lt;$K22,$U22,MIN(1,$U22+(1-$U22)*(AR$6-$K22+1)/$L22)),IF($J22="P",IF(AND(AR$6&gt;=$K22,AR$6&lt;$K22+$L22),$M22/$L22,0),IF($J22="X",$M22/12*(AR$6&lt;=12),0)))</f>
        <v>14117.6470588235</v>
      </c>
      <c r="AS22" s="43">
        <f>IF($J22="R",$O22/12*IF(AS$6&lt;$K22,$U22,MIN(1,$U22+(1-$U22)*(AS$6-$K22+1)/$L22)),IF($J22="P",IF(AND(AS$6&gt;=$K22,AS$6&lt;$K22+$L22),$M22/$L22,0),IF($J22="X",$M22/12*(AS$6&lt;=12),0)))</f>
        <v>14117.6470588235</v>
      </c>
      <c r="AT22" s="43">
        <f>IF($J22="R",$O22/12*IF(AT$6&lt;$K22,$U22,MIN(1,$U22+(1-$U22)*(AT$6-$K22+1)/$L22)),IF($J22="P",IF(AND(AT$6&gt;=$K22,AT$6&lt;$K22+$L22),$M22/$L22,0),IF($J22="X",$M22/12*(AT$6&lt;=12),0)))</f>
        <v>14117.6470588235</v>
      </c>
      <c r="AU22" s="43">
        <f>IF($J22="R",$O22/12*IF(AU$6&lt;$K22,$U22,MIN(1,$U22+(1-$U22)*(AU$6-$K22+1)/$L22)),IF($J22="P",IF(AND(AU$6&gt;=$K22,AU$6&lt;$K22+$L22),$M22/$L22,0),IF($J22="X",$M22/12*(AU$6&lt;=12),0)))</f>
        <v>14117.6470588235</v>
      </c>
      <c r="AV22" s="23">
        <f>SUM(X22:AI22)</f>
        <v>0</v>
      </c>
      <c r="AW22" s="23">
        <f>SUM(AJ22:AU22)</f>
        <v>120000</v>
      </c>
      <c r="AX22" s="45">
        <f>$O22*(1+$P22)</f>
        <v>338823.529411765</v>
      </c>
      <c r="AY22" s="45">
        <f>AX22*(1+$Q22)</f>
        <v>609882.352941177</v>
      </c>
      <c r="AZ22" s="45">
        <f>AY22*(1+$R22)</f>
        <v>975811.764705882</v>
      </c>
      <c r="BA22" s="25">
        <f>SUM(AV22:AZ22)</f>
        <v>2044517.64705882</v>
      </c>
    </row>
    <row r="23">
      <c r="A23" s="62" t="n">
        <v>14</v>
      </c>
      <c r="B23" s="15" t="inlineStr">
        <is>
          <t>네덜란드</t>
        </is>
      </c>
      <c r="C23" s="15" t="inlineStr">
        <is>
          <t>유럽</t>
        </is>
      </c>
      <c r="D23" s="15" t="inlineStr">
        <is>
          <t>GIV(네덜란드; IR 지도 표기 GISI Distribution)</t>
        </is>
      </c>
      <c r="E23" s="15" t="inlineStr">
        <is>
          <t>총판</t>
        </is>
      </c>
      <c r="F23" s="15" t="inlineStr">
        <is>
          <t>계약</t>
        </is>
      </c>
      <c r="G23" s="15" t="inlineStr">
        <is>
          <t>계약</t>
        </is>
      </c>
      <c r="H23" s="15" t="inlineStr">
        <is>
          <t>A 계약·기존 거래</t>
        </is>
      </c>
      <c r="I23" s="15" t="inlineStr">
        <is>
          <t>DIST</t>
        </is>
      </c>
      <c r="J23" s="63" t="inlineStr">
        <is>
          <t>R</t>
        </is>
      </c>
      <c r="K23" s="64" t="n">
        <v>14</v>
      </c>
      <c r="L23" s="64" t="n">
        <v>6</v>
      </c>
      <c r="M23" s="65" t="n">
        <v>100000</v>
      </c>
      <c r="N23" s="66">
        <f>SUMPRODUCT(($AJ$6:$AU$6&lt;$K23)*$U23+($AJ$6:$AU$6&gt;=$K23)*((($U23+(1-$U23)*($AJ$6:$AU$6-$K23+1)/$L23)&gt;=1)*1+(($U23+(1-$U23)*($AJ$6:$AU$6-$K23+1)/$L23)&lt;1)*($U23+(1-$U23)*($AJ$6:$AU$6-$K23+1)/$L23)))</f>
        <v>8.5</v>
      </c>
      <c r="O23" s="43">
        <f>IF($J23="R",IF($N23=0,0,$M23*12/$N23),$M23)</f>
        <v>141176.470588235</v>
      </c>
      <c r="P23" s="67" t="n">
        <v>1</v>
      </c>
      <c r="Q23" s="67" t="n">
        <v>0.8</v>
      </c>
      <c r="R23" s="67" t="n">
        <v>0.6</v>
      </c>
      <c r="S23" s="68">
        <f>INDEX('8_가정'!$C$17:$E$24,MATCH($G23,'8_가정'!$A$17:$A$24,0),1)</f>
        <v>1</v>
      </c>
      <c r="T23" s="63" t="inlineStr">
        <is>
          <t>Y</t>
        </is>
      </c>
      <c r="U23" s="67" t="n">
        <v>0</v>
      </c>
      <c r="V23" s="69" t="inlineStr">
        <is>
          <t>IR p.23·25 (거래처명 표기 불일치: 확인 필요). 가정: 2027-02 개시</t>
        </is>
      </c>
      <c r="X23" s="43">
        <f>IF($J23="R",$O23/12*IF(X$6&lt;$K23,$U23,MIN(1,$U23+(1-$U23)*(X$6-$K23+1)/$L23)),IF($J23="P",IF(AND(X$6&gt;=$K23,X$6&lt;$K23+$L23),$M23/$L23,0),IF($J23="X",$M23/12*(X$6&lt;=12),0)))</f>
        <v>0</v>
      </c>
      <c r="Y23" s="43">
        <f>IF($J23="R",$O23/12*IF(Y$6&lt;$K23,$U23,MIN(1,$U23+(1-$U23)*(Y$6-$K23+1)/$L23)),IF($J23="P",IF(AND(Y$6&gt;=$K23,Y$6&lt;$K23+$L23),$M23/$L23,0),IF($J23="X",$M23/12*(Y$6&lt;=12),0)))</f>
        <v>0</v>
      </c>
      <c r="Z23" s="43">
        <f>IF($J23="R",$O23/12*IF(Z$6&lt;$K23,$U23,MIN(1,$U23+(1-$U23)*(Z$6-$K23+1)/$L23)),IF($J23="P",IF(AND(Z$6&gt;=$K23,Z$6&lt;$K23+$L23),$M23/$L23,0),IF($J23="X",$M23/12*(Z$6&lt;=12),0)))</f>
        <v>0</v>
      </c>
      <c r="AA23" s="43">
        <f>IF($J23="R",$O23/12*IF(AA$6&lt;$K23,$U23,MIN(1,$U23+(1-$U23)*(AA$6-$K23+1)/$L23)),IF($J23="P",IF(AND(AA$6&gt;=$K23,AA$6&lt;$K23+$L23),$M23/$L23,0),IF($J23="X",$M23/12*(AA$6&lt;=12),0)))</f>
        <v>0</v>
      </c>
      <c r="AB23" s="43">
        <f>IF($J23="R",$O23/12*IF(AB$6&lt;$K23,$U23,MIN(1,$U23+(1-$U23)*(AB$6-$K23+1)/$L23)),IF($J23="P",IF(AND(AB$6&gt;=$K23,AB$6&lt;$K23+$L23),$M23/$L23,0),IF($J23="X",$M23/12*(AB$6&lt;=12),0)))</f>
        <v>0</v>
      </c>
      <c r="AC23" s="43">
        <f>IF($J23="R",$O23/12*IF(AC$6&lt;$K23,$U23,MIN(1,$U23+(1-$U23)*(AC$6-$K23+1)/$L23)),IF($J23="P",IF(AND(AC$6&gt;=$K23,AC$6&lt;$K23+$L23),$M23/$L23,0),IF($J23="X",$M23/12*(AC$6&lt;=12),0)))</f>
        <v>0</v>
      </c>
      <c r="AD23" s="43">
        <f>IF($J23="R",$O23/12*IF(AD$6&lt;$K23,$U23,MIN(1,$U23+(1-$U23)*(AD$6-$K23+1)/$L23)),IF($J23="P",IF(AND(AD$6&gt;=$K23,AD$6&lt;$K23+$L23),$M23/$L23,0),IF($J23="X",$M23/12*(AD$6&lt;=12),0)))</f>
        <v>0</v>
      </c>
      <c r="AE23" s="43">
        <f>IF($J23="R",$O23/12*IF(AE$6&lt;$K23,$U23,MIN(1,$U23+(1-$U23)*(AE$6-$K23+1)/$L23)),IF($J23="P",IF(AND(AE$6&gt;=$K23,AE$6&lt;$K23+$L23),$M23/$L23,0),IF($J23="X",$M23/12*(AE$6&lt;=12),0)))</f>
        <v>0</v>
      </c>
      <c r="AF23" s="43">
        <f>IF($J23="R",$O23/12*IF(AF$6&lt;$K23,$U23,MIN(1,$U23+(1-$U23)*(AF$6-$K23+1)/$L23)),IF($J23="P",IF(AND(AF$6&gt;=$K23,AF$6&lt;$K23+$L23),$M23/$L23,0),IF($J23="X",$M23/12*(AF$6&lt;=12),0)))</f>
        <v>0</v>
      </c>
      <c r="AG23" s="43">
        <f>IF($J23="R",$O23/12*IF(AG$6&lt;$K23,$U23,MIN(1,$U23+(1-$U23)*(AG$6-$K23+1)/$L23)),IF($J23="P",IF(AND(AG$6&gt;=$K23,AG$6&lt;$K23+$L23),$M23/$L23,0),IF($J23="X",$M23/12*(AG$6&lt;=12),0)))</f>
        <v>0</v>
      </c>
      <c r="AH23" s="43">
        <f>IF($J23="R",$O23/12*IF(AH$6&lt;$K23,$U23,MIN(1,$U23+(1-$U23)*(AH$6-$K23+1)/$L23)),IF($J23="P",IF(AND(AH$6&gt;=$K23,AH$6&lt;$K23+$L23),$M23/$L23,0),IF($J23="X",$M23/12*(AH$6&lt;=12),0)))</f>
        <v>0</v>
      </c>
      <c r="AI23" s="43">
        <f>IF($J23="R",$O23/12*IF(AI$6&lt;$K23,$U23,MIN(1,$U23+(1-$U23)*(AI$6-$K23+1)/$L23)),IF($J23="P",IF(AND(AI$6&gt;=$K23,AI$6&lt;$K23+$L23),$M23/$L23,0),IF($J23="X",$M23/12*(AI$6&lt;=12),0)))</f>
        <v>0</v>
      </c>
      <c r="AJ23" s="43">
        <f>IF($J23="R",$O23/12*IF(AJ$6&lt;$K23,$U23,MIN(1,$U23+(1-$U23)*(AJ$6-$K23+1)/$L23)),IF($J23="P",IF(AND(AJ$6&gt;=$K23,AJ$6&lt;$K23+$L23),$M23/$L23,0),IF($J23="X",$M23/12*(AJ$6&lt;=12),0)))</f>
        <v>0</v>
      </c>
      <c r="AK23" s="43">
        <f>IF($J23="R",$O23/12*IF(AK$6&lt;$K23,$U23,MIN(1,$U23+(1-$U23)*(AK$6-$K23+1)/$L23)),IF($J23="P",IF(AND(AK$6&gt;=$K23,AK$6&lt;$K23+$L23),$M23/$L23,0),IF($J23="X",$M23/12*(AK$6&lt;=12),0)))</f>
        <v>1960.78431372549</v>
      </c>
      <c r="AL23" s="43">
        <f>IF($J23="R",$O23/12*IF(AL$6&lt;$K23,$U23,MIN(1,$U23+(1-$U23)*(AL$6-$K23+1)/$L23)),IF($J23="P",IF(AND(AL$6&gt;=$K23,AL$6&lt;$K23+$L23),$M23/$L23,0),IF($J23="X",$M23/12*(AL$6&lt;=12),0)))</f>
        <v>3921.56862745098</v>
      </c>
      <c r="AM23" s="43">
        <f>IF($J23="R",$O23/12*IF(AM$6&lt;$K23,$U23,MIN(1,$U23+(1-$U23)*(AM$6-$K23+1)/$L23)),IF($J23="P",IF(AND(AM$6&gt;=$K23,AM$6&lt;$K23+$L23),$M23/$L23,0),IF($J23="X",$M23/12*(AM$6&lt;=12),0)))</f>
        <v>5882.35294117647</v>
      </c>
      <c r="AN23" s="43">
        <f>IF($J23="R",$O23/12*IF(AN$6&lt;$K23,$U23,MIN(1,$U23+(1-$U23)*(AN$6-$K23+1)/$L23)),IF($J23="P",IF(AND(AN$6&gt;=$K23,AN$6&lt;$K23+$L23),$M23/$L23,0),IF($J23="X",$M23/12*(AN$6&lt;=12),0)))</f>
        <v>7843.13725490196</v>
      </c>
      <c r="AO23" s="43">
        <f>IF($J23="R",$O23/12*IF(AO$6&lt;$K23,$U23,MIN(1,$U23+(1-$U23)*(AO$6-$K23+1)/$L23)),IF($J23="P",IF(AND(AO$6&gt;=$K23,AO$6&lt;$K23+$L23),$M23/$L23,0),IF($J23="X",$M23/12*(AO$6&lt;=12),0)))</f>
        <v>9803.92156862745</v>
      </c>
      <c r="AP23" s="43">
        <f>IF($J23="R",$O23/12*IF(AP$6&lt;$K23,$U23,MIN(1,$U23+(1-$U23)*(AP$6-$K23+1)/$L23)),IF($J23="P",IF(AND(AP$6&gt;=$K23,AP$6&lt;$K23+$L23),$M23/$L23,0),IF($J23="X",$M23/12*(AP$6&lt;=12),0)))</f>
        <v>11764.7058823529</v>
      </c>
      <c r="AQ23" s="43">
        <f>IF($J23="R",$O23/12*IF(AQ$6&lt;$K23,$U23,MIN(1,$U23+(1-$U23)*(AQ$6-$K23+1)/$L23)),IF($J23="P",IF(AND(AQ$6&gt;=$K23,AQ$6&lt;$K23+$L23),$M23/$L23,0),IF($J23="X",$M23/12*(AQ$6&lt;=12),0)))</f>
        <v>11764.7058823529</v>
      </c>
      <c r="AR23" s="43">
        <f>IF($J23="R",$O23/12*IF(AR$6&lt;$K23,$U23,MIN(1,$U23+(1-$U23)*(AR$6-$K23+1)/$L23)),IF($J23="P",IF(AND(AR$6&gt;=$K23,AR$6&lt;$K23+$L23),$M23/$L23,0),IF($J23="X",$M23/12*(AR$6&lt;=12),0)))</f>
        <v>11764.7058823529</v>
      </c>
      <c r="AS23" s="43">
        <f>IF($J23="R",$O23/12*IF(AS$6&lt;$K23,$U23,MIN(1,$U23+(1-$U23)*(AS$6-$K23+1)/$L23)),IF($J23="P",IF(AND(AS$6&gt;=$K23,AS$6&lt;$K23+$L23),$M23/$L23,0),IF($J23="X",$M23/12*(AS$6&lt;=12),0)))</f>
        <v>11764.7058823529</v>
      </c>
      <c r="AT23" s="43">
        <f>IF($J23="R",$O23/12*IF(AT$6&lt;$K23,$U23,MIN(1,$U23+(1-$U23)*(AT$6-$K23+1)/$L23)),IF($J23="P",IF(AND(AT$6&gt;=$K23,AT$6&lt;$K23+$L23),$M23/$L23,0),IF($J23="X",$M23/12*(AT$6&lt;=12),0)))</f>
        <v>11764.7058823529</v>
      </c>
      <c r="AU23" s="43">
        <f>IF($J23="R",$O23/12*IF(AU$6&lt;$K23,$U23,MIN(1,$U23+(1-$U23)*(AU$6-$K23+1)/$L23)),IF($J23="P",IF(AND(AU$6&gt;=$K23,AU$6&lt;$K23+$L23),$M23/$L23,0),IF($J23="X",$M23/12*(AU$6&lt;=12),0)))</f>
        <v>11764.7058823529</v>
      </c>
      <c r="AV23" s="23">
        <f>SUM(X23:AI23)</f>
        <v>0</v>
      </c>
      <c r="AW23" s="23">
        <f>SUM(AJ23:AU23)</f>
        <v>100000</v>
      </c>
      <c r="AX23" s="45">
        <f>$O23*(1+$P23)</f>
        <v>282352.941176471</v>
      </c>
      <c r="AY23" s="45">
        <f>AX23*(1+$Q23)</f>
        <v>508235.294117647</v>
      </c>
      <c r="AZ23" s="45">
        <f>AY23*(1+$R23)</f>
        <v>813176.470588235</v>
      </c>
      <c r="BA23" s="25">
        <f>SUM(AV23:AZ23)</f>
        <v>1703764.70588235</v>
      </c>
    </row>
    <row r="24">
      <c r="A24" s="62" t="n">
        <v>15</v>
      </c>
      <c r="B24" s="15" t="inlineStr">
        <is>
          <t>스페인</t>
        </is>
      </c>
      <c r="C24" s="15" t="inlineStr">
        <is>
          <t>유럽</t>
        </is>
      </c>
      <c r="D24" s="15" t="inlineStr">
        <is>
          <t>NEUCA(스페인)</t>
        </is>
      </c>
      <c r="E24" s="15" t="inlineStr">
        <is>
          <t>총판</t>
        </is>
      </c>
      <c r="F24" s="15" t="inlineStr">
        <is>
          <t>접촉</t>
        </is>
      </c>
      <c r="G24" s="15" t="inlineStr">
        <is>
          <t>접촉</t>
        </is>
      </c>
      <c r="H24" s="15" t="inlineStr">
        <is>
          <t>B 등록·입찰·협의 단계</t>
        </is>
      </c>
      <c r="I24" s="15" t="inlineStr">
        <is>
          <t>DIST</t>
        </is>
      </c>
      <c r="J24" s="63" t="inlineStr">
        <is>
          <t>R</t>
        </is>
      </c>
      <c r="K24" s="64" t="n">
        <v>14</v>
      </c>
      <c r="L24" s="64" t="n">
        <v>6</v>
      </c>
      <c r="M24" s="65" t="n">
        <v>100000</v>
      </c>
      <c r="N24" s="66">
        <f>SUMPRODUCT(($AJ$6:$AU$6&lt;$K24)*$U24+($AJ$6:$AU$6&gt;=$K24)*((($U24+(1-$U24)*($AJ$6:$AU$6-$K24+1)/$L24)&gt;=1)*1+(($U24+(1-$U24)*($AJ$6:$AU$6-$K24+1)/$L24)&lt;1)*($U24+(1-$U24)*($AJ$6:$AU$6-$K24+1)/$L24)))</f>
        <v>8.5</v>
      </c>
      <c r="O24" s="43">
        <f>IF($J24="R",IF($N24=0,0,$M24*12/$N24),$M24)</f>
        <v>141176.470588235</v>
      </c>
      <c r="P24" s="67" t="n">
        <v>1</v>
      </c>
      <c r="Q24" s="67" t="n">
        <v>0.8</v>
      </c>
      <c r="R24" s="67" t="n">
        <v>0.6</v>
      </c>
      <c r="S24" s="68">
        <f>INDEX('8_가정'!$C$17:$E$24,MATCH($G24,'8_가정'!$A$17:$A$24,0),1)</f>
        <v>1</v>
      </c>
      <c r="T24" s="63" t="inlineStr">
        <is>
          <t>Y</t>
        </is>
      </c>
      <c r="U24" s="67" t="n">
        <v>0</v>
      </c>
      <c r="V24" s="69" t="inlineStr">
        <is>
          <t>IR p.25: 접촉 단계. 가정: 2027-02 개시(S1)</t>
        </is>
      </c>
      <c r="X24" s="43">
        <f>IF($J24="R",$O24/12*IF(X$6&lt;$K24,$U24,MIN(1,$U24+(1-$U24)*(X$6-$K24+1)/$L24)),IF($J24="P",IF(AND(X$6&gt;=$K24,X$6&lt;$K24+$L24),$M24/$L24,0),IF($J24="X",$M24/12*(X$6&lt;=12),0)))</f>
        <v>0</v>
      </c>
      <c r="Y24" s="43">
        <f>IF($J24="R",$O24/12*IF(Y$6&lt;$K24,$U24,MIN(1,$U24+(1-$U24)*(Y$6-$K24+1)/$L24)),IF($J24="P",IF(AND(Y$6&gt;=$K24,Y$6&lt;$K24+$L24),$M24/$L24,0),IF($J24="X",$M24/12*(Y$6&lt;=12),0)))</f>
        <v>0</v>
      </c>
      <c r="Z24" s="43">
        <f>IF($J24="R",$O24/12*IF(Z$6&lt;$K24,$U24,MIN(1,$U24+(1-$U24)*(Z$6-$K24+1)/$L24)),IF($J24="P",IF(AND(Z$6&gt;=$K24,Z$6&lt;$K24+$L24),$M24/$L24,0),IF($J24="X",$M24/12*(Z$6&lt;=12),0)))</f>
        <v>0</v>
      </c>
      <c r="AA24" s="43">
        <f>IF($J24="R",$O24/12*IF(AA$6&lt;$K24,$U24,MIN(1,$U24+(1-$U24)*(AA$6-$K24+1)/$L24)),IF($J24="P",IF(AND(AA$6&gt;=$K24,AA$6&lt;$K24+$L24),$M24/$L24,0),IF($J24="X",$M24/12*(AA$6&lt;=12),0)))</f>
        <v>0</v>
      </c>
      <c r="AB24" s="43">
        <f>IF($J24="R",$O24/12*IF(AB$6&lt;$K24,$U24,MIN(1,$U24+(1-$U24)*(AB$6-$K24+1)/$L24)),IF($J24="P",IF(AND(AB$6&gt;=$K24,AB$6&lt;$K24+$L24),$M24/$L24,0),IF($J24="X",$M24/12*(AB$6&lt;=12),0)))</f>
        <v>0</v>
      </c>
      <c r="AC24" s="43">
        <f>IF($J24="R",$O24/12*IF(AC$6&lt;$K24,$U24,MIN(1,$U24+(1-$U24)*(AC$6-$K24+1)/$L24)),IF($J24="P",IF(AND(AC$6&gt;=$K24,AC$6&lt;$K24+$L24),$M24/$L24,0),IF($J24="X",$M24/12*(AC$6&lt;=12),0)))</f>
        <v>0</v>
      </c>
      <c r="AD24" s="43">
        <f>IF($J24="R",$O24/12*IF(AD$6&lt;$K24,$U24,MIN(1,$U24+(1-$U24)*(AD$6-$K24+1)/$L24)),IF($J24="P",IF(AND(AD$6&gt;=$K24,AD$6&lt;$K24+$L24),$M24/$L24,0),IF($J24="X",$M24/12*(AD$6&lt;=12),0)))</f>
        <v>0</v>
      </c>
      <c r="AE24" s="43">
        <f>IF($J24="R",$O24/12*IF(AE$6&lt;$K24,$U24,MIN(1,$U24+(1-$U24)*(AE$6-$K24+1)/$L24)),IF($J24="P",IF(AND(AE$6&gt;=$K24,AE$6&lt;$K24+$L24),$M24/$L24,0),IF($J24="X",$M24/12*(AE$6&lt;=12),0)))</f>
        <v>0</v>
      </c>
      <c r="AF24" s="43">
        <f>IF($J24="R",$O24/12*IF(AF$6&lt;$K24,$U24,MIN(1,$U24+(1-$U24)*(AF$6-$K24+1)/$L24)),IF($J24="P",IF(AND(AF$6&gt;=$K24,AF$6&lt;$K24+$L24),$M24/$L24,0),IF($J24="X",$M24/12*(AF$6&lt;=12),0)))</f>
        <v>0</v>
      </c>
      <c r="AG24" s="43">
        <f>IF($J24="R",$O24/12*IF(AG$6&lt;$K24,$U24,MIN(1,$U24+(1-$U24)*(AG$6-$K24+1)/$L24)),IF($J24="P",IF(AND(AG$6&gt;=$K24,AG$6&lt;$K24+$L24),$M24/$L24,0),IF($J24="X",$M24/12*(AG$6&lt;=12),0)))</f>
        <v>0</v>
      </c>
      <c r="AH24" s="43">
        <f>IF($J24="R",$O24/12*IF(AH$6&lt;$K24,$U24,MIN(1,$U24+(1-$U24)*(AH$6-$K24+1)/$L24)),IF($J24="P",IF(AND(AH$6&gt;=$K24,AH$6&lt;$K24+$L24),$M24/$L24,0),IF($J24="X",$M24/12*(AH$6&lt;=12),0)))</f>
        <v>0</v>
      </c>
      <c r="AI24" s="43">
        <f>IF($J24="R",$O24/12*IF(AI$6&lt;$K24,$U24,MIN(1,$U24+(1-$U24)*(AI$6-$K24+1)/$L24)),IF($J24="P",IF(AND(AI$6&gt;=$K24,AI$6&lt;$K24+$L24),$M24/$L24,0),IF($J24="X",$M24/12*(AI$6&lt;=12),0)))</f>
        <v>0</v>
      </c>
      <c r="AJ24" s="43">
        <f>IF($J24="R",$O24/12*IF(AJ$6&lt;$K24,$U24,MIN(1,$U24+(1-$U24)*(AJ$6-$K24+1)/$L24)),IF($J24="P",IF(AND(AJ$6&gt;=$K24,AJ$6&lt;$K24+$L24),$M24/$L24,0),IF($J24="X",$M24/12*(AJ$6&lt;=12),0)))</f>
        <v>0</v>
      </c>
      <c r="AK24" s="43">
        <f>IF($J24="R",$O24/12*IF(AK$6&lt;$K24,$U24,MIN(1,$U24+(1-$U24)*(AK$6-$K24+1)/$L24)),IF($J24="P",IF(AND(AK$6&gt;=$K24,AK$6&lt;$K24+$L24),$M24/$L24,0),IF($J24="X",$M24/12*(AK$6&lt;=12),0)))</f>
        <v>1960.78431372549</v>
      </c>
      <c r="AL24" s="43">
        <f>IF($J24="R",$O24/12*IF(AL$6&lt;$K24,$U24,MIN(1,$U24+(1-$U24)*(AL$6-$K24+1)/$L24)),IF($J24="P",IF(AND(AL$6&gt;=$K24,AL$6&lt;$K24+$L24),$M24/$L24,0),IF($J24="X",$M24/12*(AL$6&lt;=12),0)))</f>
        <v>3921.56862745098</v>
      </c>
      <c r="AM24" s="43">
        <f>IF($J24="R",$O24/12*IF(AM$6&lt;$K24,$U24,MIN(1,$U24+(1-$U24)*(AM$6-$K24+1)/$L24)),IF($J24="P",IF(AND(AM$6&gt;=$K24,AM$6&lt;$K24+$L24),$M24/$L24,0),IF($J24="X",$M24/12*(AM$6&lt;=12),0)))</f>
        <v>5882.35294117647</v>
      </c>
      <c r="AN24" s="43">
        <f>IF($J24="R",$O24/12*IF(AN$6&lt;$K24,$U24,MIN(1,$U24+(1-$U24)*(AN$6-$K24+1)/$L24)),IF($J24="P",IF(AND(AN$6&gt;=$K24,AN$6&lt;$K24+$L24),$M24/$L24,0),IF($J24="X",$M24/12*(AN$6&lt;=12),0)))</f>
        <v>7843.13725490196</v>
      </c>
      <c r="AO24" s="43">
        <f>IF($J24="R",$O24/12*IF(AO$6&lt;$K24,$U24,MIN(1,$U24+(1-$U24)*(AO$6-$K24+1)/$L24)),IF($J24="P",IF(AND(AO$6&gt;=$K24,AO$6&lt;$K24+$L24),$M24/$L24,0),IF($J24="X",$M24/12*(AO$6&lt;=12),0)))</f>
        <v>9803.92156862745</v>
      </c>
      <c r="AP24" s="43">
        <f>IF($J24="R",$O24/12*IF(AP$6&lt;$K24,$U24,MIN(1,$U24+(1-$U24)*(AP$6-$K24+1)/$L24)),IF($J24="P",IF(AND(AP$6&gt;=$K24,AP$6&lt;$K24+$L24),$M24/$L24,0),IF($J24="X",$M24/12*(AP$6&lt;=12),0)))</f>
        <v>11764.7058823529</v>
      </c>
      <c r="AQ24" s="43">
        <f>IF($J24="R",$O24/12*IF(AQ$6&lt;$K24,$U24,MIN(1,$U24+(1-$U24)*(AQ$6-$K24+1)/$L24)),IF($J24="P",IF(AND(AQ$6&gt;=$K24,AQ$6&lt;$K24+$L24),$M24/$L24,0),IF($J24="X",$M24/12*(AQ$6&lt;=12),0)))</f>
        <v>11764.7058823529</v>
      </c>
      <c r="AR24" s="43">
        <f>IF($J24="R",$O24/12*IF(AR$6&lt;$K24,$U24,MIN(1,$U24+(1-$U24)*(AR$6-$K24+1)/$L24)),IF($J24="P",IF(AND(AR$6&gt;=$K24,AR$6&lt;$K24+$L24),$M24/$L24,0),IF($J24="X",$M24/12*(AR$6&lt;=12),0)))</f>
        <v>11764.7058823529</v>
      </c>
      <c r="AS24" s="43">
        <f>IF($J24="R",$O24/12*IF(AS$6&lt;$K24,$U24,MIN(1,$U24+(1-$U24)*(AS$6-$K24+1)/$L24)),IF($J24="P",IF(AND(AS$6&gt;=$K24,AS$6&lt;$K24+$L24),$M24/$L24,0),IF($J24="X",$M24/12*(AS$6&lt;=12),0)))</f>
        <v>11764.7058823529</v>
      </c>
      <c r="AT24" s="43">
        <f>IF($J24="R",$O24/12*IF(AT$6&lt;$K24,$U24,MIN(1,$U24+(1-$U24)*(AT$6-$K24+1)/$L24)),IF($J24="P",IF(AND(AT$6&gt;=$K24,AT$6&lt;$K24+$L24),$M24/$L24,0),IF($J24="X",$M24/12*(AT$6&lt;=12),0)))</f>
        <v>11764.7058823529</v>
      </c>
      <c r="AU24" s="43">
        <f>IF($J24="R",$O24/12*IF(AU$6&lt;$K24,$U24,MIN(1,$U24+(1-$U24)*(AU$6-$K24+1)/$L24)),IF($J24="P",IF(AND(AU$6&gt;=$K24,AU$6&lt;$K24+$L24),$M24/$L24,0),IF($J24="X",$M24/12*(AU$6&lt;=12),0)))</f>
        <v>11764.7058823529</v>
      </c>
      <c r="AV24" s="23">
        <f>SUM(X24:AI24)</f>
        <v>0</v>
      </c>
      <c r="AW24" s="23">
        <f>SUM(AJ24:AU24)</f>
        <v>100000</v>
      </c>
      <c r="AX24" s="45">
        <f>$O24*(1+$P24)</f>
        <v>282352.941176471</v>
      </c>
      <c r="AY24" s="45">
        <f>AX24*(1+$Q24)</f>
        <v>508235.294117647</v>
      </c>
      <c r="AZ24" s="45">
        <f>AY24*(1+$R24)</f>
        <v>813176.470588235</v>
      </c>
      <c r="BA24" s="25">
        <f>SUM(AV24:AZ24)</f>
        <v>1703764.70588235</v>
      </c>
    </row>
    <row r="25">
      <c r="A25" s="62" t="n">
        <v>16</v>
      </c>
      <c r="B25" s="15" t="inlineStr">
        <is>
          <t>호주</t>
        </is>
      </c>
      <c r="C25" s="15" t="inlineStr">
        <is>
          <t>동남아·APAC</t>
        </is>
      </c>
      <c r="D25" s="15" t="inlineStr">
        <is>
          <t>Healthbeat(호주)</t>
        </is>
      </c>
      <c r="E25" s="15" t="inlineStr">
        <is>
          <t>총판</t>
        </is>
      </c>
      <c r="F25" s="15" t="inlineStr">
        <is>
          <t>계약</t>
        </is>
      </c>
      <c r="G25" s="15" t="inlineStr">
        <is>
          <t>계약</t>
        </is>
      </c>
      <c r="H25" s="15" t="inlineStr">
        <is>
          <t>A 계약·기존 거래</t>
        </is>
      </c>
      <c r="I25" s="15" t="inlineStr">
        <is>
          <t>DIST</t>
        </is>
      </c>
      <c r="J25" s="63" t="inlineStr">
        <is>
          <t>R</t>
        </is>
      </c>
      <c r="K25" s="64" t="n">
        <v>14</v>
      </c>
      <c r="L25" s="64" t="n">
        <v>6</v>
      </c>
      <c r="M25" s="65" t="n">
        <v>120000</v>
      </c>
      <c r="N25" s="66">
        <f>SUMPRODUCT(($AJ$6:$AU$6&lt;$K25)*$U25+($AJ$6:$AU$6&gt;=$K25)*((($U25+(1-$U25)*($AJ$6:$AU$6-$K25+1)/$L25)&gt;=1)*1+(($U25+(1-$U25)*($AJ$6:$AU$6-$K25+1)/$L25)&lt;1)*($U25+(1-$U25)*($AJ$6:$AU$6-$K25+1)/$L25)))</f>
        <v>8.5</v>
      </c>
      <c r="O25" s="43">
        <f>IF($J25="R",IF($N25=0,0,$M25*12/$N25),$M25)</f>
        <v>169411.764705882</v>
      </c>
      <c r="P25" s="67" t="n">
        <v>1</v>
      </c>
      <c r="Q25" s="67" t="n">
        <v>0.8</v>
      </c>
      <c r="R25" s="67" t="n">
        <v>0.6</v>
      </c>
      <c r="S25" s="68">
        <f>INDEX('8_가정'!$C$17:$E$24,MATCH($G25,'8_가정'!$A$17:$A$24,0),1)</f>
        <v>1</v>
      </c>
      <c r="T25" s="63" t="inlineStr">
        <is>
          <t>Y</t>
        </is>
      </c>
      <c r="U25" s="67" t="n">
        <v>0</v>
      </c>
      <c r="V25" s="69" t="inlineStr">
        <is>
          <t>IR p.23·25. 가정: 2027-02 개시</t>
        </is>
      </c>
      <c r="X25" s="43">
        <f>IF($J25="R",$O25/12*IF(X$6&lt;$K25,$U25,MIN(1,$U25+(1-$U25)*(X$6-$K25+1)/$L25)),IF($J25="P",IF(AND(X$6&gt;=$K25,X$6&lt;$K25+$L25),$M25/$L25,0),IF($J25="X",$M25/12*(X$6&lt;=12),0)))</f>
        <v>0</v>
      </c>
      <c r="Y25" s="43">
        <f>IF($J25="R",$O25/12*IF(Y$6&lt;$K25,$U25,MIN(1,$U25+(1-$U25)*(Y$6-$K25+1)/$L25)),IF($J25="P",IF(AND(Y$6&gt;=$K25,Y$6&lt;$K25+$L25),$M25/$L25,0),IF($J25="X",$M25/12*(Y$6&lt;=12),0)))</f>
        <v>0</v>
      </c>
      <c r="Z25" s="43">
        <f>IF($J25="R",$O25/12*IF(Z$6&lt;$K25,$U25,MIN(1,$U25+(1-$U25)*(Z$6-$K25+1)/$L25)),IF($J25="P",IF(AND(Z$6&gt;=$K25,Z$6&lt;$K25+$L25),$M25/$L25,0),IF($J25="X",$M25/12*(Z$6&lt;=12),0)))</f>
        <v>0</v>
      </c>
      <c r="AA25" s="43">
        <f>IF($J25="R",$O25/12*IF(AA$6&lt;$K25,$U25,MIN(1,$U25+(1-$U25)*(AA$6-$K25+1)/$L25)),IF($J25="P",IF(AND(AA$6&gt;=$K25,AA$6&lt;$K25+$L25),$M25/$L25,0),IF($J25="X",$M25/12*(AA$6&lt;=12),0)))</f>
        <v>0</v>
      </c>
      <c r="AB25" s="43">
        <f>IF($J25="R",$O25/12*IF(AB$6&lt;$K25,$U25,MIN(1,$U25+(1-$U25)*(AB$6-$K25+1)/$L25)),IF($J25="P",IF(AND(AB$6&gt;=$K25,AB$6&lt;$K25+$L25),$M25/$L25,0),IF($J25="X",$M25/12*(AB$6&lt;=12),0)))</f>
        <v>0</v>
      </c>
      <c r="AC25" s="43">
        <f>IF($J25="R",$O25/12*IF(AC$6&lt;$K25,$U25,MIN(1,$U25+(1-$U25)*(AC$6-$K25+1)/$L25)),IF($J25="P",IF(AND(AC$6&gt;=$K25,AC$6&lt;$K25+$L25),$M25/$L25,0),IF($J25="X",$M25/12*(AC$6&lt;=12),0)))</f>
        <v>0</v>
      </c>
      <c r="AD25" s="43">
        <f>IF($J25="R",$O25/12*IF(AD$6&lt;$K25,$U25,MIN(1,$U25+(1-$U25)*(AD$6-$K25+1)/$L25)),IF($J25="P",IF(AND(AD$6&gt;=$K25,AD$6&lt;$K25+$L25),$M25/$L25,0),IF($J25="X",$M25/12*(AD$6&lt;=12),0)))</f>
        <v>0</v>
      </c>
      <c r="AE25" s="43">
        <f>IF($J25="R",$O25/12*IF(AE$6&lt;$K25,$U25,MIN(1,$U25+(1-$U25)*(AE$6-$K25+1)/$L25)),IF($J25="P",IF(AND(AE$6&gt;=$K25,AE$6&lt;$K25+$L25),$M25/$L25,0),IF($J25="X",$M25/12*(AE$6&lt;=12),0)))</f>
        <v>0</v>
      </c>
      <c r="AF25" s="43">
        <f>IF($J25="R",$O25/12*IF(AF$6&lt;$K25,$U25,MIN(1,$U25+(1-$U25)*(AF$6-$K25+1)/$L25)),IF($J25="P",IF(AND(AF$6&gt;=$K25,AF$6&lt;$K25+$L25),$M25/$L25,0),IF($J25="X",$M25/12*(AF$6&lt;=12),0)))</f>
        <v>0</v>
      </c>
      <c r="AG25" s="43">
        <f>IF($J25="R",$O25/12*IF(AG$6&lt;$K25,$U25,MIN(1,$U25+(1-$U25)*(AG$6-$K25+1)/$L25)),IF($J25="P",IF(AND(AG$6&gt;=$K25,AG$6&lt;$K25+$L25),$M25/$L25,0),IF($J25="X",$M25/12*(AG$6&lt;=12),0)))</f>
        <v>0</v>
      </c>
      <c r="AH25" s="43">
        <f>IF($J25="R",$O25/12*IF(AH$6&lt;$K25,$U25,MIN(1,$U25+(1-$U25)*(AH$6-$K25+1)/$L25)),IF($J25="P",IF(AND(AH$6&gt;=$K25,AH$6&lt;$K25+$L25),$M25/$L25,0),IF($J25="X",$M25/12*(AH$6&lt;=12),0)))</f>
        <v>0</v>
      </c>
      <c r="AI25" s="43">
        <f>IF($J25="R",$O25/12*IF(AI$6&lt;$K25,$U25,MIN(1,$U25+(1-$U25)*(AI$6-$K25+1)/$L25)),IF($J25="P",IF(AND(AI$6&gt;=$K25,AI$6&lt;$K25+$L25),$M25/$L25,0),IF($J25="X",$M25/12*(AI$6&lt;=12),0)))</f>
        <v>0</v>
      </c>
      <c r="AJ25" s="43">
        <f>IF($J25="R",$O25/12*IF(AJ$6&lt;$K25,$U25,MIN(1,$U25+(1-$U25)*(AJ$6-$K25+1)/$L25)),IF($J25="P",IF(AND(AJ$6&gt;=$K25,AJ$6&lt;$K25+$L25),$M25/$L25,0),IF($J25="X",$M25/12*(AJ$6&lt;=12),0)))</f>
        <v>0</v>
      </c>
      <c r="AK25" s="43">
        <f>IF($J25="R",$O25/12*IF(AK$6&lt;$K25,$U25,MIN(1,$U25+(1-$U25)*(AK$6-$K25+1)/$L25)),IF($J25="P",IF(AND(AK$6&gt;=$K25,AK$6&lt;$K25+$L25),$M25/$L25,0),IF($J25="X",$M25/12*(AK$6&lt;=12),0)))</f>
        <v>2352.94117647059</v>
      </c>
      <c r="AL25" s="43">
        <f>IF($J25="R",$O25/12*IF(AL$6&lt;$K25,$U25,MIN(1,$U25+(1-$U25)*(AL$6-$K25+1)/$L25)),IF($J25="P",IF(AND(AL$6&gt;=$K25,AL$6&lt;$K25+$L25),$M25/$L25,0),IF($J25="X",$M25/12*(AL$6&lt;=12),0)))</f>
        <v>4705.88235294118</v>
      </c>
      <c r="AM25" s="43">
        <f>IF($J25="R",$O25/12*IF(AM$6&lt;$K25,$U25,MIN(1,$U25+(1-$U25)*(AM$6-$K25+1)/$L25)),IF($J25="P",IF(AND(AM$6&gt;=$K25,AM$6&lt;$K25+$L25),$M25/$L25,0),IF($J25="X",$M25/12*(AM$6&lt;=12),0)))</f>
        <v>7058.82352941177</v>
      </c>
      <c r="AN25" s="43">
        <f>IF($J25="R",$O25/12*IF(AN$6&lt;$K25,$U25,MIN(1,$U25+(1-$U25)*(AN$6-$K25+1)/$L25)),IF($J25="P",IF(AND(AN$6&gt;=$K25,AN$6&lt;$K25+$L25),$M25/$L25,0),IF($J25="X",$M25/12*(AN$6&lt;=12),0)))</f>
        <v>9411.76470588235</v>
      </c>
      <c r="AO25" s="43">
        <f>IF($J25="R",$O25/12*IF(AO$6&lt;$K25,$U25,MIN(1,$U25+(1-$U25)*(AO$6-$K25+1)/$L25)),IF($J25="P",IF(AND(AO$6&gt;=$K25,AO$6&lt;$K25+$L25),$M25/$L25,0),IF($J25="X",$M25/12*(AO$6&lt;=12),0)))</f>
        <v>11764.7058823529</v>
      </c>
      <c r="AP25" s="43">
        <f>IF($J25="R",$O25/12*IF(AP$6&lt;$K25,$U25,MIN(1,$U25+(1-$U25)*(AP$6-$K25+1)/$L25)),IF($J25="P",IF(AND(AP$6&gt;=$K25,AP$6&lt;$K25+$L25),$M25/$L25,0),IF($J25="X",$M25/12*(AP$6&lt;=12),0)))</f>
        <v>14117.6470588235</v>
      </c>
      <c r="AQ25" s="43">
        <f>IF($J25="R",$O25/12*IF(AQ$6&lt;$K25,$U25,MIN(1,$U25+(1-$U25)*(AQ$6-$K25+1)/$L25)),IF($J25="P",IF(AND(AQ$6&gt;=$K25,AQ$6&lt;$K25+$L25),$M25/$L25,0),IF($J25="X",$M25/12*(AQ$6&lt;=12),0)))</f>
        <v>14117.6470588235</v>
      </c>
      <c r="AR25" s="43">
        <f>IF($J25="R",$O25/12*IF(AR$6&lt;$K25,$U25,MIN(1,$U25+(1-$U25)*(AR$6-$K25+1)/$L25)),IF($J25="P",IF(AND(AR$6&gt;=$K25,AR$6&lt;$K25+$L25),$M25/$L25,0),IF($J25="X",$M25/12*(AR$6&lt;=12),0)))</f>
        <v>14117.6470588235</v>
      </c>
      <c r="AS25" s="43">
        <f>IF($J25="R",$O25/12*IF(AS$6&lt;$K25,$U25,MIN(1,$U25+(1-$U25)*(AS$6-$K25+1)/$L25)),IF($J25="P",IF(AND(AS$6&gt;=$K25,AS$6&lt;$K25+$L25),$M25/$L25,0),IF($J25="X",$M25/12*(AS$6&lt;=12),0)))</f>
        <v>14117.6470588235</v>
      </c>
      <c r="AT25" s="43">
        <f>IF($J25="R",$O25/12*IF(AT$6&lt;$K25,$U25,MIN(1,$U25+(1-$U25)*(AT$6-$K25+1)/$L25)),IF($J25="P",IF(AND(AT$6&gt;=$K25,AT$6&lt;$K25+$L25),$M25/$L25,0),IF($J25="X",$M25/12*(AT$6&lt;=12),0)))</f>
        <v>14117.6470588235</v>
      </c>
      <c r="AU25" s="43">
        <f>IF($J25="R",$O25/12*IF(AU$6&lt;$K25,$U25,MIN(1,$U25+(1-$U25)*(AU$6-$K25+1)/$L25)),IF($J25="P",IF(AND(AU$6&gt;=$K25,AU$6&lt;$K25+$L25),$M25/$L25,0),IF($J25="X",$M25/12*(AU$6&lt;=12),0)))</f>
        <v>14117.6470588235</v>
      </c>
      <c r="AV25" s="23">
        <f>SUM(X25:AI25)</f>
        <v>0</v>
      </c>
      <c r="AW25" s="23">
        <f>SUM(AJ25:AU25)</f>
        <v>120000</v>
      </c>
      <c r="AX25" s="45">
        <f>$O25*(1+$P25)</f>
        <v>338823.529411765</v>
      </c>
      <c r="AY25" s="45">
        <f>AX25*(1+$Q25)</f>
        <v>609882.352941177</v>
      </c>
      <c r="AZ25" s="45">
        <f>AY25*(1+$R25)</f>
        <v>975811.764705882</v>
      </c>
      <c r="BA25" s="25">
        <f>SUM(AV25:AZ25)</f>
        <v>2044517.64705882</v>
      </c>
    </row>
    <row r="26">
      <c r="A26" s="62" t="n">
        <v>17</v>
      </c>
      <c r="B26" s="15" t="inlineStr">
        <is>
          <t>한국·해외</t>
        </is>
      </c>
      <c r="C26" s="15" t="inlineStr">
        <is>
          <t>기존 소액·기타</t>
        </is>
      </c>
      <c r="D26" s="15" t="inlineStr">
        <is>
          <t>기존 소액 거래처·기타(2025 매출 기반, 거래처별 실적 확정 시 교체)</t>
        </is>
      </c>
      <c r="E26" s="15" t="inlineStr">
        <is>
          <t>기타</t>
        </is>
      </c>
      <c r="F26" s="15" t="inlineStr">
        <is>
          <t>-</t>
        </is>
      </c>
      <c r="G26" s="15" t="inlineStr">
        <is>
          <t>기존</t>
        </is>
      </c>
      <c r="H26" s="15" t="inlineStr">
        <is>
          <t>A 계약·기존 거래</t>
        </is>
      </c>
      <c r="I26" s="15" t="inlineStr">
        <is>
          <t>SUB</t>
        </is>
      </c>
      <c r="J26" s="63" t="inlineStr">
        <is>
          <t>X</t>
        </is>
      </c>
      <c r="M26" s="24">
        <f>'8_가정'!$C$6-SUMPRODUCT($S$10:$S$25,AV10:AV25)</f>
        <v>106341.689534571</v>
      </c>
      <c r="S26" s="68">
        <f>INDEX('8_가정'!$C$17:$E$24,MATCH($G26,'8_가정'!$A$17:$A$24,0),1)</f>
        <v>1</v>
      </c>
      <c r="V26" s="69" t="inlineStr">
        <is>
          <t>2025 매출 8.54억 중 지정 거래처로 설명되지 않는 소액·반복 매출. 거래처별 실적 확정 시 교체(★확인사항). S1에서는 IR 2026 총액에 맞춘 조정치</t>
        </is>
      </c>
      <c r="X26" s="43">
        <f>IF($J26="R",$O26/12*IF(X$6&lt;$K26,$U26,MIN(1,$U26+(1-$U26)*(X$6-$K26+1)/$L26)),IF($J26="P",IF(AND(X$6&gt;=$K26,X$6&lt;$K26+$L26),$M26/$L26,0),IF($J26="X",$M26/12*(X$6&lt;=12),0)))</f>
        <v>8861.80746121423</v>
      </c>
      <c r="Y26" s="43">
        <f>IF($J26="R",$O26/12*IF(Y$6&lt;$K26,$U26,MIN(1,$U26+(1-$U26)*(Y$6-$K26+1)/$L26)),IF($J26="P",IF(AND(Y$6&gt;=$K26,Y$6&lt;$K26+$L26),$M26/$L26,0),IF($J26="X",$M26/12*(Y$6&lt;=12),0)))</f>
        <v>8861.80746121423</v>
      </c>
      <c r="Z26" s="43">
        <f>IF($J26="R",$O26/12*IF(Z$6&lt;$K26,$U26,MIN(1,$U26+(1-$U26)*(Z$6-$K26+1)/$L26)),IF($J26="P",IF(AND(Z$6&gt;=$K26,Z$6&lt;$K26+$L26),$M26/$L26,0),IF($J26="X",$M26/12*(Z$6&lt;=12),0)))</f>
        <v>8861.80746121423</v>
      </c>
      <c r="AA26" s="43">
        <f>IF($J26="R",$O26/12*IF(AA$6&lt;$K26,$U26,MIN(1,$U26+(1-$U26)*(AA$6-$K26+1)/$L26)),IF($J26="P",IF(AND(AA$6&gt;=$K26,AA$6&lt;$K26+$L26),$M26/$L26,0),IF($J26="X",$M26/12*(AA$6&lt;=12),0)))</f>
        <v>8861.80746121423</v>
      </c>
      <c r="AB26" s="43">
        <f>IF($J26="R",$O26/12*IF(AB$6&lt;$K26,$U26,MIN(1,$U26+(1-$U26)*(AB$6-$K26+1)/$L26)),IF($J26="P",IF(AND(AB$6&gt;=$K26,AB$6&lt;$K26+$L26),$M26/$L26,0),IF($J26="X",$M26/12*(AB$6&lt;=12),0)))</f>
        <v>8861.80746121423</v>
      </c>
      <c r="AC26" s="43">
        <f>IF($J26="R",$O26/12*IF(AC$6&lt;$K26,$U26,MIN(1,$U26+(1-$U26)*(AC$6-$K26+1)/$L26)),IF($J26="P",IF(AND(AC$6&gt;=$K26,AC$6&lt;$K26+$L26),$M26/$L26,0),IF($J26="X",$M26/12*(AC$6&lt;=12),0)))</f>
        <v>8861.80746121423</v>
      </c>
      <c r="AD26" s="43">
        <f>IF($J26="R",$O26/12*IF(AD$6&lt;$K26,$U26,MIN(1,$U26+(1-$U26)*(AD$6-$K26+1)/$L26)),IF($J26="P",IF(AND(AD$6&gt;=$K26,AD$6&lt;$K26+$L26),$M26/$L26,0),IF($J26="X",$M26/12*(AD$6&lt;=12),0)))</f>
        <v>8861.80746121423</v>
      </c>
      <c r="AE26" s="43">
        <f>IF($J26="R",$O26/12*IF(AE$6&lt;$K26,$U26,MIN(1,$U26+(1-$U26)*(AE$6-$K26+1)/$L26)),IF($J26="P",IF(AND(AE$6&gt;=$K26,AE$6&lt;$K26+$L26),$M26/$L26,0),IF($J26="X",$M26/12*(AE$6&lt;=12),0)))</f>
        <v>8861.80746121423</v>
      </c>
      <c r="AF26" s="43">
        <f>IF($J26="R",$O26/12*IF(AF$6&lt;$K26,$U26,MIN(1,$U26+(1-$U26)*(AF$6-$K26+1)/$L26)),IF($J26="P",IF(AND(AF$6&gt;=$K26,AF$6&lt;$K26+$L26),$M26/$L26,0),IF($J26="X",$M26/12*(AF$6&lt;=12),0)))</f>
        <v>8861.80746121423</v>
      </c>
      <c r="AG26" s="43">
        <f>IF($J26="R",$O26/12*IF(AG$6&lt;$K26,$U26,MIN(1,$U26+(1-$U26)*(AG$6-$K26+1)/$L26)),IF($J26="P",IF(AND(AG$6&gt;=$K26,AG$6&lt;$K26+$L26),$M26/$L26,0),IF($J26="X",$M26/12*(AG$6&lt;=12),0)))</f>
        <v>8861.80746121423</v>
      </c>
      <c r="AH26" s="43">
        <f>IF($J26="R",$O26/12*IF(AH$6&lt;$K26,$U26,MIN(1,$U26+(1-$U26)*(AH$6-$K26+1)/$L26)),IF($J26="P",IF(AND(AH$6&gt;=$K26,AH$6&lt;$K26+$L26),$M26/$L26,0),IF($J26="X",$M26/12*(AH$6&lt;=12),0)))</f>
        <v>8861.80746121423</v>
      </c>
      <c r="AI26" s="43">
        <f>IF($J26="R",$O26/12*IF(AI$6&lt;$K26,$U26,MIN(1,$U26+(1-$U26)*(AI$6-$K26+1)/$L26)),IF($J26="P",IF(AND(AI$6&gt;=$K26,AI$6&lt;$K26+$L26),$M26/$L26,0),IF($J26="X",$M26/12*(AI$6&lt;=12),0)))</f>
        <v>8861.80746121423</v>
      </c>
      <c r="AJ26" s="43">
        <f>IF($J26="R",$O26/12*IF(AJ$6&lt;$K26,$U26,MIN(1,$U26+(1-$U26)*(AJ$6-$K26+1)/$L26)),IF($J26="P",IF(AND(AJ$6&gt;=$K26,AJ$6&lt;$K26+$L26),$M26/$L26,0),IF($J26="X",$M26/12*(AJ$6&lt;=12),0)))</f>
        <v>0</v>
      </c>
      <c r="AK26" s="43">
        <f>IF($J26="R",$O26/12*IF(AK$6&lt;$K26,$U26,MIN(1,$U26+(1-$U26)*(AK$6-$K26+1)/$L26)),IF($J26="P",IF(AND(AK$6&gt;=$K26,AK$6&lt;$K26+$L26),$M26/$L26,0),IF($J26="X",$M26/12*(AK$6&lt;=12),0)))</f>
        <v>0</v>
      </c>
      <c r="AL26" s="43">
        <f>IF($J26="R",$O26/12*IF(AL$6&lt;$K26,$U26,MIN(1,$U26+(1-$U26)*(AL$6-$K26+1)/$L26)),IF($J26="P",IF(AND(AL$6&gt;=$K26,AL$6&lt;$K26+$L26),$M26/$L26,0),IF($J26="X",$M26/12*(AL$6&lt;=12),0)))</f>
        <v>0</v>
      </c>
      <c r="AM26" s="43">
        <f>IF($J26="R",$O26/12*IF(AM$6&lt;$K26,$U26,MIN(1,$U26+(1-$U26)*(AM$6-$K26+1)/$L26)),IF($J26="P",IF(AND(AM$6&gt;=$K26,AM$6&lt;$K26+$L26),$M26/$L26,0),IF($J26="X",$M26/12*(AM$6&lt;=12),0)))</f>
        <v>0</v>
      </c>
      <c r="AN26" s="43">
        <f>IF($J26="R",$O26/12*IF(AN$6&lt;$K26,$U26,MIN(1,$U26+(1-$U26)*(AN$6-$K26+1)/$L26)),IF($J26="P",IF(AND(AN$6&gt;=$K26,AN$6&lt;$K26+$L26),$M26/$L26,0),IF($J26="X",$M26/12*(AN$6&lt;=12),0)))</f>
        <v>0</v>
      </c>
      <c r="AO26" s="43">
        <f>IF($J26="R",$O26/12*IF(AO$6&lt;$K26,$U26,MIN(1,$U26+(1-$U26)*(AO$6-$K26+1)/$L26)),IF($J26="P",IF(AND(AO$6&gt;=$K26,AO$6&lt;$K26+$L26),$M26/$L26,0),IF($J26="X",$M26/12*(AO$6&lt;=12),0)))</f>
        <v>0</v>
      </c>
      <c r="AP26" s="43">
        <f>IF($J26="R",$O26/12*IF(AP$6&lt;$K26,$U26,MIN(1,$U26+(1-$U26)*(AP$6-$K26+1)/$L26)),IF($J26="P",IF(AND(AP$6&gt;=$K26,AP$6&lt;$K26+$L26),$M26/$L26,0),IF($J26="X",$M26/12*(AP$6&lt;=12),0)))</f>
        <v>0</v>
      </c>
      <c r="AQ26" s="43">
        <f>IF($J26="R",$O26/12*IF(AQ$6&lt;$K26,$U26,MIN(1,$U26+(1-$U26)*(AQ$6-$K26+1)/$L26)),IF($J26="P",IF(AND(AQ$6&gt;=$K26,AQ$6&lt;$K26+$L26),$M26/$L26,0),IF($J26="X",$M26/12*(AQ$6&lt;=12),0)))</f>
        <v>0</v>
      </c>
      <c r="AR26" s="43">
        <f>IF($J26="R",$O26/12*IF(AR$6&lt;$K26,$U26,MIN(1,$U26+(1-$U26)*(AR$6-$K26+1)/$L26)),IF($J26="P",IF(AND(AR$6&gt;=$K26,AR$6&lt;$K26+$L26),$M26/$L26,0),IF($J26="X",$M26/12*(AR$6&lt;=12),0)))</f>
        <v>0</v>
      </c>
      <c r="AS26" s="43">
        <f>IF($J26="R",$O26/12*IF(AS$6&lt;$K26,$U26,MIN(1,$U26+(1-$U26)*(AS$6-$K26+1)/$L26)),IF($J26="P",IF(AND(AS$6&gt;=$K26,AS$6&lt;$K26+$L26),$M26/$L26,0),IF($J26="X",$M26/12*(AS$6&lt;=12),0)))</f>
        <v>0</v>
      </c>
      <c r="AT26" s="43">
        <f>IF($J26="R",$O26/12*IF(AT$6&lt;$K26,$U26,MIN(1,$U26+(1-$U26)*(AT$6-$K26+1)/$L26)),IF($J26="P",IF(AND(AT$6&gt;=$K26,AT$6&lt;$K26+$L26),$M26/$L26,0),IF($J26="X",$M26/12*(AT$6&lt;=12),0)))</f>
        <v>0</v>
      </c>
      <c r="AU26" s="43">
        <f>IF($J26="R",$O26/12*IF(AU$6&lt;$K26,$U26,MIN(1,$U26+(1-$U26)*(AU$6-$K26+1)/$L26)),IF($J26="P",IF(AND(AU$6&gt;=$K26,AU$6&lt;$K26+$L26),$M26/$L26,0),IF($J26="X",$M26/12*(AU$6&lt;=12),0)))</f>
        <v>0</v>
      </c>
      <c r="AV26" s="23">
        <f>SUM(X26:AI26)</f>
        <v>106341.689534571</v>
      </c>
      <c r="AW26" s="23">
        <f>SUM(AJ26:AU26)</f>
        <v>0</v>
      </c>
      <c r="AX26" s="45" t="n">
        <v>0</v>
      </c>
      <c r="AY26" s="45" t="n">
        <v>0</v>
      </c>
      <c r="AZ26" s="45" t="n">
        <v>0</v>
      </c>
      <c r="BA26" s="25">
        <f>SUM(AV26:AZ26)</f>
        <v>106341.689534571</v>
      </c>
    </row>
    <row r="27">
      <c r="A27" s="62" t="n">
        <v>18</v>
      </c>
      <c r="B27" s="15" t="inlineStr">
        <is>
          <t>일본</t>
        </is>
      </c>
      <c r="C27" s="15" t="inlineStr">
        <is>
          <t>일본</t>
        </is>
      </c>
      <c r="D27" s="15" t="inlineStr">
        <is>
          <t>일본 신규 시설·재가 채널(HeartKium·TAIS 외 직접 도입)</t>
        </is>
      </c>
      <c r="E27" s="15" t="inlineStr">
        <is>
          <t>신규 파이프라인</t>
        </is>
      </c>
      <c r="F27" s="15" t="inlineStr">
        <is>
          <t>-</t>
        </is>
      </c>
      <c r="G27" s="15" t="inlineStr">
        <is>
          <t>신규</t>
        </is>
      </c>
      <c r="H27" s="15" t="inlineStr">
        <is>
          <t>C 신규 파이프라인(미확정)</t>
        </is>
      </c>
      <c r="I27" s="15" t="inlineStr">
        <is>
          <t>COH</t>
        </is>
      </c>
      <c r="J27" s="63" t="inlineStr">
        <is>
          <t>C</t>
        </is>
      </c>
      <c r="S27" s="68">
        <f>INDEX('8_가정'!$C$17:$E$24,MATCH($G27,'8_가정'!$A$17:$A$24,0),1)</f>
        <v>1</v>
      </c>
      <c r="V27" s="69" t="inlineStr">
        <is>
          <t>오사카 외 간사이·수도권 시설 확대, 介護テクノロジー 도입 지원 연계(가정). 내재 KPI는 10_IR정합 참조</t>
        </is>
      </c>
      <c r="X27" s="43">
        <f>IF($J27="R",$O27/12*IF(X$6&lt;$K27,$U27,MIN(1,$U27+(1-$U27)*(X$6-$K27+1)/$L27)),IF($J27="P",IF(AND(X$6&gt;=$K27,X$6&lt;$K27+$L27),$M27/$L27,0),IF($J27="X",$M27/12*(X$6&lt;=12),0)))</f>
        <v>0</v>
      </c>
      <c r="Y27" s="43">
        <f>IF($J27="R",$O27/12*IF(Y$6&lt;$K27,$U27,MIN(1,$U27+(1-$U27)*(Y$6-$K27+1)/$L27)),IF($J27="P",IF(AND(Y$6&gt;=$K27,Y$6&lt;$K27+$L27),$M27/$L27,0),IF($J27="X",$M27/12*(Y$6&lt;=12),0)))</f>
        <v>0</v>
      </c>
      <c r="Z27" s="43">
        <f>IF($J27="R",$O27/12*IF(Z$6&lt;$K27,$U27,MIN(1,$U27+(1-$U27)*(Z$6-$K27+1)/$L27)),IF($J27="P",IF(AND(Z$6&gt;=$K27,Z$6&lt;$K27+$L27),$M27/$L27,0),IF($J27="X",$M27/12*(Z$6&lt;=12),0)))</f>
        <v>0</v>
      </c>
      <c r="AA27" s="43">
        <f>IF($J27="R",$O27/12*IF(AA$6&lt;$K27,$U27,MIN(1,$U27+(1-$U27)*(AA$6-$K27+1)/$L27)),IF($J27="P",IF(AND(AA$6&gt;=$K27,AA$6&lt;$K27+$L27),$M27/$L27,0),IF($J27="X",$M27/12*(AA$6&lt;=12),0)))</f>
        <v>0</v>
      </c>
      <c r="AB27" s="43">
        <f>IF($J27="R",$O27/12*IF(AB$6&lt;$K27,$U27,MIN(1,$U27+(1-$U27)*(AB$6-$K27+1)/$L27)),IF($J27="P",IF(AND(AB$6&gt;=$K27,AB$6&lt;$K27+$L27),$M27/$L27,0),IF($J27="X",$M27/12*(AB$6&lt;=12),0)))</f>
        <v>0</v>
      </c>
      <c r="AC27" s="43">
        <f>IF($J27="R",$O27/12*IF(AC$6&lt;$K27,$U27,MIN(1,$U27+(1-$U27)*(AC$6-$K27+1)/$L27)),IF($J27="P",IF(AND(AC$6&gt;=$K27,AC$6&lt;$K27+$L27),$M27/$L27,0),IF($J27="X",$M27/12*(AC$6&lt;=12),0)))</f>
        <v>0</v>
      </c>
      <c r="AD27" s="43">
        <f>IF($J27="R",$O27/12*IF(AD$6&lt;$K27,$U27,MIN(1,$U27+(1-$U27)*(AD$6-$K27+1)/$L27)),IF($J27="P",IF(AND(AD$6&gt;=$K27,AD$6&lt;$K27+$L27),$M27/$L27,0),IF($J27="X",$M27/12*(AD$6&lt;=12),0)))</f>
        <v>0</v>
      </c>
      <c r="AE27" s="43">
        <f>IF($J27="R",$O27/12*IF(AE$6&lt;$K27,$U27,MIN(1,$U27+(1-$U27)*(AE$6-$K27+1)/$L27)),IF($J27="P",IF(AND(AE$6&gt;=$K27,AE$6&lt;$K27+$L27),$M27/$L27,0),IF($J27="X",$M27/12*(AE$6&lt;=12),0)))</f>
        <v>0</v>
      </c>
      <c r="AF27" s="43">
        <f>IF($J27="R",$O27/12*IF(AF$6&lt;$K27,$U27,MIN(1,$U27+(1-$U27)*(AF$6-$K27+1)/$L27)),IF($J27="P",IF(AND(AF$6&gt;=$K27,AF$6&lt;$K27+$L27),$M27/$L27,0),IF($J27="X",$M27/12*(AF$6&lt;=12),0)))</f>
        <v>0</v>
      </c>
      <c r="AG27" s="43">
        <f>IF($J27="R",$O27/12*IF(AG$6&lt;$K27,$U27,MIN(1,$U27+(1-$U27)*(AG$6-$K27+1)/$L27)),IF($J27="P",IF(AND(AG$6&gt;=$K27,AG$6&lt;$K27+$L27),$M27/$L27,0),IF($J27="X",$M27/12*(AG$6&lt;=12),0)))</f>
        <v>0</v>
      </c>
      <c r="AH27" s="43">
        <f>IF($J27="R",$O27/12*IF(AH$6&lt;$K27,$U27,MIN(1,$U27+(1-$U27)*(AH$6-$K27+1)/$L27)),IF($J27="P",IF(AND(AH$6&gt;=$K27,AH$6&lt;$K27+$L27),$M27/$L27,0),IF($J27="X",$M27/12*(AH$6&lt;=12),0)))</f>
        <v>0</v>
      </c>
      <c r="AI27" s="43">
        <f>IF($J27="R",$O27/12*IF(AI$6&lt;$K27,$U27,MIN(1,$U27+(1-$U27)*(AI$6-$K27+1)/$L27)),IF($J27="P",IF(AND(AI$6&gt;=$K27,AI$6&lt;$K27+$L27),$M27/$L27,0),IF($J27="X",$M27/12*(AI$6&lt;=12),0)))</f>
        <v>0</v>
      </c>
      <c r="AJ27" s="43">
        <f>IF($J27="R",$O27/12*IF(AJ$6&lt;$K27,$U27,MIN(1,$U27+(1-$U27)*(AJ$6-$K27+1)/$L27)),IF($J27="P",IF(AND(AJ$6&gt;=$K27,AJ$6&lt;$K27+$L27),$M27/$L27,0),IF($J27="X",$M27/12*(AJ$6&lt;=12),0)))</f>
        <v>0</v>
      </c>
      <c r="AK27" s="43">
        <f>IF($J27="R",$O27/12*IF(AK$6&lt;$K27,$U27,MIN(1,$U27+(1-$U27)*(AK$6-$K27+1)/$L27)),IF($J27="P",IF(AND(AK$6&gt;=$K27,AK$6&lt;$K27+$L27),$M27/$L27,0),IF($J27="X",$M27/12*(AK$6&lt;=12),0)))</f>
        <v>0</v>
      </c>
      <c r="AL27" s="43">
        <f>IF($J27="R",$O27/12*IF(AL$6&lt;$K27,$U27,MIN(1,$U27+(1-$U27)*(AL$6-$K27+1)/$L27)),IF($J27="P",IF(AND(AL$6&gt;=$K27,AL$6&lt;$K27+$L27),$M27/$L27,0),IF($J27="X",$M27/12*(AL$6&lt;=12),0)))</f>
        <v>0</v>
      </c>
      <c r="AM27" s="43">
        <f>IF($J27="R",$O27/12*IF(AM$6&lt;$K27,$U27,MIN(1,$U27+(1-$U27)*(AM$6-$K27+1)/$L27)),IF($J27="P",IF(AND(AM$6&gt;=$K27,AM$6&lt;$K27+$L27),$M27/$L27,0),IF($J27="X",$M27/12*(AM$6&lt;=12),0)))</f>
        <v>0</v>
      </c>
      <c r="AN27" s="43">
        <f>IF($J27="R",$O27/12*IF(AN$6&lt;$K27,$U27,MIN(1,$U27+(1-$U27)*(AN$6-$K27+1)/$L27)),IF($J27="P",IF(AND(AN$6&gt;=$K27,AN$6&lt;$K27+$L27),$M27/$L27,0),IF($J27="X",$M27/12*(AN$6&lt;=12),0)))</f>
        <v>0</v>
      </c>
      <c r="AO27" s="43">
        <f>IF($J27="R",$O27/12*IF(AO$6&lt;$K27,$U27,MIN(1,$U27+(1-$U27)*(AO$6-$K27+1)/$L27)),IF($J27="P",IF(AND(AO$6&gt;=$K27,AO$6&lt;$K27+$L27),$M27/$L27,0),IF($J27="X",$M27/12*(AO$6&lt;=12),0)))</f>
        <v>0</v>
      </c>
      <c r="AP27" s="43">
        <f>IF($J27="R",$O27/12*IF(AP$6&lt;$K27,$U27,MIN(1,$U27+(1-$U27)*(AP$6-$K27+1)/$L27)),IF($J27="P",IF(AND(AP$6&gt;=$K27,AP$6&lt;$K27+$L27),$M27/$L27,0),IF($J27="X",$M27/12*(AP$6&lt;=12),0)))</f>
        <v>0</v>
      </c>
      <c r="AQ27" s="43">
        <f>IF($J27="R",$O27/12*IF(AQ$6&lt;$K27,$U27,MIN(1,$U27+(1-$U27)*(AQ$6-$K27+1)/$L27)),IF($J27="P",IF(AND(AQ$6&gt;=$K27,AQ$6&lt;$K27+$L27),$M27/$L27,0),IF($J27="X",$M27/12*(AQ$6&lt;=12),0)))</f>
        <v>0</v>
      </c>
      <c r="AR27" s="43">
        <f>IF($J27="R",$O27/12*IF(AR$6&lt;$K27,$U27,MIN(1,$U27+(1-$U27)*(AR$6-$K27+1)/$L27)),IF($J27="P",IF(AND(AR$6&gt;=$K27,AR$6&lt;$K27+$L27),$M27/$L27,0),IF($J27="X",$M27/12*(AR$6&lt;=12),0)))</f>
        <v>0</v>
      </c>
      <c r="AS27" s="43">
        <f>IF($J27="R",$O27/12*IF(AS$6&lt;$K27,$U27,MIN(1,$U27+(1-$U27)*(AS$6-$K27+1)/$L27)),IF($J27="P",IF(AND(AS$6&gt;=$K27,AS$6&lt;$K27+$L27),$M27/$L27,0),IF($J27="X",$M27/12*(AS$6&lt;=12),0)))</f>
        <v>0</v>
      </c>
      <c r="AT27" s="43">
        <f>IF($J27="R",$O27/12*IF(AT$6&lt;$K27,$U27,MIN(1,$U27+(1-$U27)*(AT$6-$K27+1)/$L27)),IF($J27="P",IF(AND(AT$6&gt;=$K27,AT$6&lt;$K27+$L27),$M27/$L27,0),IF($J27="X",$M27/12*(AT$6&lt;=12),0)))</f>
        <v>0</v>
      </c>
      <c r="AU27" s="43">
        <f>IF($J27="R",$O27/12*IF(AU$6&lt;$K27,$U27,MIN(1,$U27+(1-$U27)*(AU$6-$K27+1)/$L27)),IF($J27="P",IF(AND(AU$6&gt;=$K27,AU$6&lt;$K27+$L27),$M27/$L27,0),IF($J27="X",$M27/12*(AU$6&lt;=12),0)))</f>
        <v>0</v>
      </c>
      <c r="AV27" s="23">
        <f>SUM(X27:AI27)</f>
        <v>0</v>
      </c>
      <c r="AW27" s="23">
        <f>SUM(AJ27:AU27)</f>
        <v>0</v>
      </c>
      <c r="AX27" s="65" t="n">
        <v>3300000</v>
      </c>
      <c r="AY27" s="65" t="n">
        <v>8500000</v>
      </c>
      <c r="AZ27" s="65" t="n">
        <v>27000000</v>
      </c>
      <c r="BA27" s="25">
        <f>SUM(AV27:AZ27)</f>
        <v>38800000</v>
      </c>
    </row>
    <row r="28">
      <c r="A28" s="62" t="n">
        <v>19</v>
      </c>
      <c r="B28" s="15" t="inlineStr">
        <is>
          <t>싱가포르·말레이시아 외</t>
        </is>
      </c>
      <c r="C28" s="15" t="inlineStr">
        <is>
          <t>동남아·APAC</t>
        </is>
      </c>
      <c r="D28" s="15" t="inlineStr">
        <is>
          <t>동남아 병원·요양그룹 확대(IHH·NTUC·SingHealth·Sunway·Econ·ACG 전환)</t>
        </is>
      </c>
      <c r="E28" s="15" t="inlineStr">
        <is>
          <t>신규 파이프라인</t>
        </is>
      </c>
      <c r="F28" s="15" t="inlineStr">
        <is>
          <t>-</t>
        </is>
      </c>
      <c r="G28" s="15" t="inlineStr">
        <is>
          <t>신규</t>
        </is>
      </c>
      <c r="H28" s="15" t="inlineStr">
        <is>
          <t>C 신규 파이프라인(미확정)</t>
        </is>
      </c>
      <c r="I28" s="15" t="inlineStr">
        <is>
          <t>COH</t>
        </is>
      </c>
      <c r="J28" s="63" t="inlineStr">
        <is>
          <t>C</t>
        </is>
      </c>
      <c r="S28" s="68">
        <f>INDEX('8_가정'!$C$17:$E$24,MATCH($G28,'8_가정'!$A$17:$A$24,0),1)</f>
        <v>1</v>
      </c>
      <c r="V28" s="69" t="inlineStr">
        <is>
          <t>IR p.29~32: PoC·구매절차 준비 중인 대형 그룹의 상용 전환(가정), 인니(APP 채널)·베트남 확장 포함</t>
        </is>
      </c>
      <c r="X28" s="43">
        <f>IF($J28="R",$O28/12*IF(X$6&lt;$K28,$U28,MIN(1,$U28+(1-$U28)*(X$6-$K28+1)/$L28)),IF($J28="P",IF(AND(X$6&gt;=$K28,X$6&lt;$K28+$L28),$M28/$L28,0),IF($J28="X",$M28/12*(X$6&lt;=12),0)))</f>
        <v>0</v>
      </c>
      <c r="Y28" s="43">
        <f>IF($J28="R",$O28/12*IF(Y$6&lt;$K28,$U28,MIN(1,$U28+(1-$U28)*(Y$6-$K28+1)/$L28)),IF($J28="P",IF(AND(Y$6&gt;=$K28,Y$6&lt;$K28+$L28),$M28/$L28,0),IF($J28="X",$M28/12*(Y$6&lt;=12),0)))</f>
        <v>0</v>
      </c>
      <c r="Z28" s="43">
        <f>IF($J28="R",$O28/12*IF(Z$6&lt;$K28,$U28,MIN(1,$U28+(1-$U28)*(Z$6-$K28+1)/$L28)),IF($J28="P",IF(AND(Z$6&gt;=$K28,Z$6&lt;$K28+$L28),$M28/$L28,0),IF($J28="X",$M28/12*(Z$6&lt;=12),0)))</f>
        <v>0</v>
      </c>
      <c r="AA28" s="43">
        <f>IF($J28="R",$O28/12*IF(AA$6&lt;$K28,$U28,MIN(1,$U28+(1-$U28)*(AA$6-$K28+1)/$L28)),IF($J28="P",IF(AND(AA$6&gt;=$K28,AA$6&lt;$K28+$L28),$M28/$L28,0),IF($J28="X",$M28/12*(AA$6&lt;=12),0)))</f>
        <v>0</v>
      </c>
      <c r="AB28" s="43">
        <f>IF($J28="R",$O28/12*IF(AB$6&lt;$K28,$U28,MIN(1,$U28+(1-$U28)*(AB$6-$K28+1)/$L28)),IF($J28="P",IF(AND(AB$6&gt;=$K28,AB$6&lt;$K28+$L28),$M28/$L28,0),IF($J28="X",$M28/12*(AB$6&lt;=12),0)))</f>
        <v>0</v>
      </c>
      <c r="AC28" s="43">
        <f>IF($J28="R",$O28/12*IF(AC$6&lt;$K28,$U28,MIN(1,$U28+(1-$U28)*(AC$6-$K28+1)/$L28)),IF($J28="P",IF(AND(AC$6&gt;=$K28,AC$6&lt;$K28+$L28),$M28/$L28,0),IF($J28="X",$M28/12*(AC$6&lt;=12),0)))</f>
        <v>0</v>
      </c>
      <c r="AD28" s="43">
        <f>IF($J28="R",$O28/12*IF(AD$6&lt;$K28,$U28,MIN(1,$U28+(1-$U28)*(AD$6-$K28+1)/$L28)),IF($J28="P",IF(AND(AD$6&gt;=$K28,AD$6&lt;$K28+$L28),$M28/$L28,0),IF($J28="X",$M28/12*(AD$6&lt;=12),0)))</f>
        <v>0</v>
      </c>
      <c r="AE28" s="43">
        <f>IF($J28="R",$O28/12*IF(AE$6&lt;$K28,$U28,MIN(1,$U28+(1-$U28)*(AE$6-$K28+1)/$L28)),IF($J28="P",IF(AND(AE$6&gt;=$K28,AE$6&lt;$K28+$L28),$M28/$L28,0),IF($J28="X",$M28/12*(AE$6&lt;=12),0)))</f>
        <v>0</v>
      </c>
      <c r="AF28" s="43">
        <f>IF($J28="R",$O28/12*IF(AF$6&lt;$K28,$U28,MIN(1,$U28+(1-$U28)*(AF$6-$K28+1)/$L28)),IF($J28="P",IF(AND(AF$6&gt;=$K28,AF$6&lt;$K28+$L28),$M28/$L28,0),IF($J28="X",$M28/12*(AF$6&lt;=12),0)))</f>
        <v>0</v>
      </c>
      <c r="AG28" s="43">
        <f>IF($J28="R",$O28/12*IF(AG$6&lt;$K28,$U28,MIN(1,$U28+(1-$U28)*(AG$6-$K28+1)/$L28)),IF($J28="P",IF(AND(AG$6&gt;=$K28,AG$6&lt;$K28+$L28),$M28/$L28,0),IF($J28="X",$M28/12*(AG$6&lt;=12),0)))</f>
        <v>0</v>
      </c>
      <c r="AH28" s="43">
        <f>IF($J28="R",$O28/12*IF(AH$6&lt;$K28,$U28,MIN(1,$U28+(1-$U28)*(AH$6-$K28+1)/$L28)),IF($J28="P",IF(AND(AH$6&gt;=$K28,AH$6&lt;$K28+$L28),$M28/$L28,0),IF($J28="X",$M28/12*(AH$6&lt;=12),0)))</f>
        <v>0</v>
      </c>
      <c r="AI28" s="43">
        <f>IF($J28="R",$O28/12*IF(AI$6&lt;$K28,$U28,MIN(1,$U28+(1-$U28)*(AI$6-$K28+1)/$L28)),IF($J28="P",IF(AND(AI$6&gt;=$K28,AI$6&lt;$K28+$L28),$M28/$L28,0),IF($J28="X",$M28/12*(AI$6&lt;=12),0)))</f>
        <v>0</v>
      </c>
      <c r="AJ28" s="43">
        <f>IF($J28="R",$O28/12*IF(AJ$6&lt;$K28,$U28,MIN(1,$U28+(1-$U28)*(AJ$6-$K28+1)/$L28)),IF($J28="P",IF(AND(AJ$6&gt;=$K28,AJ$6&lt;$K28+$L28),$M28/$L28,0),IF($J28="X",$M28/12*(AJ$6&lt;=12),0)))</f>
        <v>0</v>
      </c>
      <c r="AK28" s="43">
        <f>IF($J28="R",$O28/12*IF(AK$6&lt;$K28,$U28,MIN(1,$U28+(1-$U28)*(AK$6-$K28+1)/$L28)),IF($J28="P",IF(AND(AK$6&gt;=$K28,AK$6&lt;$K28+$L28),$M28/$L28,0),IF($J28="X",$M28/12*(AK$6&lt;=12),0)))</f>
        <v>0</v>
      </c>
      <c r="AL28" s="43">
        <f>IF($J28="R",$O28/12*IF(AL$6&lt;$K28,$U28,MIN(1,$U28+(1-$U28)*(AL$6-$K28+1)/$L28)),IF($J28="P",IF(AND(AL$6&gt;=$K28,AL$6&lt;$K28+$L28),$M28/$L28,0),IF($J28="X",$M28/12*(AL$6&lt;=12),0)))</f>
        <v>0</v>
      </c>
      <c r="AM28" s="43">
        <f>IF($J28="R",$O28/12*IF(AM$6&lt;$K28,$U28,MIN(1,$U28+(1-$U28)*(AM$6-$K28+1)/$L28)),IF($J28="P",IF(AND(AM$6&gt;=$K28,AM$6&lt;$K28+$L28),$M28/$L28,0),IF($J28="X",$M28/12*(AM$6&lt;=12),0)))</f>
        <v>0</v>
      </c>
      <c r="AN28" s="43">
        <f>IF($J28="R",$O28/12*IF(AN$6&lt;$K28,$U28,MIN(1,$U28+(1-$U28)*(AN$6-$K28+1)/$L28)),IF($J28="P",IF(AND(AN$6&gt;=$K28,AN$6&lt;$K28+$L28),$M28/$L28,0),IF($J28="X",$M28/12*(AN$6&lt;=12),0)))</f>
        <v>0</v>
      </c>
      <c r="AO28" s="43">
        <f>IF($J28="R",$O28/12*IF(AO$6&lt;$K28,$U28,MIN(1,$U28+(1-$U28)*(AO$6-$K28+1)/$L28)),IF($J28="P",IF(AND(AO$6&gt;=$K28,AO$6&lt;$K28+$L28),$M28/$L28,0),IF($J28="X",$M28/12*(AO$6&lt;=12),0)))</f>
        <v>0</v>
      </c>
      <c r="AP28" s="43">
        <f>IF($J28="R",$O28/12*IF(AP$6&lt;$K28,$U28,MIN(1,$U28+(1-$U28)*(AP$6-$K28+1)/$L28)),IF($J28="P",IF(AND(AP$6&gt;=$K28,AP$6&lt;$K28+$L28),$M28/$L28,0),IF($J28="X",$M28/12*(AP$6&lt;=12),0)))</f>
        <v>0</v>
      </c>
      <c r="AQ28" s="43">
        <f>IF($J28="R",$O28/12*IF(AQ$6&lt;$K28,$U28,MIN(1,$U28+(1-$U28)*(AQ$6-$K28+1)/$L28)),IF($J28="P",IF(AND(AQ$6&gt;=$K28,AQ$6&lt;$K28+$L28),$M28/$L28,0),IF($J28="X",$M28/12*(AQ$6&lt;=12),0)))</f>
        <v>0</v>
      </c>
      <c r="AR28" s="43">
        <f>IF($J28="R",$O28/12*IF(AR$6&lt;$K28,$U28,MIN(1,$U28+(1-$U28)*(AR$6-$K28+1)/$L28)),IF($J28="P",IF(AND(AR$6&gt;=$K28,AR$6&lt;$K28+$L28),$M28/$L28,0),IF($J28="X",$M28/12*(AR$6&lt;=12),0)))</f>
        <v>0</v>
      </c>
      <c r="AS28" s="43">
        <f>IF($J28="R",$O28/12*IF(AS$6&lt;$K28,$U28,MIN(1,$U28+(1-$U28)*(AS$6-$K28+1)/$L28)),IF($J28="P",IF(AND(AS$6&gt;=$K28,AS$6&lt;$K28+$L28),$M28/$L28,0),IF($J28="X",$M28/12*(AS$6&lt;=12),0)))</f>
        <v>0</v>
      </c>
      <c r="AT28" s="43">
        <f>IF($J28="R",$O28/12*IF(AT$6&lt;$K28,$U28,MIN(1,$U28+(1-$U28)*(AT$6-$K28+1)/$L28)),IF($J28="P",IF(AND(AT$6&gt;=$K28,AT$6&lt;$K28+$L28),$M28/$L28,0),IF($J28="X",$M28/12*(AT$6&lt;=12),0)))</f>
        <v>0</v>
      </c>
      <c r="AU28" s="43">
        <f>IF($J28="R",$O28/12*IF(AU$6&lt;$K28,$U28,MIN(1,$U28+(1-$U28)*(AU$6-$K28+1)/$L28)),IF($J28="P",IF(AND(AU$6&gt;=$K28,AU$6&lt;$K28+$L28),$M28/$L28,0),IF($J28="X",$M28/12*(AU$6&lt;=12),0)))</f>
        <v>0</v>
      </c>
      <c r="AV28" s="23">
        <f>SUM(X28:AI28)</f>
        <v>0</v>
      </c>
      <c r="AW28" s="23">
        <f>SUM(AJ28:AU28)</f>
        <v>0</v>
      </c>
      <c r="AX28" s="65" t="n">
        <v>2000000</v>
      </c>
      <c r="AY28" s="65" t="n">
        <v>6000000</v>
      </c>
      <c r="AZ28" s="65" t="n">
        <v>17000000</v>
      </c>
      <c r="BA28" s="25">
        <f>SUM(AV28:AZ28)</f>
        <v>25000000</v>
      </c>
    </row>
    <row r="29">
      <c r="A29" s="62" t="n">
        <v>20</v>
      </c>
      <c r="B29" s="15" t="inlineStr">
        <is>
          <t>유럽</t>
        </is>
      </c>
      <c r="C29" s="15" t="inlineStr">
        <is>
          <t>유럽</t>
        </is>
      </c>
      <c r="D29" s="15" t="inlineStr">
        <is>
          <t>유럽 총판 확대(NL·ES·PT·DACH/북유럽)</t>
        </is>
      </c>
      <c r="E29" s="15" t="inlineStr">
        <is>
          <t>신규 파이프라인</t>
        </is>
      </c>
      <c r="F29" s="15" t="inlineStr">
        <is>
          <t>-</t>
        </is>
      </c>
      <c r="G29" s="15" t="inlineStr">
        <is>
          <t>신규</t>
        </is>
      </c>
      <c r="H29" s="15" t="inlineStr">
        <is>
          <t>C 신규 파이프라인(미확정)</t>
        </is>
      </c>
      <c r="I29" s="15" t="inlineStr">
        <is>
          <t>COH</t>
        </is>
      </c>
      <c r="J29" s="63" t="inlineStr">
        <is>
          <t>C</t>
        </is>
      </c>
      <c r="S29" s="68">
        <f>INDEX('8_가정'!$C$17:$E$24,MATCH($G29,'8_가정'!$A$17:$A$24,0),1)</f>
        <v>1</v>
      </c>
      <c r="V29" s="69" t="inlineStr">
        <is>
          <t>IR p.24 로드맵 2027 EU PoC → 2028 확대(가정). HITecosystem(포르투갈) 등 진행 중 거래처 전환</t>
        </is>
      </c>
      <c r="X29" s="43">
        <f>IF($J29="R",$O29/12*IF(X$6&lt;$K29,$U29,MIN(1,$U29+(1-$U29)*(X$6-$K29+1)/$L29)),IF($J29="P",IF(AND(X$6&gt;=$K29,X$6&lt;$K29+$L29),$M29/$L29,0),IF($J29="X",$M29/12*(X$6&lt;=12),0)))</f>
        <v>0</v>
      </c>
      <c r="Y29" s="43">
        <f>IF($J29="R",$O29/12*IF(Y$6&lt;$K29,$U29,MIN(1,$U29+(1-$U29)*(Y$6-$K29+1)/$L29)),IF($J29="P",IF(AND(Y$6&gt;=$K29,Y$6&lt;$K29+$L29),$M29/$L29,0),IF($J29="X",$M29/12*(Y$6&lt;=12),0)))</f>
        <v>0</v>
      </c>
      <c r="Z29" s="43">
        <f>IF($J29="R",$O29/12*IF(Z$6&lt;$K29,$U29,MIN(1,$U29+(1-$U29)*(Z$6-$K29+1)/$L29)),IF($J29="P",IF(AND(Z$6&gt;=$K29,Z$6&lt;$K29+$L29),$M29/$L29,0),IF($J29="X",$M29/12*(Z$6&lt;=12),0)))</f>
        <v>0</v>
      </c>
      <c r="AA29" s="43">
        <f>IF($J29="R",$O29/12*IF(AA$6&lt;$K29,$U29,MIN(1,$U29+(1-$U29)*(AA$6-$K29+1)/$L29)),IF($J29="P",IF(AND(AA$6&gt;=$K29,AA$6&lt;$K29+$L29),$M29/$L29,0),IF($J29="X",$M29/12*(AA$6&lt;=12),0)))</f>
        <v>0</v>
      </c>
      <c r="AB29" s="43">
        <f>IF($J29="R",$O29/12*IF(AB$6&lt;$K29,$U29,MIN(1,$U29+(1-$U29)*(AB$6-$K29+1)/$L29)),IF($J29="P",IF(AND(AB$6&gt;=$K29,AB$6&lt;$K29+$L29),$M29/$L29,0),IF($J29="X",$M29/12*(AB$6&lt;=12),0)))</f>
        <v>0</v>
      </c>
      <c r="AC29" s="43">
        <f>IF($J29="R",$O29/12*IF(AC$6&lt;$K29,$U29,MIN(1,$U29+(1-$U29)*(AC$6-$K29+1)/$L29)),IF($J29="P",IF(AND(AC$6&gt;=$K29,AC$6&lt;$K29+$L29),$M29/$L29,0),IF($J29="X",$M29/12*(AC$6&lt;=12),0)))</f>
        <v>0</v>
      </c>
      <c r="AD29" s="43">
        <f>IF($J29="R",$O29/12*IF(AD$6&lt;$K29,$U29,MIN(1,$U29+(1-$U29)*(AD$6-$K29+1)/$L29)),IF($J29="P",IF(AND(AD$6&gt;=$K29,AD$6&lt;$K29+$L29),$M29/$L29,0),IF($J29="X",$M29/12*(AD$6&lt;=12),0)))</f>
        <v>0</v>
      </c>
      <c r="AE29" s="43">
        <f>IF($J29="R",$O29/12*IF(AE$6&lt;$K29,$U29,MIN(1,$U29+(1-$U29)*(AE$6-$K29+1)/$L29)),IF($J29="P",IF(AND(AE$6&gt;=$K29,AE$6&lt;$K29+$L29),$M29/$L29,0),IF($J29="X",$M29/12*(AE$6&lt;=12),0)))</f>
        <v>0</v>
      </c>
      <c r="AF29" s="43">
        <f>IF($J29="R",$O29/12*IF(AF$6&lt;$K29,$U29,MIN(1,$U29+(1-$U29)*(AF$6-$K29+1)/$L29)),IF($J29="P",IF(AND(AF$6&gt;=$K29,AF$6&lt;$K29+$L29),$M29/$L29,0),IF($J29="X",$M29/12*(AF$6&lt;=12),0)))</f>
        <v>0</v>
      </c>
      <c r="AG29" s="43">
        <f>IF($J29="R",$O29/12*IF(AG$6&lt;$K29,$U29,MIN(1,$U29+(1-$U29)*(AG$6-$K29+1)/$L29)),IF($J29="P",IF(AND(AG$6&gt;=$K29,AG$6&lt;$K29+$L29),$M29/$L29,0),IF($J29="X",$M29/12*(AG$6&lt;=12),0)))</f>
        <v>0</v>
      </c>
      <c r="AH29" s="43">
        <f>IF($J29="R",$O29/12*IF(AH$6&lt;$K29,$U29,MIN(1,$U29+(1-$U29)*(AH$6-$K29+1)/$L29)),IF($J29="P",IF(AND(AH$6&gt;=$K29,AH$6&lt;$K29+$L29),$M29/$L29,0),IF($J29="X",$M29/12*(AH$6&lt;=12),0)))</f>
        <v>0</v>
      </c>
      <c r="AI29" s="43">
        <f>IF($J29="R",$O29/12*IF(AI$6&lt;$K29,$U29,MIN(1,$U29+(1-$U29)*(AI$6-$K29+1)/$L29)),IF($J29="P",IF(AND(AI$6&gt;=$K29,AI$6&lt;$K29+$L29),$M29/$L29,0),IF($J29="X",$M29/12*(AI$6&lt;=12),0)))</f>
        <v>0</v>
      </c>
      <c r="AJ29" s="43">
        <f>IF($J29="R",$O29/12*IF(AJ$6&lt;$K29,$U29,MIN(1,$U29+(1-$U29)*(AJ$6-$K29+1)/$L29)),IF($J29="P",IF(AND(AJ$6&gt;=$K29,AJ$6&lt;$K29+$L29),$M29/$L29,0),IF($J29="X",$M29/12*(AJ$6&lt;=12),0)))</f>
        <v>0</v>
      </c>
      <c r="AK29" s="43">
        <f>IF($J29="R",$O29/12*IF(AK$6&lt;$K29,$U29,MIN(1,$U29+(1-$U29)*(AK$6-$K29+1)/$L29)),IF($J29="P",IF(AND(AK$6&gt;=$K29,AK$6&lt;$K29+$L29),$M29/$L29,0),IF($J29="X",$M29/12*(AK$6&lt;=12),0)))</f>
        <v>0</v>
      </c>
      <c r="AL29" s="43">
        <f>IF($J29="R",$O29/12*IF(AL$6&lt;$K29,$U29,MIN(1,$U29+(1-$U29)*(AL$6-$K29+1)/$L29)),IF($J29="P",IF(AND(AL$6&gt;=$K29,AL$6&lt;$K29+$L29),$M29/$L29,0),IF($J29="X",$M29/12*(AL$6&lt;=12),0)))</f>
        <v>0</v>
      </c>
      <c r="AM29" s="43">
        <f>IF($J29="R",$O29/12*IF(AM$6&lt;$K29,$U29,MIN(1,$U29+(1-$U29)*(AM$6-$K29+1)/$L29)),IF($J29="P",IF(AND(AM$6&gt;=$K29,AM$6&lt;$K29+$L29),$M29/$L29,0),IF($J29="X",$M29/12*(AM$6&lt;=12),0)))</f>
        <v>0</v>
      </c>
      <c r="AN29" s="43">
        <f>IF($J29="R",$O29/12*IF(AN$6&lt;$K29,$U29,MIN(1,$U29+(1-$U29)*(AN$6-$K29+1)/$L29)),IF($J29="P",IF(AND(AN$6&gt;=$K29,AN$6&lt;$K29+$L29),$M29/$L29,0),IF($J29="X",$M29/12*(AN$6&lt;=12),0)))</f>
        <v>0</v>
      </c>
      <c r="AO29" s="43">
        <f>IF($J29="R",$O29/12*IF(AO$6&lt;$K29,$U29,MIN(1,$U29+(1-$U29)*(AO$6-$K29+1)/$L29)),IF($J29="P",IF(AND(AO$6&gt;=$K29,AO$6&lt;$K29+$L29),$M29/$L29,0),IF($J29="X",$M29/12*(AO$6&lt;=12),0)))</f>
        <v>0</v>
      </c>
      <c r="AP29" s="43">
        <f>IF($J29="R",$O29/12*IF(AP$6&lt;$K29,$U29,MIN(1,$U29+(1-$U29)*(AP$6-$K29+1)/$L29)),IF($J29="P",IF(AND(AP$6&gt;=$K29,AP$6&lt;$K29+$L29),$M29/$L29,0),IF($J29="X",$M29/12*(AP$6&lt;=12),0)))</f>
        <v>0</v>
      </c>
      <c r="AQ29" s="43">
        <f>IF($J29="R",$O29/12*IF(AQ$6&lt;$K29,$U29,MIN(1,$U29+(1-$U29)*(AQ$6-$K29+1)/$L29)),IF($J29="P",IF(AND(AQ$6&gt;=$K29,AQ$6&lt;$K29+$L29),$M29/$L29,0),IF($J29="X",$M29/12*(AQ$6&lt;=12),0)))</f>
        <v>0</v>
      </c>
      <c r="AR29" s="43">
        <f>IF($J29="R",$O29/12*IF(AR$6&lt;$K29,$U29,MIN(1,$U29+(1-$U29)*(AR$6-$K29+1)/$L29)),IF($J29="P",IF(AND(AR$6&gt;=$K29,AR$6&lt;$K29+$L29),$M29/$L29,0),IF($J29="X",$M29/12*(AR$6&lt;=12),0)))</f>
        <v>0</v>
      </c>
      <c r="AS29" s="43">
        <f>IF($J29="R",$O29/12*IF(AS$6&lt;$K29,$U29,MIN(1,$U29+(1-$U29)*(AS$6-$K29+1)/$L29)),IF($J29="P",IF(AND(AS$6&gt;=$K29,AS$6&lt;$K29+$L29),$M29/$L29,0),IF($J29="X",$M29/12*(AS$6&lt;=12),0)))</f>
        <v>0</v>
      </c>
      <c r="AT29" s="43">
        <f>IF($J29="R",$O29/12*IF(AT$6&lt;$K29,$U29,MIN(1,$U29+(1-$U29)*(AT$6-$K29+1)/$L29)),IF($J29="P",IF(AND(AT$6&gt;=$K29,AT$6&lt;$K29+$L29),$M29/$L29,0),IF($J29="X",$M29/12*(AT$6&lt;=12),0)))</f>
        <v>0</v>
      </c>
      <c r="AU29" s="43">
        <f>IF($J29="R",$O29/12*IF(AU$6&lt;$K29,$U29,MIN(1,$U29+(1-$U29)*(AU$6-$K29+1)/$L29)),IF($J29="P",IF(AND(AU$6&gt;=$K29,AU$6&lt;$K29+$L29),$M29/$L29,0),IF($J29="X",$M29/12*(AU$6&lt;=12),0)))</f>
        <v>0</v>
      </c>
      <c r="AV29" s="23">
        <f>SUM(X29:AI29)</f>
        <v>0</v>
      </c>
      <c r="AW29" s="23">
        <f>SUM(AJ29:AU29)</f>
        <v>0</v>
      </c>
      <c r="AX29" s="65" t="n">
        <v>1200000</v>
      </c>
      <c r="AY29" s="65" t="n">
        <v>3300000</v>
      </c>
      <c r="AZ29" s="65" t="n">
        <v>11000000</v>
      </c>
      <c r="BA29" s="25">
        <f>SUM(AV29:AZ29)</f>
        <v>15500000</v>
      </c>
    </row>
    <row r="30">
      <c r="A30" s="62" t="n">
        <v>21</v>
      </c>
      <c r="B30" s="15" t="inlineStr">
        <is>
          <t>미국</t>
        </is>
      </c>
      <c r="C30" s="15" t="inlineStr">
        <is>
          <t>미국</t>
        </is>
      </c>
      <c r="D30" s="15" t="inlineStr">
        <is>
          <t>미국 의료유통 채널(Shelter Device PoC → 2029 유통 진입)</t>
        </is>
      </c>
      <c r="E30" s="15" t="inlineStr">
        <is>
          <t>신규 파이프라인</t>
        </is>
      </c>
      <c r="F30" s="15" t="inlineStr">
        <is>
          <t>-</t>
        </is>
      </c>
      <c r="G30" s="15" t="inlineStr">
        <is>
          <t>신규</t>
        </is>
      </c>
      <c r="H30" s="15" t="inlineStr">
        <is>
          <t>C 신규 파이프라인(미확정)</t>
        </is>
      </c>
      <c r="I30" s="15" t="inlineStr">
        <is>
          <t>COH</t>
        </is>
      </c>
      <c r="J30" s="63" t="inlineStr">
        <is>
          <t>C</t>
        </is>
      </c>
      <c r="S30" s="68">
        <f>INDEX('8_가정'!$C$17:$E$24,MATCH($G30,'8_가정'!$A$17:$A$24,0),1)</f>
        <v>1</v>
      </c>
      <c r="V30" s="69" t="inlineStr">
        <is>
          <t>IR p.24 로드맵 2029 미국 의료 유통 채널 진입. FDA 등 인허가 일정은 별도 확인 필요</t>
        </is>
      </c>
      <c r="X30" s="43">
        <f>IF($J30="R",$O30/12*IF(X$6&lt;$K30,$U30,MIN(1,$U30+(1-$U30)*(X$6-$K30+1)/$L30)),IF($J30="P",IF(AND(X$6&gt;=$K30,X$6&lt;$K30+$L30),$M30/$L30,0),IF($J30="X",$M30/12*(X$6&lt;=12),0)))</f>
        <v>0</v>
      </c>
      <c r="Y30" s="43">
        <f>IF($J30="R",$O30/12*IF(Y$6&lt;$K30,$U30,MIN(1,$U30+(1-$U30)*(Y$6-$K30+1)/$L30)),IF($J30="P",IF(AND(Y$6&gt;=$K30,Y$6&lt;$K30+$L30),$M30/$L30,0),IF($J30="X",$M30/12*(Y$6&lt;=12),0)))</f>
        <v>0</v>
      </c>
      <c r="Z30" s="43">
        <f>IF($J30="R",$O30/12*IF(Z$6&lt;$K30,$U30,MIN(1,$U30+(1-$U30)*(Z$6-$K30+1)/$L30)),IF($J30="P",IF(AND(Z$6&gt;=$K30,Z$6&lt;$K30+$L30),$M30/$L30,0),IF($J30="X",$M30/12*(Z$6&lt;=12),0)))</f>
        <v>0</v>
      </c>
      <c r="AA30" s="43">
        <f>IF($J30="R",$O30/12*IF(AA$6&lt;$K30,$U30,MIN(1,$U30+(1-$U30)*(AA$6-$K30+1)/$L30)),IF($J30="P",IF(AND(AA$6&gt;=$K30,AA$6&lt;$K30+$L30),$M30/$L30,0),IF($J30="X",$M30/12*(AA$6&lt;=12),0)))</f>
        <v>0</v>
      </c>
      <c r="AB30" s="43">
        <f>IF($J30="R",$O30/12*IF(AB$6&lt;$K30,$U30,MIN(1,$U30+(1-$U30)*(AB$6-$K30+1)/$L30)),IF($J30="P",IF(AND(AB$6&gt;=$K30,AB$6&lt;$K30+$L30),$M30/$L30,0),IF($J30="X",$M30/12*(AB$6&lt;=12),0)))</f>
        <v>0</v>
      </c>
      <c r="AC30" s="43">
        <f>IF($J30="R",$O30/12*IF(AC$6&lt;$K30,$U30,MIN(1,$U30+(1-$U30)*(AC$6-$K30+1)/$L30)),IF($J30="P",IF(AND(AC$6&gt;=$K30,AC$6&lt;$K30+$L30),$M30/$L30,0),IF($J30="X",$M30/12*(AC$6&lt;=12),0)))</f>
        <v>0</v>
      </c>
      <c r="AD30" s="43">
        <f>IF($J30="R",$O30/12*IF(AD$6&lt;$K30,$U30,MIN(1,$U30+(1-$U30)*(AD$6-$K30+1)/$L30)),IF($J30="P",IF(AND(AD$6&gt;=$K30,AD$6&lt;$K30+$L30),$M30/$L30,0),IF($J30="X",$M30/12*(AD$6&lt;=12),0)))</f>
        <v>0</v>
      </c>
      <c r="AE30" s="43">
        <f>IF($J30="R",$O30/12*IF(AE$6&lt;$K30,$U30,MIN(1,$U30+(1-$U30)*(AE$6-$K30+1)/$L30)),IF($J30="P",IF(AND(AE$6&gt;=$K30,AE$6&lt;$K30+$L30),$M30/$L30,0),IF($J30="X",$M30/12*(AE$6&lt;=12),0)))</f>
        <v>0</v>
      </c>
      <c r="AF30" s="43">
        <f>IF($J30="R",$O30/12*IF(AF$6&lt;$K30,$U30,MIN(1,$U30+(1-$U30)*(AF$6-$K30+1)/$L30)),IF($J30="P",IF(AND(AF$6&gt;=$K30,AF$6&lt;$K30+$L30),$M30/$L30,0),IF($J30="X",$M30/12*(AF$6&lt;=12),0)))</f>
        <v>0</v>
      </c>
      <c r="AG30" s="43">
        <f>IF($J30="R",$O30/12*IF(AG$6&lt;$K30,$U30,MIN(1,$U30+(1-$U30)*(AG$6-$K30+1)/$L30)),IF($J30="P",IF(AND(AG$6&gt;=$K30,AG$6&lt;$K30+$L30),$M30/$L30,0),IF($J30="X",$M30/12*(AG$6&lt;=12),0)))</f>
        <v>0</v>
      </c>
      <c r="AH30" s="43">
        <f>IF($J30="R",$O30/12*IF(AH$6&lt;$K30,$U30,MIN(1,$U30+(1-$U30)*(AH$6-$K30+1)/$L30)),IF($J30="P",IF(AND(AH$6&gt;=$K30,AH$6&lt;$K30+$L30),$M30/$L30,0),IF($J30="X",$M30/12*(AH$6&lt;=12),0)))</f>
        <v>0</v>
      </c>
      <c r="AI30" s="43">
        <f>IF($J30="R",$O30/12*IF(AI$6&lt;$K30,$U30,MIN(1,$U30+(1-$U30)*(AI$6-$K30+1)/$L30)),IF($J30="P",IF(AND(AI$6&gt;=$K30,AI$6&lt;$K30+$L30),$M30/$L30,0),IF($J30="X",$M30/12*(AI$6&lt;=12),0)))</f>
        <v>0</v>
      </c>
      <c r="AJ30" s="43">
        <f>IF($J30="R",$O30/12*IF(AJ$6&lt;$K30,$U30,MIN(1,$U30+(1-$U30)*(AJ$6-$K30+1)/$L30)),IF($J30="P",IF(AND(AJ$6&gt;=$K30,AJ$6&lt;$K30+$L30),$M30/$L30,0),IF($J30="X",$M30/12*(AJ$6&lt;=12),0)))</f>
        <v>0</v>
      </c>
      <c r="AK30" s="43">
        <f>IF($J30="R",$O30/12*IF(AK$6&lt;$K30,$U30,MIN(1,$U30+(1-$U30)*(AK$6-$K30+1)/$L30)),IF($J30="P",IF(AND(AK$6&gt;=$K30,AK$6&lt;$K30+$L30),$M30/$L30,0),IF($J30="X",$M30/12*(AK$6&lt;=12),0)))</f>
        <v>0</v>
      </c>
      <c r="AL30" s="43">
        <f>IF($J30="R",$O30/12*IF(AL$6&lt;$K30,$U30,MIN(1,$U30+(1-$U30)*(AL$6-$K30+1)/$L30)),IF($J30="P",IF(AND(AL$6&gt;=$K30,AL$6&lt;$K30+$L30),$M30/$L30,0),IF($J30="X",$M30/12*(AL$6&lt;=12),0)))</f>
        <v>0</v>
      </c>
      <c r="AM30" s="43">
        <f>IF($J30="R",$O30/12*IF(AM$6&lt;$K30,$U30,MIN(1,$U30+(1-$U30)*(AM$6-$K30+1)/$L30)),IF($J30="P",IF(AND(AM$6&gt;=$K30,AM$6&lt;$K30+$L30),$M30/$L30,0),IF($J30="X",$M30/12*(AM$6&lt;=12),0)))</f>
        <v>0</v>
      </c>
      <c r="AN30" s="43">
        <f>IF($J30="R",$O30/12*IF(AN$6&lt;$K30,$U30,MIN(1,$U30+(1-$U30)*(AN$6-$K30+1)/$L30)),IF($J30="P",IF(AND(AN$6&gt;=$K30,AN$6&lt;$K30+$L30),$M30/$L30,0),IF($J30="X",$M30/12*(AN$6&lt;=12),0)))</f>
        <v>0</v>
      </c>
      <c r="AO30" s="43">
        <f>IF($J30="R",$O30/12*IF(AO$6&lt;$K30,$U30,MIN(1,$U30+(1-$U30)*(AO$6-$K30+1)/$L30)),IF($J30="P",IF(AND(AO$6&gt;=$K30,AO$6&lt;$K30+$L30),$M30/$L30,0),IF($J30="X",$M30/12*(AO$6&lt;=12),0)))</f>
        <v>0</v>
      </c>
      <c r="AP30" s="43">
        <f>IF($J30="R",$O30/12*IF(AP$6&lt;$K30,$U30,MIN(1,$U30+(1-$U30)*(AP$6-$K30+1)/$L30)),IF($J30="P",IF(AND(AP$6&gt;=$K30,AP$6&lt;$K30+$L30),$M30/$L30,0),IF($J30="X",$M30/12*(AP$6&lt;=12),0)))</f>
        <v>0</v>
      </c>
      <c r="AQ30" s="43">
        <f>IF($J30="R",$O30/12*IF(AQ$6&lt;$K30,$U30,MIN(1,$U30+(1-$U30)*(AQ$6-$K30+1)/$L30)),IF($J30="P",IF(AND(AQ$6&gt;=$K30,AQ$6&lt;$K30+$L30),$M30/$L30,0),IF($J30="X",$M30/12*(AQ$6&lt;=12),0)))</f>
        <v>0</v>
      </c>
      <c r="AR30" s="43">
        <f>IF($J30="R",$O30/12*IF(AR$6&lt;$K30,$U30,MIN(1,$U30+(1-$U30)*(AR$6-$K30+1)/$L30)),IF($J30="P",IF(AND(AR$6&gt;=$K30,AR$6&lt;$K30+$L30),$M30/$L30,0),IF($J30="X",$M30/12*(AR$6&lt;=12),0)))</f>
        <v>0</v>
      </c>
      <c r="AS30" s="43">
        <f>IF($J30="R",$O30/12*IF(AS$6&lt;$K30,$U30,MIN(1,$U30+(1-$U30)*(AS$6-$K30+1)/$L30)),IF($J30="P",IF(AND(AS$6&gt;=$K30,AS$6&lt;$K30+$L30),$M30/$L30,0),IF($J30="X",$M30/12*(AS$6&lt;=12),0)))</f>
        <v>0</v>
      </c>
      <c r="AT30" s="43">
        <f>IF($J30="R",$O30/12*IF(AT$6&lt;$K30,$U30,MIN(1,$U30+(1-$U30)*(AT$6-$K30+1)/$L30)),IF($J30="P",IF(AND(AT$6&gt;=$K30,AT$6&lt;$K30+$L30),$M30/$L30,0),IF($J30="X",$M30/12*(AT$6&lt;=12),0)))</f>
        <v>0</v>
      </c>
      <c r="AU30" s="43">
        <f>IF($J30="R",$O30/12*IF(AU$6&lt;$K30,$U30,MIN(1,$U30+(1-$U30)*(AU$6-$K30+1)/$L30)),IF($J30="P",IF(AND(AU$6&gt;=$K30,AU$6&lt;$K30+$L30),$M30/$L30,0),IF($J30="X",$M30/12*(AU$6&lt;=12),0)))</f>
        <v>0</v>
      </c>
      <c r="AV30" s="23">
        <f>SUM(X30:AI30)</f>
        <v>0</v>
      </c>
      <c r="AW30" s="23">
        <f>SUM(AJ30:AU30)</f>
        <v>0</v>
      </c>
      <c r="AX30" s="65" t="n">
        <v>1000000</v>
      </c>
      <c r="AY30" s="65" t="n">
        <v>7500000</v>
      </c>
      <c r="AZ30" s="65" t="n">
        <v>30000000</v>
      </c>
      <c r="BA30" s="25">
        <f>SUM(AV30:AZ30)</f>
        <v>38500000</v>
      </c>
    </row>
    <row r="31">
      <c r="A31" s="62" t="n">
        <v>22</v>
      </c>
      <c r="B31" s="15" t="inlineStr">
        <is>
          <t>글로벌</t>
        </is>
      </c>
      <c r="C31" s="15" t="inlineStr">
        <is>
          <t>글로벌(삼성채널)</t>
        </is>
      </c>
      <c r="D31" s="15" t="inlineStr">
        <is>
          <t>삼성 글로벌 채널(B2B 오퍼링 번들·시니어 모바일 앱) — 목표 대비 잔여</t>
        </is>
      </c>
      <c r="E31" s="15" t="inlineStr">
        <is>
          <t>파트너</t>
        </is>
      </c>
      <c r="F31" s="15" t="inlineStr">
        <is>
          <t>-</t>
        </is>
      </c>
      <c r="G31" s="15" t="inlineStr">
        <is>
          <t>신규</t>
        </is>
      </c>
      <c r="H31" s="15" t="inlineStr">
        <is>
          <t>C 신규 파이프라인(미확정)</t>
        </is>
      </c>
      <c r="I31" s="15" t="inlineStr">
        <is>
          <t>COH</t>
        </is>
      </c>
      <c r="J31" s="63" t="inlineStr">
        <is>
          <t>S</t>
        </is>
      </c>
      <c r="S31" s="68">
        <f>INDEX('8_가정'!$C$17:$E$24,MATCH($G31,'8_가정'!$A$17:$A$24,0),1)</f>
        <v>1</v>
      </c>
      <c r="V31" s="69" t="inlineStr">
        <is>
          <t>IR p.23·24: 삼성 B2B 오퍼링 번들(2028 글로벌 확장, 273개국). 본 행은 IR 총액과의 차이를 채우는 잔차 — 가장 불확실한 항목</t>
        </is>
      </c>
      <c r="X31" s="43">
        <f>IF($J31="R",$O31/12*IF(X$6&lt;$K31,$U31,MIN(1,$U31+(1-$U31)*(X$6-$K31+1)/$L31)),IF($J31="P",IF(AND(X$6&gt;=$K31,X$6&lt;$K31+$L31),$M31/$L31,0),IF($J31="X",$M31/12*(X$6&lt;=12),0)))</f>
        <v>0</v>
      </c>
      <c r="Y31" s="43">
        <f>IF($J31="R",$O31/12*IF(Y$6&lt;$K31,$U31,MIN(1,$U31+(1-$U31)*(Y$6-$K31+1)/$L31)),IF($J31="P",IF(AND(Y$6&gt;=$K31,Y$6&lt;$K31+$L31),$M31/$L31,0),IF($J31="X",$M31/12*(Y$6&lt;=12),0)))</f>
        <v>0</v>
      </c>
      <c r="Z31" s="43">
        <f>IF($J31="R",$O31/12*IF(Z$6&lt;$K31,$U31,MIN(1,$U31+(1-$U31)*(Z$6-$K31+1)/$L31)),IF($J31="P",IF(AND(Z$6&gt;=$K31,Z$6&lt;$K31+$L31),$M31/$L31,0),IF($J31="X",$M31/12*(Z$6&lt;=12),0)))</f>
        <v>0</v>
      </c>
      <c r="AA31" s="43">
        <f>IF($J31="R",$O31/12*IF(AA$6&lt;$K31,$U31,MIN(1,$U31+(1-$U31)*(AA$6-$K31+1)/$L31)),IF($J31="P",IF(AND(AA$6&gt;=$K31,AA$6&lt;$K31+$L31),$M31/$L31,0),IF($J31="X",$M31/12*(AA$6&lt;=12),0)))</f>
        <v>0</v>
      </c>
      <c r="AB31" s="43">
        <f>IF($J31="R",$O31/12*IF(AB$6&lt;$K31,$U31,MIN(1,$U31+(1-$U31)*(AB$6-$K31+1)/$L31)),IF($J31="P",IF(AND(AB$6&gt;=$K31,AB$6&lt;$K31+$L31),$M31/$L31,0),IF($J31="X",$M31/12*(AB$6&lt;=12),0)))</f>
        <v>0</v>
      </c>
      <c r="AC31" s="43">
        <f>IF($J31="R",$O31/12*IF(AC$6&lt;$K31,$U31,MIN(1,$U31+(1-$U31)*(AC$6-$K31+1)/$L31)),IF($J31="P",IF(AND(AC$6&gt;=$K31,AC$6&lt;$K31+$L31),$M31/$L31,0),IF($J31="X",$M31/12*(AC$6&lt;=12),0)))</f>
        <v>0</v>
      </c>
      <c r="AD31" s="43">
        <f>IF($J31="R",$O31/12*IF(AD$6&lt;$K31,$U31,MIN(1,$U31+(1-$U31)*(AD$6-$K31+1)/$L31)),IF($J31="P",IF(AND(AD$6&gt;=$K31,AD$6&lt;$K31+$L31),$M31/$L31,0),IF($J31="X",$M31/12*(AD$6&lt;=12),0)))</f>
        <v>0</v>
      </c>
      <c r="AE31" s="43">
        <f>IF($J31="R",$O31/12*IF(AE$6&lt;$K31,$U31,MIN(1,$U31+(1-$U31)*(AE$6-$K31+1)/$L31)),IF($J31="P",IF(AND(AE$6&gt;=$K31,AE$6&lt;$K31+$L31),$M31/$L31,0),IF($J31="X",$M31/12*(AE$6&lt;=12),0)))</f>
        <v>0</v>
      </c>
      <c r="AF31" s="43">
        <f>IF($J31="R",$O31/12*IF(AF$6&lt;$K31,$U31,MIN(1,$U31+(1-$U31)*(AF$6-$K31+1)/$L31)),IF($J31="P",IF(AND(AF$6&gt;=$K31,AF$6&lt;$K31+$L31),$M31/$L31,0),IF($J31="X",$M31/12*(AF$6&lt;=12),0)))</f>
        <v>0</v>
      </c>
      <c r="AG31" s="43">
        <f>IF($J31="R",$O31/12*IF(AG$6&lt;$K31,$U31,MIN(1,$U31+(1-$U31)*(AG$6-$K31+1)/$L31)),IF($J31="P",IF(AND(AG$6&gt;=$K31,AG$6&lt;$K31+$L31),$M31/$L31,0),IF($J31="X",$M31/12*(AG$6&lt;=12),0)))</f>
        <v>0</v>
      </c>
      <c r="AH31" s="43">
        <f>IF($J31="R",$O31/12*IF(AH$6&lt;$K31,$U31,MIN(1,$U31+(1-$U31)*(AH$6-$K31+1)/$L31)),IF($J31="P",IF(AND(AH$6&gt;=$K31,AH$6&lt;$K31+$L31),$M31/$L31,0),IF($J31="X",$M31/12*(AH$6&lt;=12),0)))</f>
        <v>0</v>
      </c>
      <c r="AI31" s="43">
        <f>IF($J31="R",$O31/12*IF(AI$6&lt;$K31,$U31,MIN(1,$U31+(1-$U31)*(AI$6-$K31+1)/$L31)),IF($J31="P",IF(AND(AI$6&gt;=$K31,AI$6&lt;$K31+$L31),$M31/$L31,0),IF($J31="X",$M31/12*(AI$6&lt;=12),0)))</f>
        <v>0</v>
      </c>
      <c r="AJ31" s="43">
        <f>IF($J31="R",$O31/12*IF(AJ$6&lt;$K31,$U31,MIN(1,$U31+(1-$U31)*(AJ$6-$K31+1)/$L31)),IF($J31="P",IF(AND(AJ$6&gt;=$K31,AJ$6&lt;$K31+$L31),$M31/$L31,0),IF($J31="X",$M31/12*(AJ$6&lt;=12),0)))</f>
        <v>0</v>
      </c>
      <c r="AK31" s="43">
        <f>IF($J31="R",$O31/12*IF(AK$6&lt;$K31,$U31,MIN(1,$U31+(1-$U31)*(AK$6-$K31+1)/$L31)),IF($J31="P",IF(AND(AK$6&gt;=$K31,AK$6&lt;$K31+$L31),$M31/$L31,0),IF($J31="X",$M31/12*(AK$6&lt;=12),0)))</f>
        <v>0</v>
      </c>
      <c r="AL31" s="43">
        <f>IF($J31="R",$O31/12*IF(AL$6&lt;$K31,$U31,MIN(1,$U31+(1-$U31)*(AL$6-$K31+1)/$L31)),IF($J31="P",IF(AND(AL$6&gt;=$K31,AL$6&lt;$K31+$L31),$M31/$L31,0),IF($J31="X",$M31/12*(AL$6&lt;=12),0)))</f>
        <v>0</v>
      </c>
      <c r="AM31" s="43">
        <f>IF($J31="R",$O31/12*IF(AM$6&lt;$K31,$U31,MIN(1,$U31+(1-$U31)*(AM$6-$K31+1)/$L31)),IF($J31="P",IF(AND(AM$6&gt;=$K31,AM$6&lt;$K31+$L31),$M31/$L31,0),IF($J31="X",$M31/12*(AM$6&lt;=12),0)))</f>
        <v>0</v>
      </c>
      <c r="AN31" s="43">
        <f>IF($J31="R",$O31/12*IF(AN$6&lt;$K31,$U31,MIN(1,$U31+(1-$U31)*(AN$6-$K31+1)/$L31)),IF($J31="P",IF(AND(AN$6&gt;=$K31,AN$6&lt;$K31+$L31),$M31/$L31,0),IF($J31="X",$M31/12*(AN$6&lt;=12),0)))</f>
        <v>0</v>
      </c>
      <c r="AO31" s="43">
        <f>IF($J31="R",$O31/12*IF(AO$6&lt;$K31,$U31,MIN(1,$U31+(1-$U31)*(AO$6-$K31+1)/$L31)),IF($J31="P",IF(AND(AO$6&gt;=$K31,AO$6&lt;$K31+$L31),$M31/$L31,0),IF($J31="X",$M31/12*(AO$6&lt;=12),0)))</f>
        <v>0</v>
      </c>
      <c r="AP31" s="43">
        <f>IF($J31="R",$O31/12*IF(AP$6&lt;$K31,$U31,MIN(1,$U31+(1-$U31)*(AP$6-$K31+1)/$L31)),IF($J31="P",IF(AND(AP$6&gt;=$K31,AP$6&lt;$K31+$L31),$M31/$L31,0),IF($J31="X",$M31/12*(AP$6&lt;=12),0)))</f>
        <v>0</v>
      </c>
      <c r="AQ31" s="43">
        <f>IF($J31="R",$O31/12*IF(AQ$6&lt;$K31,$U31,MIN(1,$U31+(1-$U31)*(AQ$6-$K31+1)/$L31)),IF($J31="P",IF(AND(AQ$6&gt;=$K31,AQ$6&lt;$K31+$L31),$M31/$L31,0),IF($J31="X",$M31/12*(AQ$6&lt;=12),0)))</f>
        <v>0</v>
      </c>
      <c r="AR31" s="43">
        <f>IF($J31="R",$O31/12*IF(AR$6&lt;$K31,$U31,MIN(1,$U31+(1-$U31)*(AR$6-$K31+1)/$L31)),IF($J31="P",IF(AND(AR$6&gt;=$K31,AR$6&lt;$K31+$L31),$M31/$L31,0),IF($J31="X",$M31/12*(AR$6&lt;=12),0)))</f>
        <v>0</v>
      </c>
      <c r="AS31" s="43">
        <f>IF($J31="R",$O31/12*IF(AS$6&lt;$K31,$U31,MIN(1,$U31+(1-$U31)*(AS$6-$K31+1)/$L31)),IF($J31="P",IF(AND(AS$6&gt;=$K31,AS$6&lt;$K31+$L31),$M31/$L31,0),IF($J31="X",$M31/12*(AS$6&lt;=12),0)))</f>
        <v>0</v>
      </c>
      <c r="AT31" s="43">
        <f>IF($J31="R",$O31/12*IF(AT$6&lt;$K31,$U31,MIN(1,$U31+(1-$U31)*(AT$6-$K31+1)/$L31)),IF($J31="P",IF(AND(AT$6&gt;=$K31,AT$6&lt;$K31+$L31),$M31/$L31,0),IF($J31="X",$M31/12*(AT$6&lt;=12),0)))</f>
        <v>0</v>
      </c>
      <c r="AU31" s="43">
        <f>IF($J31="R",$O31/12*IF(AU$6&lt;$K31,$U31,MIN(1,$U31+(1-$U31)*(AU$6-$K31+1)/$L31)),IF($J31="P",IF(AND(AU$6&gt;=$K31,AU$6&lt;$K31+$L31),$M31/$L31,0),IF($J31="X",$M31/12*(AU$6&lt;=12),0)))</f>
        <v>0</v>
      </c>
      <c r="AV31" s="23">
        <f>SUM(X31:AI31)</f>
        <v>0</v>
      </c>
      <c r="AW31" s="23">
        <f>SUM(AJ31:AU31)</f>
        <v>0</v>
      </c>
      <c r="AX31" s="24">
        <f>'8_가정'!$E$6-SUMPRODUCT($S$10:$S$30,AX10:AX30)</f>
        <v>4066610.95978731</v>
      </c>
      <c r="AY31" s="24">
        <f>'8_가정'!$F$6-SUMPRODUCT($S$10:$S$30,AY10:AY30)</f>
        <v>9872783.70840811</v>
      </c>
      <c r="AZ31" s="24">
        <f>'8_가정'!$G$6-SUMPRODUCT($S$10:$S$30,AZ10:AZ30)</f>
        <v>19365915.9966168</v>
      </c>
      <c r="BA31" s="25">
        <f>SUM(AV31:AZ31)</f>
        <v>33305310.6648122</v>
      </c>
    </row>
    <row r="32">
      <c r="D32" s="12" t="inlineStr">
        <is>
          <t>A 합계(S1 가중)</t>
        </is>
      </c>
      <c r="X32" s="26">
        <f>SUMPRODUCT($S$10:$S$31,X10:X31)</f>
        <v>67445.6116043404</v>
      </c>
      <c r="Y32" s="26">
        <f>SUMPRODUCT($S$10:$S$31,Y10:Y31)</f>
        <v>69140.5268585777</v>
      </c>
      <c r="Z32" s="26">
        <f>SUMPRODUCT($S$10:$S$31,Z10:Z31)</f>
        <v>70835.442112815</v>
      </c>
      <c r="AA32" s="26">
        <f>SUMPRODUCT($S$10:$S$31,AA10:AA31)</f>
        <v>72530.3573670523</v>
      </c>
      <c r="AB32" s="26">
        <f>SUMPRODUCT($S$10:$S$31,AB10:AB31)</f>
        <v>74225.2726212896</v>
      </c>
      <c r="AC32" s="26">
        <f>SUMPRODUCT($S$10:$S$31,AC10:AC31)</f>
        <v>75920.1878755269</v>
      </c>
      <c r="AD32" s="26">
        <f>SUMPRODUCT($S$10:$S$31,AD10:AD31)</f>
        <v>94726.2142408753</v>
      </c>
      <c r="AE32" s="26">
        <f>SUMPRODUCT($S$10:$S$31,AE10:AE31)</f>
        <v>103532.240606224</v>
      </c>
      <c r="AF32" s="26">
        <f>SUMPRODUCT($S$10:$S$31,AF10:AF31)</f>
        <v>112338.266971572</v>
      </c>
      <c r="AG32" s="26">
        <f>SUMPRODUCT($S$10:$S$31,AG10:AG31)</f>
        <v>125773.92296655</v>
      </c>
      <c r="AH32" s="26">
        <f>SUMPRODUCT($S$10:$S$31,AH10:AH31)</f>
        <v>147149.578961528</v>
      </c>
      <c r="AI32" s="26">
        <f>SUMPRODUCT($S$10:$S$31,AI10:AI31)</f>
        <v>186382.377813649</v>
      </c>
      <c r="AJ32" s="26">
        <f>SUMPRODUCT($S$10:$S$31,AJ10:AJ31)</f>
        <v>286006.146982333</v>
      </c>
      <c r="AK32" s="26">
        <f>SUMPRODUCT($S$10:$S$31,AK10:AK31)</f>
        <v>396943.880474977</v>
      </c>
      <c r="AL32" s="26">
        <f>SUMPRODUCT($S$10:$S$31,AL10:AL31)</f>
        <v>507881.613967621</v>
      </c>
      <c r="AM32" s="26">
        <f>SUMPRODUCT($S$10:$S$31,AM10:AM31)</f>
        <v>617124.432206027</v>
      </c>
      <c r="AN32" s="26">
        <f>SUMPRODUCT($S$10:$S$31,AN10:AN31)</f>
        <v>726367.250444434</v>
      </c>
      <c r="AO32" s="26">
        <f>SUMPRODUCT($S$10:$S$31,AO10:AO31)</f>
        <v>895610.06868284</v>
      </c>
      <c r="AP32" s="26">
        <f>SUMPRODUCT($S$10:$S$31,AP10:AP31)</f>
        <v>997741.775810136</v>
      </c>
      <c r="AQ32" s="26">
        <f>SUMPRODUCT($S$10:$S$31,AQ10:AQ31)</f>
        <v>1089481.32607469</v>
      </c>
      <c r="AR32" s="26">
        <f>SUMPRODUCT($S$10:$S$31,AR10:AR31)</f>
        <v>1121220.87633924</v>
      </c>
      <c r="AS32" s="26">
        <f>SUMPRODUCT($S$10:$S$31,AS10:AS31)</f>
        <v>1121220.87633924</v>
      </c>
      <c r="AT32" s="26">
        <f>SUMPRODUCT($S$10:$S$31,AT10:AT31)</f>
        <v>1121220.87633924</v>
      </c>
      <c r="AU32" s="26">
        <f>SUMPRODUCT($S$10:$S$31,AU10:AU31)</f>
        <v>1121220.87633924</v>
      </c>
      <c r="AV32" s="27">
        <f>SUMPRODUCT($S$10:$S$31,AV10:AV31)</f>
        <v>1200000</v>
      </c>
      <c r="AW32" s="27">
        <f>SUMPRODUCT($S$10:$S$31,AW10:AW31)</f>
        <v>10002040</v>
      </c>
      <c r="AX32" s="28">
        <f>SUMPRODUCT($S$10:$S$31,AX10:AX31)</f>
        <v>33000000</v>
      </c>
      <c r="AY32" s="28">
        <f>SUMPRODUCT($S$10:$S$31,AY10:AY31)</f>
        <v>70000000</v>
      </c>
      <c r="AZ32" s="28">
        <f>SUMPRODUCT($S$10:$S$31,AZ10:AZ31)</f>
        <v>156000000</v>
      </c>
      <c r="BA32" s="26">
        <f>SUMPRODUCT($S$10:$S$31,BA10:BA31)</f>
        <v>270202040</v>
      </c>
    </row>
    <row r="33">
      <c r="D33" s="52" t="inlineStr">
        <is>
          <t>IR 매출 목표</t>
        </is>
      </c>
      <c r="AV33" s="18">
        <f>'8_가정'!$C$6</f>
        <v>1200000</v>
      </c>
      <c r="AW33" s="18">
        <f>'8_가정'!$D$6</f>
        <v>10005000</v>
      </c>
      <c r="AX33" s="18">
        <f>'8_가정'!$E$6</f>
        <v>33000000</v>
      </c>
      <c r="AY33" s="18">
        <f>'8_가정'!$F$6</f>
        <v>70000000</v>
      </c>
      <c r="AZ33" s="18">
        <f>'8_가정'!$G$6</f>
        <v>156000000</v>
      </c>
    </row>
    <row r="34">
      <c r="D34" s="52" t="inlineStr">
        <is>
          <t>차이(모델 − IR)</t>
        </is>
      </c>
      <c r="AV34" s="43">
        <f>AV32-AV33</f>
        <v>0</v>
      </c>
      <c r="AW34" s="43">
        <f>AW32-AW33</f>
        <v>-2960</v>
      </c>
      <c r="AX34" s="43">
        <f>AX32-AX33</f>
        <v>0</v>
      </c>
      <c r="AY34" s="43">
        <f>AY32-AY33</f>
        <v>0</v>
      </c>
      <c r="AZ34" s="43">
        <f>AZ32-AZ33</f>
        <v>0</v>
      </c>
    </row>
    <row r="35">
      <c r="D35" s="52" t="inlineStr">
        <is>
          <t>차이 %</t>
        </is>
      </c>
      <c r="AV35" s="70">
        <f>IFERROR(AV34/AV33,0)</f>
        <v>0</v>
      </c>
      <c r="AW35" s="70">
        <f>IFERROR(AW34/AW33,0)</f>
        <v>-0.000295852073963019</v>
      </c>
      <c r="AX35" s="70">
        <f>IFERROR(AX34/AX33,0)</f>
        <v>0</v>
      </c>
      <c r="AY35" s="70">
        <f>IFERROR(AY34/AY33,0)</f>
        <v>0</v>
      </c>
      <c r="AZ35" s="70">
        <f>IFERROR(AZ34/AZ33,0)</f>
        <v>0</v>
      </c>
    </row>
    <row r="37">
      <c r="A37" s="3" t="inlineStr">
        <is>
          <t>B. 선택 시나리오 적용 — 손익계산서 연동 (확률 × 지연 이동 / 성장배수 / 신규 달성률)</t>
        </is>
      </c>
    </row>
    <row r="38">
      <c r="A38" s="22" t="inlineStr">
        <is>
          <t>No</t>
        </is>
      </c>
      <c r="B38" s="22" t="inlineStr">
        <is>
          <t>국가</t>
        </is>
      </c>
      <c r="C38" s="22" t="inlineStr">
        <is>
          <t>지역</t>
        </is>
      </c>
      <c r="D38" s="22" t="inlineStr">
        <is>
          <t>거래처</t>
        </is>
      </c>
      <c r="E38" s="22" t="inlineStr">
        <is>
          <t>거래형태</t>
        </is>
      </c>
      <c r="F38" s="22" t="inlineStr">
        <is>
          <t>IR 단계</t>
        </is>
      </c>
      <c r="G38" s="22" t="inlineStr">
        <is>
          <t>모델 단계</t>
        </is>
      </c>
      <c r="H38" s="22" t="inlineStr">
        <is>
          <t>근거수준</t>
        </is>
      </c>
      <c r="I38" s="22" t="inlineStr">
        <is>
          <t>믹스</t>
        </is>
      </c>
      <c r="J38" s="22" t="inlineStr">
        <is>
          <t>유형</t>
        </is>
      </c>
      <c r="K38" s="22" t="inlineStr">
        <is>
          <t>확률(선택)</t>
        </is>
      </c>
      <c r="L38" s="22" t="inlineStr">
        <is>
          <t>지연(월)</t>
        </is>
      </c>
      <c r="M38" s="22" t="inlineStr"/>
      <c r="N38" s="22" t="inlineStr"/>
      <c r="O38" s="22" t="inlineStr"/>
      <c r="P38" s="22" t="inlineStr"/>
      <c r="Q38" s="22" t="inlineStr"/>
      <c r="R38" s="22" t="inlineStr"/>
      <c r="S38" s="22" t="inlineStr"/>
      <c r="T38" s="22" t="inlineStr"/>
      <c r="U38" s="22" t="inlineStr"/>
      <c r="V38" s="22" t="inlineStr">
        <is>
          <t>비고</t>
        </is>
      </c>
      <c r="X38" s="22" t="inlineStr">
        <is>
          <t>2026-01</t>
        </is>
      </c>
      <c r="Y38" s="22" t="inlineStr">
        <is>
          <t>2026-02</t>
        </is>
      </c>
      <c r="Z38" s="22" t="inlineStr">
        <is>
          <t>2026-03</t>
        </is>
      </c>
      <c r="AA38" s="22" t="inlineStr">
        <is>
          <t>2026-04</t>
        </is>
      </c>
      <c r="AB38" s="22" t="inlineStr">
        <is>
          <t>2026-05</t>
        </is>
      </c>
      <c r="AC38" s="22" t="inlineStr">
        <is>
          <t>2026-06</t>
        </is>
      </c>
      <c r="AD38" s="22" t="inlineStr">
        <is>
          <t>2026-07</t>
        </is>
      </c>
      <c r="AE38" s="22" t="inlineStr">
        <is>
          <t>2026-08</t>
        </is>
      </c>
      <c r="AF38" s="22" t="inlineStr">
        <is>
          <t>2026-09</t>
        </is>
      </c>
      <c r="AG38" s="22" t="inlineStr">
        <is>
          <t>2026-10</t>
        </is>
      </c>
      <c r="AH38" s="22" t="inlineStr">
        <is>
          <t>2026-11</t>
        </is>
      </c>
      <c r="AI38" s="22" t="inlineStr">
        <is>
          <t>2026-12</t>
        </is>
      </c>
      <c r="AJ38" s="22" t="inlineStr">
        <is>
          <t>2027-01</t>
        </is>
      </c>
      <c r="AK38" s="22" t="inlineStr">
        <is>
          <t>2027-02</t>
        </is>
      </c>
      <c r="AL38" s="22" t="inlineStr">
        <is>
          <t>2027-03</t>
        </is>
      </c>
      <c r="AM38" s="22" t="inlineStr">
        <is>
          <t>2027-04</t>
        </is>
      </c>
      <c r="AN38" s="22" t="inlineStr">
        <is>
          <t>2027-05</t>
        </is>
      </c>
      <c r="AO38" s="22" t="inlineStr">
        <is>
          <t>2027-06</t>
        </is>
      </c>
      <c r="AP38" s="22" t="inlineStr">
        <is>
          <t>2027-07</t>
        </is>
      </c>
      <c r="AQ38" s="22" t="inlineStr">
        <is>
          <t>2027-08</t>
        </is>
      </c>
      <c r="AR38" s="22" t="inlineStr">
        <is>
          <t>2027-09</t>
        </is>
      </c>
      <c r="AS38" s="22" t="inlineStr">
        <is>
          <t>2027-10</t>
        </is>
      </c>
      <c r="AT38" s="22" t="inlineStr">
        <is>
          <t>2027-11</t>
        </is>
      </c>
      <c r="AU38" s="22" t="inlineStr">
        <is>
          <t>2027-12</t>
        </is>
      </c>
      <c r="AV38" s="22" t="inlineStr">
        <is>
          <t>FY2026</t>
        </is>
      </c>
      <c r="AW38" s="22" t="inlineStr">
        <is>
          <t>FY2027</t>
        </is>
      </c>
      <c r="AX38" s="22" t="inlineStr">
        <is>
          <t>2028E</t>
        </is>
      </c>
      <c r="AY38" s="22" t="inlineStr">
        <is>
          <t>2029E</t>
        </is>
      </c>
      <c r="AZ38" s="22" t="inlineStr">
        <is>
          <t>2030E</t>
        </is>
      </c>
      <c r="BA38" s="22" t="inlineStr">
        <is>
          <t>5개년 합계</t>
        </is>
      </c>
    </row>
    <row r="39">
      <c r="A39" s="7">
        <f>A10</f>
        <v>1</v>
      </c>
      <c r="B39" s="15" t="str">
        <f>B10</f>
        <v>한국</v>
      </c>
      <c r="C39" s="15" t="str">
        <f>C10</f>
        <v>한국</v>
      </c>
      <c r="D39" s="15" t="str">
        <f>D10</f>
        <v>국민건강보험공단 혁신 복지용구(NHIS)</v>
      </c>
      <c r="E39" s="15" t="str">
        <f>E10</f>
        <v>B2G·제도</v>
      </c>
      <c r="F39" s="15" t="str">
        <f>F10</f>
        <v>등록 완료</v>
      </c>
      <c r="G39" s="15" t="str">
        <f>G10</f>
        <v>등록완료</v>
      </c>
      <c r="H39" s="15" t="str">
        <f>H10</f>
        <v>B 등록·입찰·협의 단계</v>
      </c>
      <c r="I39" s="15" t="str">
        <f>I10</f>
        <v>NHIS</v>
      </c>
      <c r="J39" s="15" t="str">
        <f>J10</f>
        <v>R</v>
      </c>
      <c r="K39" s="68">
        <f>INDEX('8_가정'!$C$17:$E$24,MATCH($G10,'8_가정'!$A$17:$A$24,0),'1_요약'!$C$5)</f>
        <v>1</v>
      </c>
      <c r="L39" s="71">
        <f>IF($T10="Y",INDEX('8_가정'!$F$17:$H$24,MATCH($G10,'8_가정'!$A$17:$A$24,0),'1_요약'!$C$5),0)</f>
        <v>0</v>
      </c>
      <c r="X39" s="43">
        <f>$K39*IF(X$6-$L39&gt;=1,INDEX($X10:$AU10,X$6-$L39),0)</f>
        <v>0</v>
      </c>
      <c r="Y39" s="43">
        <f>$K39*IF(Y$6-$L39&gt;=1,INDEX($X10:$AU10,Y$6-$L39),0)</f>
        <v>0</v>
      </c>
      <c r="Z39" s="43">
        <f>$K39*IF(Z$6-$L39&gt;=1,INDEX($X10:$AU10,Z$6-$L39),0)</f>
        <v>0</v>
      </c>
      <c r="AA39" s="43">
        <f>$K39*IF(AA$6-$L39&gt;=1,INDEX($X10:$AU10,AA$6-$L39),0)</f>
        <v>0</v>
      </c>
      <c r="AB39" s="43">
        <f>$K39*IF(AB$6-$L39&gt;=1,INDEX($X10:$AU10,AB$6-$L39),0)</f>
        <v>0</v>
      </c>
      <c r="AC39" s="43">
        <f>$K39*IF(AC$6-$L39&gt;=1,INDEX($X10:$AU10,AC$6-$L39),0)</f>
        <v>0</v>
      </c>
      <c r="AD39" s="43">
        <f>$K39*IF(AD$6-$L39&gt;=1,INDEX($X10:$AU10,AD$6-$L39),0)</f>
        <v>0</v>
      </c>
      <c r="AE39" s="43">
        <f>$K39*IF(AE$6-$L39&gt;=1,INDEX($X10:$AU10,AE$6-$L39),0)</f>
        <v>0</v>
      </c>
      <c r="AF39" s="43">
        <f>$K39*IF(AF$6-$L39&gt;=1,INDEX($X10:$AU10,AF$6-$L39),0)</f>
        <v>0</v>
      </c>
      <c r="AG39" s="43">
        <f>$K39*IF(AG$6-$L39&gt;=1,INDEX($X10:$AU10,AG$6-$L39),0)</f>
        <v>4629.62962962963</v>
      </c>
      <c r="AH39" s="43">
        <f>$K39*IF(AH$6-$L39&gt;=1,INDEX($X10:$AU10,AH$6-$L39),0)</f>
        <v>9259.25925925926</v>
      </c>
      <c r="AI39" s="43">
        <f>$K39*IF(AI$6-$L39&gt;=1,INDEX($X10:$AU10,AI$6-$L39),0)</f>
        <v>13888.8888888889</v>
      </c>
      <c r="AJ39" s="43">
        <f>$K39*IF(AJ$6-$L39&gt;=1,INDEX($X10:$AU10,AJ$6-$L39),0)</f>
        <v>18518.5185185185</v>
      </c>
      <c r="AK39" s="43">
        <f>$K39*IF(AK$6-$L39&gt;=1,INDEX($X10:$AU10,AK$6-$L39),0)</f>
        <v>23148.1481481482</v>
      </c>
      <c r="AL39" s="43">
        <f>$K39*IF(AL$6-$L39&gt;=1,INDEX($X10:$AU10,AL$6-$L39),0)</f>
        <v>27777.7777777778</v>
      </c>
      <c r="AM39" s="43">
        <f>$K39*IF(AM$6-$L39&gt;=1,INDEX($X10:$AU10,AM$6-$L39),0)</f>
        <v>32407.4074074074</v>
      </c>
      <c r="AN39" s="43">
        <f>$K39*IF(AN$6-$L39&gt;=1,INDEX($X10:$AU10,AN$6-$L39),0)</f>
        <v>37037.037037037</v>
      </c>
      <c r="AO39" s="43">
        <f>$K39*IF(AO$6-$L39&gt;=1,INDEX($X10:$AU10,AO$6-$L39),0)</f>
        <v>41666.6666666667</v>
      </c>
      <c r="AP39" s="43">
        <f>$K39*IF(AP$6-$L39&gt;=1,INDEX($X10:$AU10,AP$6-$L39),0)</f>
        <v>46296.2962962963</v>
      </c>
      <c r="AQ39" s="43">
        <f>$K39*IF(AQ$6-$L39&gt;=1,INDEX($X10:$AU10,AQ$6-$L39),0)</f>
        <v>50925.9259259259</v>
      </c>
      <c r="AR39" s="43">
        <f>$K39*IF(AR$6-$L39&gt;=1,INDEX($X10:$AU10,AR$6-$L39),0)</f>
        <v>55555.5555555556</v>
      </c>
      <c r="AS39" s="43">
        <f>$K39*IF(AS$6-$L39&gt;=1,INDEX($X10:$AU10,AS$6-$L39),0)</f>
        <v>55555.5555555556</v>
      </c>
      <c r="AT39" s="43">
        <f>$K39*IF(AT$6-$L39&gt;=1,INDEX($X10:$AU10,AT$6-$L39),0)</f>
        <v>55555.5555555556</v>
      </c>
      <c r="AU39" s="43">
        <f>$K39*IF(AU$6-$L39&gt;=1,INDEX($X10:$AU10,AU$6-$L39),0)</f>
        <v>55555.5555555556</v>
      </c>
      <c r="AV39" s="23">
        <f>SUM(X39:AI39)</f>
        <v>27777.7777777778</v>
      </c>
      <c r="AW39" s="23">
        <f>SUM(AJ39:AU39)</f>
        <v>500000</v>
      </c>
      <c r="AX39" s="24">
        <f>$K39*$O10*(1+IF($P10&gt;0,$P10*'8_가정'!$G$27,$P10))</f>
        <v>966666.666666667</v>
      </c>
      <c r="AY39" s="24">
        <f>$K39*$O10*(1+IF($P10&gt;0,$P10*'8_가정'!$G$27,$P10))*(1+IF($Q10&gt;0,$Q10*'8_가정'!$G$27,$Q10))</f>
        <v>1353333.33333333</v>
      </c>
      <c r="AZ39" s="24">
        <f>$K39*$O10*(1+IF($P10&gt;0,$P10*'8_가정'!$G$27,$P10))*(1+IF($Q10&gt;0,$Q10*'8_가정'!$G$27,$Q10))*(1+IF($R10&gt;0,$R10*'8_가정'!$G$27,$R10))</f>
        <v>1759333.33333333</v>
      </c>
      <c r="BA39" s="25">
        <f>SUM(AV39:AZ39)</f>
        <v>4607111.11111111</v>
      </c>
    </row>
    <row r="40">
      <c r="A40" s="7">
        <f>A11</f>
        <v>2</v>
      </c>
      <c r="B40" s="15" t="str">
        <f>B11</f>
        <v>한국</v>
      </c>
      <c r="C40" s="15" t="str">
        <f>C11</f>
        <v>한국</v>
      </c>
      <c r="D40" s="15" t="str">
        <f>D11</f>
        <v>노인요양병원·시설(프리미엄 요양, 요양시설 기저귀 1위 유통사 경유)</v>
      </c>
      <c r="E40" s="15" t="str">
        <f>E11</f>
        <v>총판</v>
      </c>
      <c r="F40" s="15" t="str">
        <f>F11</f>
        <v>진행 중</v>
      </c>
      <c r="G40" s="15" t="str">
        <f>G11</f>
        <v>진행중</v>
      </c>
      <c r="H40" s="15" t="str">
        <f>H11</f>
        <v>B 등록·입찰·협의 단계</v>
      </c>
      <c r="I40" s="15" t="str">
        <f>I11</f>
        <v>SUB</v>
      </c>
      <c r="J40" s="15" t="str">
        <f>J11</f>
        <v>R</v>
      </c>
      <c r="K40" s="68">
        <f>INDEX('8_가정'!$C$17:$E$24,MATCH($G11,'8_가정'!$A$17:$A$24,0),'1_요약'!$C$5)</f>
        <v>1</v>
      </c>
      <c r="L40" s="71">
        <f>IF($T11="Y",INDEX('8_가정'!$F$17:$H$24,MATCH($G11,'8_가정'!$A$17:$A$24,0),'1_요약'!$C$5),0)</f>
        <v>0</v>
      </c>
      <c r="X40" s="43">
        <f>$K40*IF(X$6-$L40&gt;=1,INDEX($X11:$AU11,X$6-$L40),0)</f>
        <v>0</v>
      </c>
      <c r="Y40" s="43">
        <f>$K40*IF(Y$6-$L40&gt;=1,INDEX($X11:$AU11,Y$6-$L40),0)</f>
        <v>0</v>
      </c>
      <c r="Z40" s="43">
        <f>$K40*IF(Z$6-$L40&gt;=1,INDEX($X11:$AU11,Z$6-$L40),0)</f>
        <v>0</v>
      </c>
      <c r="AA40" s="43">
        <f>$K40*IF(AA$6-$L40&gt;=1,INDEX($X11:$AU11,AA$6-$L40),0)</f>
        <v>0</v>
      </c>
      <c r="AB40" s="43">
        <f>$K40*IF(AB$6-$L40&gt;=1,INDEX($X11:$AU11,AB$6-$L40),0)</f>
        <v>0</v>
      </c>
      <c r="AC40" s="43">
        <f>$K40*IF(AC$6-$L40&gt;=1,INDEX($X11:$AU11,AC$6-$L40),0)</f>
        <v>0</v>
      </c>
      <c r="AD40" s="43">
        <f>$K40*IF(AD$6-$L40&gt;=1,INDEX($X11:$AU11,AD$6-$L40),0)</f>
        <v>0</v>
      </c>
      <c r="AE40" s="43">
        <f>$K40*IF(AE$6-$L40&gt;=1,INDEX($X11:$AU11,AE$6-$L40),0)</f>
        <v>0</v>
      </c>
      <c r="AF40" s="43">
        <f>$K40*IF(AF$6-$L40&gt;=1,INDEX($X11:$AU11,AF$6-$L40),0)</f>
        <v>0</v>
      </c>
      <c r="AG40" s="43">
        <f>$K40*IF(AG$6-$L40&gt;=1,INDEX($X11:$AU11,AG$6-$L40),0)</f>
        <v>0</v>
      </c>
      <c r="AH40" s="43">
        <f>$K40*IF(AH$6-$L40&gt;=1,INDEX($X11:$AU11,AH$6-$L40),0)</f>
        <v>0</v>
      </c>
      <c r="AI40" s="43">
        <f>$K40*IF(AI$6-$L40&gt;=1,INDEX($X11:$AU11,AI$6-$L40),0)</f>
        <v>0</v>
      </c>
      <c r="AJ40" s="43">
        <f>$K40*IF(AJ$6-$L40&gt;=1,INDEX($X11:$AU11,AJ$6-$L40),0)</f>
        <v>27586.1111111111</v>
      </c>
      <c r="AK40" s="43">
        <f>$K40*IF(AK$6-$L40&gt;=1,INDEX($X11:$AU11,AK$6-$L40),0)</f>
        <v>55172.2222222222</v>
      </c>
      <c r="AL40" s="43">
        <f>$K40*IF(AL$6-$L40&gt;=1,INDEX($X11:$AU11,AL$6-$L40),0)</f>
        <v>82758.3333333333</v>
      </c>
      <c r="AM40" s="43">
        <f>$K40*IF(AM$6-$L40&gt;=1,INDEX($X11:$AU11,AM$6-$L40),0)</f>
        <v>110344.444444444</v>
      </c>
      <c r="AN40" s="43">
        <f>$K40*IF(AN$6-$L40&gt;=1,INDEX($X11:$AU11,AN$6-$L40),0)</f>
        <v>137930.555555556</v>
      </c>
      <c r="AO40" s="43">
        <f>$K40*IF(AO$6-$L40&gt;=1,INDEX($X11:$AU11,AO$6-$L40),0)</f>
        <v>165516.666666667</v>
      </c>
      <c r="AP40" s="43">
        <f>$K40*IF(AP$6-$L40&gt;=1,INDEX($X11:$AU11,AP$6-$L40),0)</f>
        <v>193102.777777778</v>
      </c>
      <c r="AQ40" s="43">
        <f>$K40*IF(AQ$6-$L40&gt;=1,INDEX($X11:$AU11,AQ$6-$L40),0)</f>
        <v>220688.888888889</v>
      </c>
      <c r="AR40" s="43">
        <f>$K40*IF(AR$6-$L40&gt;=1,INDEX($X11:$AU11,AR$6-$L40),0)</f>
        <v>248275</v>
      </c>
      <c r="AS40" s="43">
        <f>$K40*IF(AS$6-$L40&gt;=1,INDEX($X11:$AU11,AS$6-$L40),0)</f>
        <v>248275</v>
      </c>
      <c r="AT40" s="43">
        <f>$K40*IF(AT$6-$L40&gt;=1,INDEX($X11:$AU11,AT$6-$L40),0)</f>
        <v>248275</v>
      </c>
      <c r="AU40" s="43">
        <f>$K40*IF(AU$6-$L40&gt;=1,INDEX($X11:$AU11,AU$6-$L40),0)</f>
        <v>248275</v>
      </c>
      <c r="AV40" s="23">
        <f>SUM(X40:AI40)</f>
        <v>0</v>
      </c>
      <c r="AW40" s="23">
        <f>SUM(AJ40:AU40)</f>
        <v>1986200</v>
      </c>
      <c r="AX40" s="24">
        <f>$K40*$O11*(1+IF($P11&gt;0,$P11*'8_가정'!$G$27,$P11))</f>
        <v>4468950</v>
      </c>
      <c r="AY40" s="24">
        <f>$K40*$O11*(1+IF($P11&gt;0,$P11*'8_가정'!$G$27,$P11))*(1+IF($Q11&gt;0,$Q11*'8_가정'!$G$27,$Q11))</f>
        <v>7597215</v>
      </c>
      <c r="AZ40" s="24">
        <f>$K40*$O11*(1+IF($P11&gt;0,$P11*'8_가정'!$G$27,$P11))*(1+IF($Q11&gt;0,$Q11*'8_가정'!$G$27,$Q11))*(1+IF($R11&gt;0,$R11*'8_가정'!$G$27,$R11))</f>
        <v>11395822.5</v>
      </c>
      <c r="BA40" s="25">
        <f>SUM(AV40:AZ40)</f>
        <v>25448187.5</v>
      </c>
    </row>
    <row r="41">
      <c r="A41" s="7">
        <f>A12</f>
        <v>3</v>
      </c>
      <c r="B41" s="15" t="str">
        <f>B12</f>
        <v>한국</v>
      </c>
      <c r="C41" s="15" t="str">
        <f>C12</f>
        <v>한국</v>
      </c>
      <c r="D41" s="15" t="str">
        <f>D12</f>
        <v>APP 파트너십(키퍼스 시니어 팬티형 구독)</v>
      </c>
      <c r="E41" s="15" t="str">
        <f>E12</f>
        <v>파트너</v>
      </c>
      <c r="F41" s="15" t="str">
        <f>F12</f>
        <v>계약</v>
      </c>
      <c r="G41" s="15" t="str">
        <f>G12</f>
        <v>계약</v>
      </c>
      <c r="H41" s="15" t="str">
        <f>H12</f>
        <v>A 계약·기존 거래</v>
      </c>
      <c r="I41" s="15" t="str">
        <f>I12</f>
        <v>SUB</v>
      </c>
      <c r="J41" s="15" t="str">
        <f>J12</f>
        <v>R</v>
      </c>
      <c r="K41" s="68">
        <f>INDEX('8_가정'!$C$17:$E$24,MATCH($G12,'8_가정'!$A$17:$A$24,0),'1_요약'!$C$5)</f>
        <v>1</v>
      </c>
      <c r="L41" s="71">
        <f>IF($T12="Y",INDEX('8_가정'!$F$17:$H$24,MATCH($G12,'8_가정'!$A$17:$A$24,0),'1_요약'!$C$5),0)</f>
        <v>0</v>
      </c>
      <c r="X41" s="43">
        <f>$K41*IF(X$6-$L41&gt;=1,INDEX($X12:$AU12,X$6-$L41),0)</f>
        <v>0</v>
      </c>
      <c r="Y41" s="43">
        <f>$K41*IF(Y$6-$L41&gt;=1,INDEX($X12:$AU12,Y$6-$L41),0)</f>
        <v>0</v>
      </c>
      <c r="Z41" s="43">
        <f>$K41*IF(Z$6-$L41&gt;=1,INDEX($X12:$AU12,Z$6-$L41),0)</f>
        <v>0</v>
      </c>
      <c r="AA41" s="43">
        <f>$K41*IF(AA$6-$L41&gt;=1,INDEX($X12:$AU12,AA$6-$L41),0)</f>
        <v>0</v>
      </c>
      <c r="AB41" s="43">
        <f>$K41*IF(AB$6-$L41&gt;=1,INDEX($X12:$AU12,AB$6-$L41),0)</f>
        <v>0</v>
      </c>
      <c r="AC41" s="43">
        <f>$K41*IF(AC$6-$L41&gt;=1,INDEX($X12:$AU12,AC$6-$L41),0)</f>
        <v>0</v>
      </c>
      <c r="AD41" s="43">
        <f>$K41*IF(AD$6-$L41&gt;=1,INDEX($X12:$AU12,AD$6-$L41),0)</f>
        <v>0</v>
      </c>
      <c r="AE41" s="43">
        <f>$K41*IF(AE$6-$L41&gt;=1,INDEX($X12:$AU12,AE$6-$L41),0)</f>
        <v>0</v>
      </c>
      <c r="AF41" s="43">
        <f>$K41*IF(AF$6-$L41&gt;=1,INDEX($X12:$AU12,AF$6-$L41),0)</f>
        <v>0</v>
      </c>
      <c r="AG41" s="43">
        <f>$K41*IF(AG$6-$L41&gt;=1,INDEX($X12:$AU12,AG$6-$L41),0)</f>
        <v>0</v>
      </c>
      <c r="AH41" s="43">
        <f>$K41*IF(AH$6-$L41&gt;=1,INDEX($X12:$AU12,AH$6-$L41),0)</f>
        <v>0</v>
      </c>
      <c r="AI41" s="43">
        <f>$K41*IF(AI$6-$L41&gt;=1,INDEX($X12:$AU12,AI$6-$L41),0)</f>
        <v>17857.1428571429</v>
      </c>
      <c r="AJ41" s="43">
        <f>$K41*IF(AJ$6-$L41&gt;=1,INDEX($X12:$AU12,AJ$6-$L41),0)</f>
        <v>35714.2857142857</v>
      </c>
      <c r="AK41" s="43">
        <f>$K41*IF(AK$6-$L41&gt;=1,INDEX($X12:$AU12,AK$6-$L41),0)</f>
        <v>53571.4285714286</v>
      </c>
      <c r="AL41" s="43">
        <f>$K41*IF(AL$6-$L41&gt;=1,INDEX($X12:$AU12,AL$6-$L41),0)</f>
        <v>71428.5714285714</v>
      </c>
      <c r="AM41" s="43">
        <f>$K41*IF(AM$6-$L41&gt;=1,INDEX($X12:$AU12,AM$6-$L41),0)</f>
        <v>89285.7142857143</v>
      </c>
      <c r="AN41" s="43">
        <f>$K41*IF(AN$6-$L41&gt;=1,INDEX($X12:$AU12,AN$6-$L41),0)</f>
        <v>107142.857142857</v>
      </c>
      <c r="AO41" s="43">
        <f>$K41*IF(AO$6-$L41&gt;=1,INDEX($X12:$AU12,AO$6-$L41),0)</f>
        <v>125000</v>
      </c>
      <c r="AP41" s="43">
        <f>$K41*IF(AP$6-$L41&gt;=1,INDEX($X12:$AU12,AP$6-$L41),0)</f>
        <v>142857.142857143</v>
      </c>
      <c r="AQ41" s="43">
        <f>$K41*IF(AQ$6-$L41&gt;=1,INDEX($X12:$AU12,AQ$6-$L41),0)</f>
        <v>160714.285714286</v>
      </c>
      <c r="AR41" s="43">
        <f>$K41*IF(AR$6-$L41&gt;=1,INDEX($X12:$AU12,AR$6-$L41),0)</f>
        <v>178571.428571429</v>
      </c>
      <c r="AS41" s="43">
        <f>$K41*IF(AS$6-$L41&gt;=1,INDEX($X12:$AU12,AS$6-$L41),0)</f>
        <v>178571.428571429</v>
      </c>
      <c r="AT41" s="43">
        <f>$K41*IF(AT$6-$L41&gt;=1,INDEX($X12:$AU12,AT$6-$L41),0)</f>
        <v>178571.428571429</v>
      </c>
      <c r="AU41" s="43">
        <f>$K41*IF(AU$6-$L41&gt;=1,INDEX($X12:$AU12,AU$6-$L41),0)</f>
        <v>178571.428571429</v>
      </c>
      <c r="AV41" s="23">
        <f>SUM(X41:AI41)</f>
        <v>17857.1428571429</v>
      </c>
      <c r="AW41" s="23">
        <f>SUM(AJ41:AU41)</f>
        <v>1500000</v>
      </c>
      <c r="AX41" s="24">
        <f>$K41*$O12*(1+IF($P12&gt;0,$P12*'8_가정'!$G$27,$P12))</f>
        <v>3000000</v>
      </c>
      <c r="AY41" s="24">
        <f>$K41*$O12*(1+IF($P12&gt;0,$P12*'8_가정'!$G$27,$P12))*(1+IF($Q12&gt;0,$Q12*'8_가정'!$G$27,$Q12))</f>
        <v>4200000</v>
      </c>
      <c r="AZ41" s="24">
        <f>$K41*$O12*(1+IF($P12&gt;0,$P12*'8_가정'!$G$27,$P12))*(1+IF($Q12&gt;0,$Q12*'8_가정'!$G$27,$Q12))*(1+IF($R12&gt;0,$R12*'8_가정'!$G$27,$R12))</f>
        <v>5460000</v>
      </c>
      <c r="BA41" s="25">
        <f>SUM(AV41:AZ41)</f>
        <v>14177857.1428571</v>
      </c>
    </row>
    <row r="42">
      <c r="A42" s="7">
        <f>A13</f>
        <v>4</v>
      </c>
      <c r="B42" s="15" t="str">
        <f>B13</f>
        <v>한국</v>
      </c>
      <c r="C42" s="15" t="str">
        <f>C13</f>
        <v>한국</v>
      </c>
      <c r="D42" s="15" t="str">
        <f>D13</f>
        <v>APP B2C(스마트 베이비·시니어 기저귀 구독)</v>
      </c>
      <c r="E42" s="15" t="str">
        <f>E13</f>
        <v>파트너</v>
      </c>
      <c r="F42" s="15" t="str">
        <f>F13</f>
        <v>계약</v>
      </c>
      <c r="G42" s="15" t="str">
        <f>G13</f>
        <v>계약</v>
      </c>
      <c r="H42" s="15" t="str">
        <f>H13</f>
        <v>A 계약·기존 거래</v>
      </c>
      <c r="I42" s="15" t="str">
        <f>I13</f>
        <v>BABY</v>
      </c>
      <c r="J42" s="15" t="str">
        <f>J13</f>
        <v>R</v>
      </c>
      <c r="K42" s="68">
        <f>INDEX('8_가정'!$C$17:$E$24,MATCH($G13,'8_가정'!$A$17:$A$24,0),'1_요약'!$C$5)</f>
        <v>1</v>
      </c>
      <c r="L42" s="71">
        <f>IF($T13="Y",INDEX('8_가정'!$F$17:$H$24,MATCH($G13,'8_가정'!$A$17:$A$24,0),'1_요약'!$C$5),0)</f>
        <v>0</v>
      </c>
      <c r="X42" s="43">
        <f>$K42*IF(X$6-$L42&gt;=1,INDEX($X13:$AU13,X$6-$L42),0)</f>
        <v>0</v>
      </c>
      <c r="Y42" s="43">
        <f>$K42*IF(Y$6-$L42&gt;=1,INDEX($X13:$AU13,Y$6-$L42),0)</f>
        <v>0</v>
      </c>
      <c r="Z42" s="43">
        <f>$K42*IF(Z$6-$L42&gt;=1,INDEX($X13:$AU13,Z$6-$L42),0)</f>
        <v>0</v>
      </c>
      <c r="AA42" s="43">
        <f>$K42*IF(AA$6-$L42&gt;=1,INDEX($X13:$AU13,AA$6-$L42),0)</f>
        <v>0</v>
      </c>
      <c r="AB42" s="43">
        <f>$K42*IF(AB$6-$L42&gt;=1,INDEX($X13:$AU13,AB$6-$L42),0)</f>
        <v>0</v>
      </c>
      <c r="AC42" s="43">
        <f>$K42*IF(AC$6-$L42&gt;=1,INDEX($X13:$AU13,AC$6-$L42),0)</f>
        <v>0</v>
      </c>
      <c r="AD42" s="43">
        <f>$K42*IF(AD$6-$L42&gt;=1,INDEX($X13:$AU13,AD$6-$L42),0)</f>
        <v>0</v>
      </c>
      <c r="AE42" s="43">
        <f>$K42*IF(AE$6-$L42&gt;=1,INDEX($X13:$AU13,AE$6-$L42),0)</f>
        <v>0</v>
      </c>
      <c r="AF42" s="43">
        <f>$K42*IF(AF$6-$L42&gt;=1,INDEX($X13:$AU13,AF$6-$L42),0)</f>
        <v>0</v>
      </c>
      <c r="AG42" s="43">
        <f>$K42*IF(AG$6-$L42&gt;=1,INDEX($X13:$AU13,AG$6-$L42),0)</f>
        <v>0</v>
      </c>
      <c r="AH42" s="43">
        <f>$K42*IF(AH$6-$L42&gt;=1,INDEX($X13:$AU13,AH$6-$L42),0)</f>
        <v>0</v>
      </c>
      <c r="AI42" s="43">
        <f>$K42*IF(AI$6-$L42&gt;=1,INDEX($X13:$AU13,AI$6-$L42),0)</f>
        <v>0</v>
      </c>
      <c r="AJ42" s="43">
        <f>$K42*IF(AJ$6-$L42&gt;=1,INDEX($X13:$AU13,AJ$6-$L42),0)</f>
        <v>13888.8888888889</v>
      </c>
      <c r="AK42" s="43">
        <f>$K42*IF(AK$6-$L42&gt;=1,INDEX($X13:$AU13,AK$6-$L42),0)</f>
        <v>27777.7777777778</v>
      </c>
      <c r="AL42" s="43">
        <f>$K42*IF(AL$6-$L42&gt;=1,INDEX($X13:$AU13,AL$6-$L42),0)</f>
        <v>41666.6666666667</v>
      </c>
      <c r="AM42" s="43">
        <f>$K42*IF(AM$6-$L42&gt;=1,INDEX($X13:$AU13,AM$6-$L42),0)</f>
        <v>55555.5555555556</v>
      </c>
      <c r="AN42" s="43">
        <f>$K42*IF(AN$6-$L42&gt;=1,INDEX($X13:$AU13,AN$6-$L42),0)</f>
        <v>69444.4444444445</v>
      </c>
      <c r="AO42" s="43">
        <f>$K42*IF(AO$6-$L42&gt;=1,INDEX($X13:$AU13,AO$6-$L42),0)</f>
        <v>83333.3333333333</v>
      </c>
      <c r="AP42" s="43">
        <f>$K42*IF(AP$6-$L42&gt;=1,INDEX($X13:$AU13,AP$6-$L42),0)</f>
        <v>97222.2222222222</v>
      </c>
      <c r="AQ42" s="43">
        <f>$K42*IF(AQ$6-$L42&gt;=1,INDEX($X13:$AU13,AQ$6-$L42),0)</f>
        <v>111111.111111111</v>
      </c>
      <c r="AR42" s="43">
        <f>$K42*IF(AR$6-$L42&gt;=1,INDEX($X13:$AU13,AR$6-$L42),0)</f>
        <v>125000</v>
      </c>
      <c r="AS42" s="43">
        <f>$K42*IF(AS$6-$L42&gt;=1,INDEX($X13:$AU13,AS$6-$L42),0)</f>
        <v>125000</v>
      </c>
      <c r="AT42" s="43">
        <f>$K42*IF(AT$6-$L42&gt;=1,INDEX($X13:$AU13,AT$6-$L42),0)</f>
        <v>125000</v>
      </c>
      <c r="AU42" s="43">
        <f>$K42*IF(AU$6-$L42&gt;=1,INDEX($X13:$AU13,AU$6-$L42),0)</f>
        <v>125000</v>
      </c>
      <c r="AV42" s="23">
        <f>SUM(X42:AI42)</f>
        <v>0</v>
      </c>
      <c r="AW42" s="23">
        <f>SUM(AJ42:AU42)</f>
        <v>1000000</v>
      </c>
      <c r="AX42" s="24">
        <f>$K42*$O13*(1+IF($P13&gt;0,$P13*'8_가정'!$G$27,$P13))</f>
        <v>2250000</v>
      </c>
      <c r="AY42" s="24">
        <f>$K42*$O13*(1+IF($P13&gt;0,$P13*'8_가정'!$G$27,$P13))*(1+IF($Q13&gt;0,$Q13*'8_가정'!$G$27,$Q13))</f>
        <v>3375000</v>
      </c>
      <c r="AZ42" s="24">
        <f>$K42*$O13*(1+IF($P13&gt;0,$P13*'8_가정'!$G$27,$P13))*(1+IF($Q13&gt;0,$Q13*'8_가정'!$G$27,$Q13))*(1+IF($R13&gt;0,$R13*'8_가정'!$G$27,$R13))</f>
        <v>4725000</v>
      </c>
      <c r="BA42" s="25">
        <f>SUM(AV42:AZ42)</f>
        <v>11350000</v>
      </c>
    </row>
    <row r="43">
      <c r="A43" s="7">
        <f>A14</f>
        <v>5</v>
      </c>
      <c r="B43" s="15" t="str">
        <f>B14</f>
        <v>일본</v>
      </c>
      <c r="C43" s="15" t="str">
        <f>C14</f>
        <v>일본</v>
      </c>
      <c r="D43" s="15" t="str">
        <f>D14</f>
        <v>HeartKium 총판(HEARTCARE 오사카 요양시설 23곳 포함)</v>
      </c>
      <c r="E43" s="15" t="str">
        <f>E14</f>
        <v>총판</v>
      </c>
      <c r="F43" s="15" t="str">
        <f>F14</f>
        <v>계약</v>
      </c>
      <c r="G43" s="15" t="str">
        <f>G14</f>
        <v>계약</v>
      </c>
      <c r="H43" s="15" t="str">
        <f>H14</f>
        <v>A 계약·기존 거래</v>
      </c>
      <c r="I43" s="15" t="str">
        <f>I14</f>
        <v>DIST</v>
      </c>
      <c r="J43" s="15" t="str">
        <f>J14</f>
        <v>R</v>
      </c>
      <c r="K43" s="68">
        <f>INDEX('8_가정'!$C$17:$E$24,MATCH($G14,'8_가정'!$A$17:$A$24,0),'1_요약'!$C$5)</f>
        <v>1</v>
      </c>
      <c r="L43" s="71">
        <f>IF($T14="Y",INDEX('8_가정'!$F$17:$H$24,MATCH($G14,'8_가정'!$A$17:$A$24,0),'1_요약'!$C$5),0)</f>
        <v>0</v>
      </c>
      <c r="X43" s="43">
        <f>$K43*IF(X$6-$L43&gt;=1,INDEX($X14:$AU14,X$6-$L43),0)</f>
        <v>56888.8888888889</v>
      </c>
      <c r="Y43" s="43">
        <f>$K43*IF(Y$6-$L43&gt;=1,INDEX($X14:$AU14,Y$6-$L43),0)</f>
        <v>56888.8888888889</v>
      </c>
      <c r="Z43" s="43">
        <f>$K43*IF(Z$6-$L43&gt;=1,INDEX($X14:$AU14,Z$6-$L43),0)</f>
        <v>56888.8888888889</v>
      </c>
      <c r="AA43" s="43">
        <f>$K43*IF(AA$6-$L43&gt;=1,INDEX($X14:$AU14,AA$6-$L43),0)</f>
        <v>56888.8888888889</v>
      </c>
      <c r="AB43" s="43">
        <f>$K43*IF(AB$6-$L43&gt;=1,INDEX($X14:$AU14,AB$6-$L43),0)</f>
        <v>56888.8888888889</v>
      </c>
      <c r="AC43" s="43">
        <f>$K43*IF(AC$6-$L43&gt;=1,INDEX($X14:$AU14,AC$6-$L43),0)</f>
        <v>56888.8888888889</v>
      </c>
      <c r="AD43" s="43">
        <f>$K43*IF(AD$6-$L43&gt;=1,INDEX($X14:$AU14,AD$6-$L43),0)</f>
        <v>64000</v>
      </c>
      <c r="AE43" s="43">
        <f>$K43*IF(AE$6-$L43&gt;=1,INDEX($X14:$AU14,AE$6-$L43),0)</f>
        <v>71111.1111111111</v>
      </c>
      <c r="AF43" s="43">
        <f>$K43*IF(AF$6-$L43&gt;=1,INDEX($X14:$AU14,AF$6-$L43),0)</f>
        <v>78222.2222222222</v>
      </c>
      <c r="AG43" s="43">
        <f>$K43*IF(AG$6-$L43&gt;=1,INDEX($X14:$AU14,AG$6-$L43),0)</f>
        <v>85333.3333333333</v>
      </c>
      <c r="AH43" s="43">
        <f>$K43*IF(AH$6-$L43&gt;=1,INDEX($X14:$AU14,AH$6-$L43),0)</f>
        <v>92444.4444444445</v>
      </c>
      <c r="AI43" s="43">
        <f>$K43*IF(AI$6-$L43&gt;=1,INDEX($X14:$AU14,AI$6-$L43),0)</f>
        <v>99555.5555555556</v>
      </c>
      <c r="AJ43" s="43">
        <f>$K43*IF(AJ$6-$L43&gt;=1,INDEX($X14:$AU14,AJ$6-$L43),0)</f>
        <v>106666.666666667</v>
      </c>
      <c r="AK43" s="43">
        <f>$K43*IF(AK$6-$L43&gt;=1,INDEX($X14:$AU14,AK$6-$L43),0)</f>
        <v>113777.777777778</v>
      </c>
      <c r="AL43" s="43">
        <f>$K43*IF(AL$6-$L43&gt;=1,INDEX($X14:$AU14,AL$6-$L43),0)</f>
        <v>120888.888888889</v>
      </c>
      <c r="AM43" s="43">
        <f>$K43*IF(AM$6-$L43&gt;=1,INDEX($X14:$AU14,AM$6-$L43),0)</f>
        <v>128000</v>
      </c>
      <c r="AN43" s="43">
        <f>$K43*IF(AN$6-$L43&gt;=1,INDEX($X14:$AU14,AN$6-$L43),0)</f>
        <v>135111.111111111</v>
      </c>
      <c r="AO43" s="43">
        <f>$K43*IF(AO$6-$L43&gt;=1,INDEX($X14:$AU14,AO$6-$L43),0)</f>
        <v>142222.222222222</v>
      </c>
      <c r="AP43" s="43">
        <f>$K43*IF(AP$6-$L43&gt;=1,INDEX($X14:$AU14,AP$6-$L43),0)</f>
        <v>142222.222222222</v>
      </c>
      <c r="AQ43" s="43">
        <f>$K43*IF(AQ$6-$L43&gt;=1,INDEX($X14:$AU14,AQ$6-$L43),0)</f>
        <v>142222.222222222</v>
      </c>
      <c r="AR43" s="43">
        <f>$K43*IF(AR$6-$L43&gt;=1,INDEX($X14:$AU14,AR$6-$L43),0)</f>
        <v>142222.222222222</v>
      </c>
      <c r="AS43" s="43">
        <f>$K43*IF(AS$6-$L43&gt;=1,INDEX($X14:$AU14,AS$6-$L43),0)</f>
        <v>142222.222222222</v>
      </c>
      <c r="AT43" s="43">
        <f>$K43*IF(AT$6-$L43&gt;=1,INDEX($X14:$AU14,AT$6-$L43),0)</f>
        <v>142222.222222222</v>
      </c>
      <c r="AU43" s="43">
        <f>$K43*IF(AU$6-$L43&gt;=1,INDEX($X14:$AU14,AU$6-$L43),0)</f>
        <v>142222.222222222</v>
      </c>
      <c r="AV43" s="23">
        <f>SUM(X43:AI43)</f>
        <v>832000</v>
      </c>
      <c r="AW43" s="23">
        <f>SUM(AJ43:AU43)</f>
        <v>1600000</v>
      </c>
      <c r="AX43" s="24">
        <f>$K43*$O14*(1+IF($P14&gt;0,$P14*'8_가정'!$G$27,$P14))</f>
        <v>3242666.66666667</v>
      </c>
      <c r="AY43" s="24">
        <f>$K43*$O14*(1+IF($P14&gt;0,$P14*'8_가정'!$G$27,$P14))*(1+IF($Q14&gt;0,$Q14*'8_가정'!$G$27,$Q14))</f>
        <v>5512533.33333333</v>
      </c>
      <c r="AZ43" s="24">
        <f>$K43*$O14*(1+IF($P14&gt;0,$P14*'8_가정'!$G$27,$P14))*(1+IF($Q14&gt;0,$Q14*'8_가정'!$G$27,$Q14))*(1+IF($R14&gt;0,$R14*'8_가정'!$G$27,$R14))</f>
        <v>8268800</v>
      </c>
      <c r="BA43" s="25">
        <f>SUM(AV43:AZ43)</f>
        <v>19456000</v>
      </c>
    </row>
    <row r="44">
      <c r="A44" s="7">
        <f>A15</f>
        <v>6</v>
      </c>
      <c r="B44" s="15" t="str">
        <f>B15</f>
        <v>일본</v>
      </c>
      <c r="C44" s="15" t="str">
        <f>C15</f>
        <v>일본</v>
      </c>
      <c r="D44" s="15" t="str">
        <f>D15</f>
        <v>일본 TAIS 등록 기반 복지용구 채널(JAIS)</v>
      </c>
      <c r="E44" s="15" t="str">
        <f>E15</f>
        <v>B2G·제도</v>
      </c>
      <c r="F44" s="15" t="str">
        <f>F15</f>
        <v>등록 완료</v>
      </c>
      <c r="G44" s="15" t="str">
        <f>G15</f>
        <v>등록완료</v>
      </c>
      <c r="H44" s="15" t="str">
        <f>H15</f>
        <v>B 등록·입찰·협의 단계</v>
      </c>
      <c r="I44" s="15" t="str">
        <f>I15</f>
        <v>SUB</v>
      </c>
      <c r="J44" s="15" t="str">
        <f>J15</f>
        <v>R</v>
      </c>
      <c r="K44" s="68">
        <f>INDEX('8_가정'!$C$17:$E$24,MATCH($G15,'8_가정'!$A$17:$A$24,0),'1_요약'!$C$5)</f>
        <v>1</v>
      </c>
      <c r="L44" s="71">
        <f>IF($T15="Y",INDEX('8_가정'!$F$17:$H$24,MATCH($G15,'8_가정'!$A$17:$A$24,0),'1_요약'!$C$5),0)</f>
        <v>0</v>
      </c>
      <c r="X44" s="43">
        <f>$K44*IF(X$6-$L44&gt;=1,INDEX($X15:$AU15,X$6-$L44),0)</f>
        <v>0</v>
      </c>
      <c r="Y44" s="43">
        <f>$K44*IF(Y$6-$L44&gt;=1,INDEX($X15:$AU15,Y$6-$L44),0)</f>
        <v>0</v>
      </c>
      <c r="Z44" s="43">
        <f>$K44*IF(Z$6-$L44&gt;=1,INDEX($X15:$AU15,Z$6-$L44),0)</f>
        <v>0</v>
      </c>
      <c r="AA44" s="43">
        <f>$K44*IF(AA$6-$L44&gt;=1,INDEX($X15:$AU15,AA$6-$L44),0)</f>
        <v>0</v>
      </c>
      <c r="AB44" s="43">
        <f>$K44*IF(AB$6-$L44&gt;=1,INDEX($X15:$AU15,AB$6-$L44),0)</f>
        <v>0</v>
      </c>
      <c r="AC44" s="43">
        <f>$K44*IF(AC$6-$L44&gt;=1,INDEX($X15:$AU15,AC$6-$L44),0)</f>
        <v>0</v>
      </c>
      <c r="AD44" s="43">
        <f>$K44*IF(AD$6-$L44&gt;=1,INDEX($X15:$AU15,AD$6-$L44),0)</f>
        <v>0</v>
      </c>
      <c r="AE44" s="43">
        <f>$K44*IF(AE$6-$L44&gt;=1,INDEX($X15:$AU15,AE$6-$L44),0)</f>
        <v>0</v>
      </c>
      <c r="AF44" s="43">
        <f>$K44*IF(AF$6-$L44&gt;=1,INDEX($X15:$AU15,AF$6-$L44),0)</f>
        <v>0</v>
      </c>
      <c r="AG44" s="43">
        <f>$K44*IF(AG$6-$L44&gt;=1,INDEX($X15:$AU15,AG$6-$L44),0)</f>
        <v>0</v>
      </c>
      <c r="AH44" s="43">
        <f>$K44*IF(AH$6-$L44&gt;=1,INDEX($X15:$AU15,AH$6-$L44),0)</f>
        <v>0</v>
      </c>
      <c r="AI44" s="43">
        <f>$K44*IF(AI$6-$L44&gt;=1,INDEX($X15:$AU15,AI$6-$L44),0)</f>
        <v>0</v>
      </c>
      <c r="AJ44" s="43">
        <f>$K44*IF(AJ$6-$L44&gt;=1,INDEX($X15:$AU15,AJ$6-$L44),0)</f>
        <v>27777.7777777778</v>
      </c>
      <c r="AK44" s="43">
        <f>$K44*IF(AK$6-$L44&gt;=1,INDEX($X15:$AU15,AK$6-$L44),0)</f>
        <v>55555.5555555556</v>
      </c>
      <c r="AL44" s="43">
        <f>$K44*IF(AL$6-$L44&gt;=1,INDEX($X15:$AU15,AL$6-$L44),0)</f>
        <v>83333.3333333333</v>
      </c>
      <c r="AM44" s="43">
        <f>$K44*IF(AM$6-$L44&gt;=1,INDEX($X15:$AU15,AM$6-$L44),0)</f>
        <v>111111.111111111</v>
      </c>
      <c r="AN44" s="43">
        <f>$K44*IF(AN$6-$L44&gt;=1,INDEX($X15:$AU15,AN$6-$L44),0)</f>
        <v>138888.888888889</v>
      </c>
      <c r="AO44" s="43">
        <f>$K44*IF(AO$6-$L44&gt;=1,INDEX($X15:$AU15,AO$6-$L44),0)</f>
        <v>166666.666666667</v>
      </c>
      <c r="AP44" s="43">
        <f>$K44*IF(AP$6-$L44&gt;=1,INDEX($X15:$AU15,AP$6-$L44),0)</f>
        <v>194444.444444444</v>
      </c>
      <c r="AQ44" s="43">
        <f>$K44*IF(AQ$6-$L44&gt;=1,INDEX($X15:$AU15,AQ$6-$L44),0)</f>
        <v>222222.222222222</v>
      </c>
      <c r="AR44" s="43">
        <f>$K44*IF(AR$6-$L44&gt;=1,INDEX($X15:$AU15,AR$6-$L44),0)</f>
        <v>250000</v>
      </c>
      <c r="AS44" s="43">
        <f>$K44*IF(AS$6-$L44&gt;=1,INDEX($X15:$AU15,AS$6-$L44),0)</f>
        <v>250000</v>
      </c>
      <c r="AT44" s="43">
        <f>$K44*IF(AT$6-$L44&gt;=1,INDEX($X15:$AU15,AT$6-$L44),0)</f>
        <v>250000</v>
      </c>
      <c r="AU44" s="43">
        <f>$K44*IF(AU$6-$L44&gt;=1,INDEX($X15:$AU15,AU$6-$L44),0)</f>
        <v>250000</v>
      </c>
      <c r="AV44" s="23">
        <f>SUM(X44:AI44)</f>
        <v>0</v>
      </c>
      <c r="AW44" s="23">
        <f>SUM(AJ44:AU44)</f>
        <v>2000000</v>
      </c>
      <c r="AX44" s="24">
        <f>$K44*$O15*(1+IF($P15&gt;0,$P15*'8_가정'!$G$27,$P15))</f>
        <v>4800000</v>
      </c>
      <c r="AY44" s="24">
        <f>$K44*$O15*(1+IF($P15&gt;0,$P15*'8_가정'!$G$27,$P15))*(1+IF($Q15&gt;0,$Q15*'8_가정'!$G$27,$Q15))</f>
        <v>8640000</v>
      </c>
      <c r="AZ44" s="24">
        <f>$K44*$O15*(1+IF($P15&gt;0,$P15*'8_가정'!$G$27,$P15))*(1+IF($Q15&gt;0,$Q15*'8_가정'!$G$27,$Q15))*(1+IF($R15&gt;0,$R15*'8_가정'!$G$27,$R15))</f>
        <v>13824000</v>
      </c>
      <c r="BA44" s="25">
        <f>SUM(AV44:AZ44)</f>
        <v>29264000</v>
      </c>
    </row>
    <row r="45">
      <c r="A45" s="7">
        <f>A16</f>
        <v>7</v>
      </c>
      <c r="B45" s="15" t="str">
        <f>B16</f>
        <v>싱가포르</v>
      </c>
      <c r="C45" s="15" t="str">
        <f>C16</f>
        <v>동남아·APAC</v>
      </c>
      <c r="D45" s="15" t="str">
        <f>D16</f>
        <v>NHG(KTPH·TTSH·Woodlands) 스마트 병동</v>
      </c>
      <c r="E45" s="15" t="str">
        <f>E16</f>
        <v>기관(직접)</v>
      </c>
      <c r="F45" s="15" t="str">
        <f>F16</f>
        <v>계약</v>
      </c>
      <c r="G45" s="15" t="str">
        <f>G16</f>
        <v>입찰</v>
      </c>
      <c r="H45" s="15" t="str">
        <f>H16</f>
        <v>B 등록·입찰·협의 단계</v>
      </c>
      <c r="I45" s="15" t="str">
        <f>I16</f>
        <v>HWPROJ</v>
      </c>
      <c r="J45" s="15" t="str">
        <f>J16</f>
        <v>P</v>
      </c>
      <c r="K45" s="68">
        <f>INDEX('8_가정'!$C$17:$E$24,MATCH($G16,'8_가정'!$A$17:$A$24,0),'1_요약'!$C$5)</f>
        <v>1</v>
      </c>
      <c r="L45" s="71">
        <f>IF($T16="Y",INDEX('8_가정'!$F$17:$H$24,MATCH($G16,'8_가정'!$A$17:$A$24,0),'1_요약'!$C$5),0)</f>
        <v>0</v>
      </c>
      <c r="X45" s="43">
        <f>$K45*IF(X$6-$L45&gt;=1,INDEX($X16:$AU16,X$6-$L45),0)</f>
        <v>0</v>
      </c>
      <c r="Y45" s="43">
        <f>$K45*IF(Y$6-$L45&gt;=1,INDEX($X16:$AU16,Y$6-$L45),0)</f>
        <v>0</v>
      </c>
      <c r="Z45" s="43">
        <f>$K45*IF(Z$6-$L45&gt;=1,INDEX($X16:$AU16,Z$6-$L45),0)</f>
        <v>0</v>
      </c>
      <c r="AA45" s="43">
        <f>$K45*IF(AA$6-$L45&gt;=1,INDEX($X16:$AU16,AA$6-$L45),0)</f>
        <v>0</v>
      </c>
      <c r="AB45" s="43">
        <f>$K45*IF(AB$6-$L45&gt;=1,INDEX($X16:$AU16,AB$6-$L45),0)</f>
        <v>0</v>
      </c>
      <c r="AC45" s="43">
        <f>$K45*IF(AC$6-$L45&gt;=1,INDEX($X16:$AU16,AC$6-$L45),0)</f>
        <v>0</v>
      </c>
      <c r="AD45" s="43">
        <f>$K45*IF(AD$6-$L45&gt;=1,INDEX($X16:$AU16,AD$6-$L45),0)</f>
        <v>0</v>
      </c>
      <c r="AE45" s="43">
        <f>$K45*IF(AE$6-$L45&gt;=1,INDEX($X16:$AU16,AE$6-$L45),0)</f>
        <v>0</v>
      </c>
      <c r="AF45" s="43">
        <f>$K45*IF(AF$6-$L45&gt;=1,INDEX($X16:$AU16,AF$6-$L45),0)</f>
        <v>0</v>
      </c>
      <c r="AG45" s="43">
        <f>$K45*IF(AG$6-$L45&gt;=1,INDEX($X16:$AU16,AG$6-$L45),0)</f>
        <v>0</v>
      </c>
      <c r="AH45" s="43">
        <f>$K45*IF(AH$6-$L45&gt;=1,INDEX($X16:$AU16,AH$6-$L45),0)</f>
        <v>0</v>
      </c>
      <c r="AI45" s="43">
        <f>$K45*IF(AI$6-$L45&gt;=1,INDEX($X16:$AU16,AI$6-$L45),0)</f>
        <v>0</v>
      </c>
      <c r="AJ45" s="43">
        <f>$K45*IF(AJ$6-$L45&gt;=1,INDEX($X16:$AU16,AJ$6-$L45),0)</f>
        <v>0</v>
      </c>
      <c r="AK45" s="43">
        <f>$K45*IF(AK$6-$L45&gt;=1,INDEX($X16:$AU16,AK$6-$L45),0)</f>
        <v>0</v>
      </c>
      <c r="AL45" s="43">
        <f>$K45*IF(AL$6-$L45&gt;=1,INDEX($X16:$AU16,AL$6-$L45),0)</f>
        <v>0</v>
      </c>
      <c r="AM45" s="43">
        <f>$K45*IF(AM$6-$L45&gt;=1,INDEX($X16:$AU16,AM$6-$L45),0)</f>
        <v>0</v>
      </c>
      <c r="AN45" s="43">
        <f>$K45*IF(AN$6-$L45&gt;=1,INDEX($X16:$AU16,AN$6-$L45),0)</f>
        <v>0</v>
      </c>
      <c r="AO45" s="43">
        <f>$K45*IF(AO$6-$L45&gt;=1,INDEX($X16:$AU16,AO$6-$L45),0)</f>
        <v>60000</v>
      </c>
      <c r="AP45" s="43">
        <f>$K45*IF(AP$6-$L45&gt;=1,INDEX($X16:$AU16,AP$6-$L45),0)</f>
        <v>60000</v>
      </c>
      <c r="AQ45" s="43">
        <f>$K45*IF(AQ$6-$L45&gt;=1,INDEX($X16:$AU16,AQ$6-$L45),0)</f>
        <v>60000</v>
      </c>
      <c r="AR45" s="43">
        <f>$K45*IF(AR$6-$L45&gt;=1,INDEX($X16:$AU16,AR$6-$L45),0)</f>
        <v>0</v>
      </c>
      <c r="AS45" s="43">
        <f>$K45*IF(AS$6-$L45&gt;=1,INDEX($X16:$AU16,AS$6-$L45),0)</f>
        <v>0</v>
      </c>
      <c r="AT45" s="43">
        <f>$K45*IF(AT$6-$L45&gt;=1,INDEX($X16:$AU16,AT$6-$L45),0)</f>
        <v>0</v>
      </c>
      <c r="AU45" s="43">
        <f>$K45*IF(AU$6-$L45&gt;=1,INDEX($X16:$AU16,AU$6-$L45),0)</f>
        <v>0</v>
      </c>
      <c r="AV45" s="23">
        <f>SUM(X45:AI45)</f>
        <v>0</v>
      </c>
      <c r="AW45" s="23">
        <f>SUM(AJ45:AU45)</f>
        <v>180000</v>
      </c>
      <c r="AX45" s="24">
        <f>$K45*$O16*(1+IF($P16&gt;0,$P16*'8_가정'!$G$27,$P16))</f>
        <v>288000</v>
      </c>
      <c r="AY45" s="24">
        <f>$K45*$O16*(1+IF($P16&gt;0,$P16*'8_가정'!$G$27,$P16))*(1+IF($Q16&gt;0,$Q16*'8_가정'!$G$27,$Q16))</f>
        <v>403200</v>
      </c>
      <c r="AZ45" s="24">
        <f>$K45*$O16*(1+IF($P16&gt;0,$P16*'8_가정'!$G$27,$P16))*(1+IF($Q16&gt;0,$Q16*'8_가정'!$G$27,$Q16))*(1+IF($R16&gt;0,$R16*'8_가정'!$G$27,$R16))</f>
        <v>564480</v>
      </c>
      <c r="BA45" s="25">
        <f>SUM(AV45:AZ45)</f>
        <v>1435680</v>
      </c>
    </row>
    <row r="46">
      <c r="A46" s="7">
        <f>A17</f>
        <v>8</v>
      </c>
      <c r="B46" s="15" t="str">
        <f>B17</f>
        <v>싱가포르</v>
      </c>
      <c r="C46" s="15" t="str">
        <f>C17</f>
        <v>동남아·APAC</v>
      </c>
      <c r="D46" s="15" t="str">
        <f>D17</f>
        <v>IMH 스마트 욕창 케어 R&amp;D(연 SGD 120,000)</v>
      </c>
      <c r="E46" s="15" t="str">
        <f>E17</f>
        <v>기관(직접)</v>
      </c>
      <c r="F46" s="15" t="str">
        <f>F17</f>
        <v>계약</v>
      </c>
      <c r="G46" s="15" t="str">
        <f>G17</f>
        <v>계약</v>
      </c>
      <c r="H46" s="15" t="str">
        <f>H17</f>
        <v>A 계약·기존 거래</v>
      </c>
      <c r="I46" s="15" t="str">
        <f>I17</f>
        <v>RND</v>
      </c>
      <c r="J46" s="15" t="str">
        <f>J17</f>
        <v>R</v>
      </c>
      <c r="K46" s="68">
        <f>INDEX('8_가정'!$C$17:$E$24,MATCH($G17,'8_가정'!$A$17:$A$24,0),'1_요약'!$C$5)</f>
        <v>1</v>
      </c>
      <c r="L46" s="71">
        <f>IF($T17="Y",INDEX('8_가정'!$F$17:$H$24,MATCH($G17,'8_가정'!$A$17:$A$24,0),'1_요약'!$C$5),0)</f>
        <v>0</v>
      </c>
      <c r="X46" s="43">
        <f>$K46*IF(X$6-$L46&gt;=1,INDEX($X17:$AU17,X$6-$L46),0)</f>
        <v>0</v>
      </c>
      <c r="Y46" s="43">
        <f>$K46*IF(Y$6-$L46&gt;=1,INDEX($X17:$AU17,Y$6-$L46),0)</f>
        <v>0</v>
      </c>
      <c r="Z46" s="43">
        <f>$K46*IF(Z$6-$L46&gt;=1,INDEX($X17:$AU17,Z$6-$L46),0)</f>
        <v>0</v>
      </c>
      <c r="AA46" s="43">
        <f>$K46*IF(AA$6-$L46&gt;=1,INDEX($X17:$AU17,AA$6-$L46),0)</f>
        <v>0</v>
      </c>
      <c r="AB46" s="43">
        <f>$K46*IF(AB$6-$L46&gt;=1,INDEX($X17:$AU17,AB$6-$L46),0)</f>
        <v>0</v>
      </c>
      <c r="AC46" s="43">
        <f>$K46*IF(AC$6-$L46&gt;=1,INDEX($X17:$AU17,AC$6-$L46),0)</f>
        <v>0</v>
      </c>
      <c r="AD46" s="43">
        <f>$K46*IF(AD$6-$L46&gt;=1,INDEX($X17:$AU17,AD$6-$L46),0)</f>
        <v>10000</v>
      </c>
      <c r="AE46" s="43">
        <f>$K46*IF(AE$6-$L46&gt;=1,INDEX($X17:$AU17,AE$6-$L46),0)</f>
        <v>10000</v>
      </c>
      <c r="AF46" s="43">
        <f>$K46*IF(AF$6-$L46&gt;=1,INDEX($X17:$AU17,AF$6-$L46),0)</f>
        <v>10000</v>
      </c>
      <c r="AG46" s="43">
        <f>$K46*IF(AG$6-$L46&gt;=1,INDEX($X17:$AU17,AG$6-$L46),0)</f>
        <v>10000</v>
      </c>
      <c r="AH46" s="43">
        <f>$K46*IF(AH$6-$L46&gt;=1,INDEX($X17:$AU17,AH$6-$L46),0)</f>
        <v>10000</v>
      </c>
      <c r="AI46" s="43">
        <f>$K46*IF(AI$6-$L46&gt;=1,INDEX($X17:$AU17,AI$6-$L46),0)</f>
        <v>10000</v>
      </c>
      <c r="AJ46" s="43">
        <f>$K46*IF(AJ$6-$L46&gt;=1,INDEX($X17:$AU17,AJ$6-$L46),0)</f>
        <v>10000</v>
      </c>
      <c r="AK46" s="43">
        <f>$K46*IF(AK$6-$L46&gt;=1,INDEX($X17:$AU17,AK$6-$L46),0)</f>
        <v>10000</v>
      </c>
      <c r="AL46" s="43">
        <f>$K46*IF(AL$6-$L46&gt;=1,INDEX($X17:$AU17,AL$6-$L46),0)</f>
        <v>10000</v>
      </c>
      <c r="AM46" s="43">
        <f>$K46*IF(AM$6-$L46&gt;=1,INDEX($X17:$AU17,AM$6-$L46),0)</f>
        <v>10000</v>
      </c>
      <c r="AN46" s="43">
        <f>$K46*IF(AN$6-$L46&gt;=1,INDEX($X17:$AU17,AN$6-$L46),0)</f>
        <v>10000</v>
      </c>
      <c r="AO46" s="43">
        <f>$K46*IF(AO$6-$L46&gt;=1,INDEX($X17:$AU17,AO$6-$L46),0)</f>
        <v>10000</v>
      </c>
      <c r="AP46" s="43">
        <f>$K46*IF(AP$6-$L46&gt;=1,INDEX($X17:$AU17,AP$6-$L46),0)</f>
        <v>10000</v>
      </c>
      <c r="AQ46" s="43">
        <f>$K46*IF(AQ$6-$L46&gt;=1,INDEX($X17:$AU17,AQ$6-$L46),0)</f>
        <v>10000</v>
      </c>
      <c r="AR46" s="43">
        <f>$K46*IF(AR$6-$L46&gt;=1,INDEX($X17:$AU17,AR$6-$L46),0)</f>
        <v>10000</v>
      </c>
      <c r="AS46" s="43">
        <f>$K46*IF(AS$6-$L46&gt;=1,INDEX($X17:$AU17,AS$6-$L46),0)</f>
        <v>10000</v>
      </c>
      <c r="AT46" s="43">
        <f>$K46*IF(AT$6-$L46&gt;=1,INDEX($X17:$AU17,AT$6-$L46),0)</f>
        <v>10000</v>
      </c>
      <c r="AU46" s="43">
        <f>$K46*IF(AU$6-$L46&gt;=1,INDEX($X17:$AU17,AU$6-$L46),0)</f>
        <v>10000</v>
      </c>
      <c r="AV46" s="23">
        <f>SUM(X46:AI46)</f>
        <v>60000</v>
      </c>
      <c r="AW46" s="23">
        <f>SUM(AJ46:AU46)</f>
        <v>120000</v>
      </c>
      <c r="AX46" s="24">
        <f>$K46*$O17*(1+IF($P17&gt;0,$P17*'8_가정'!$G$27,$P17))</f>
        <v>120000</v>
      </c>
      <c r="AY46" s="24">
        <f>$K46*$O17*(1+IF($P17&gt;0,$P17*'8_가정'!$G$27,$P17))*(1+IF($Q17&gt;0,$Q17*'8_가정'!$G$27,$Q17))</f>
        <v>0</v>
      </c>
      <c r="AZ46" s="24">
        <f>$K46*$O17*(1+IF($P17&gt;0,$P17*'8_가정'!$G$27,$P17))*(1+IF($Q17&gt;0,$Q17*'8_가정'!$G$27,$Q17))*(1+IF($R17&gt;0,$R17*'8_가정'!$G$27,$R17))</f>
        <v>0</v>
      </c>
      <c r="BA46" s="25">
        <f>SUM(AV46:AZ46)</f>
        <v>300000</v>
      </c>
    </row>
    <row r="47">
      <c r="A47" s="7">
        <f>A18</f>
        <v>9</v>
      </c>
      <c r="B47" s="15" t="str">
        <f>B18</f>
        <v>싱가포르</v>
      </c>
      <c r="C47" s="15" t="str">
        <f>C18</f>
        <v>동남아·APAC</v>
      </c>
      <c r="D47" s="15" t="str">
        <f>D18</f>
        <v>Vanguard Healthcare(요양원 5곳, 입소자 300명 구독)</v>
      </c>
      <c r="E47" s="15" t="str">
        <f>E18</f>
        <v>기관(직접)</v>
      </c>
      <c r="F47" s="15" t="str">
        <f>F18</f>
        <v>계약</v>
      </c>
      <c r="G47" s="15" t="str">
        <f>G18</f>
        <v>계약</v>
      </c>
      <c r="H47" s="15" t="str">
        <f>H18</f>
        <v>A 계약·기존 거래</v>
      </c>
      <c r="I47" s="15" t="str">
        <f>I18</f>
        <v>SUB</v>
      </c>
      <c r="J47" s="15" t="str">
        <f>J18</f>
        <v>R</v>
      </c>
      <c r="K47" s="68">
        <f>INDEX('8_가정'!$C$17:$E$24,MATCH($G18,'8_가정'!$A$17:$A$24,0),'1_요약'!$C$5)</f>
        <v>1</v>
      </c>
      <c r="L47" s="71">
        <f>IF($T18="Y",INDEX('8_가정'!$F$17:$H$24,MATCH($G18,'8_가정'!$A$17:$A$24,0),'1_요약'!$C$5),0)</f>
        <v>0</v>
      </c>
      <c r="X47" s="43">
        <f>$K47*IF(X$6-$L47&gt;=1,INDEX($X18:$AU18,X$6-$L47),0)</f>
        <v>0</v>
      </c>
      <c r="Y47" s="43">
        <f>$K47*IF(Y$6-$L47&gt;=1,INDEX($X18:$AU18,Y$6-$L47),0)</f>
        <v>0</v>
      </c>
      <c r="Z47" s="43">
        <f>$K47*IF(Z$6-$L47&gt;=1,INDEX($X18:$AU18,Z$6-$L47),0)</f>
        <v>0</v>
      </c>
      <c r="AA47" s="43">
        <f>$K47*IF(AA$6-$L47&gt;=1,INDEX($X18:$AU18,AA$6-$L47),0)</f>
        <v>0</v>
      </c>
      <c r="AB47" s="43">
        <f>$K47*IF(AB$6-$L47&gt;=1,INDEX($X18:$AU18,AB$6-$L47),0)</f>
        <v>0</v>
      </c>
      <c r="AC47" s="43">
        <f>$K47*IF(AC$6-$L47&gt;=1,INDEX($X18:$AU18,AC$6-$L47),0)</f>
        <v>0</v>
      </c>
      <c r="AD47" s="43">
        <f>$K47*IF(AD$6-$L47&gt;=1,INDEX($X18:$AU18,AD$6-$L47),0)</f>
        <v>0</v>
      </c>
      <c r="AE47" s="43">
        <f>$K47*IF(AE$6-$L47&gt;=1,INDEX($X18:$AU18,AE$6-$L47),0)</f>
        <v>0</v>
      </c>
      <c r="AF47" s="43">
        <f>$K47*IF(AF$6-$L47&gt;=1,INDEX($X18:$AU18,AF$6-$L47),0)</f>
        <v>0</v>
      </c>
      <c r="AG47" s="43">
        <f>$K47*IF(AG$6-$L47&gt;=1,INDEX($X18:$AU18,AG$6-$L47),0)</f>
        <v>0</v>
      </c>
      <c r="AH47" s="43">
        <f>$K47*IF(AH$6-$L47&gt;=1,INDEX($X18:$AU18,AH$6-$L47),0)</f>
        <v>7940</v>
      </c>
      <c r="AI47" s="43">
        <f>$K47*IF(AI$6-$L47&gt;=1,INDEX($X18:$AU18,AI$6-$L47),0)</f>
        <v>15880</v>
      </c>
      <c r="AJ47" s="43">
        <f>$K47*IF(AJ$6-$L47&gt;=1,INDEX($X18:$AU18,AJ$6-$L47),0)</f>
        <v>23820</v>
      </c>
      <c r="AK47" s="43">
        <f>$K47*IF(AK$6-$L47&gt;=1,INDEX($X18:$AU18,AK$6-$L47),0)</f>
        <v>23820</v>
      </c>
      <c r="AL47" s="43">
        <f>$K47*IF(AL$6-$L47&gt;=1,INDEX($X18:$AU18,AL$6-$L47),0)</f>
        <v>23820</v>
      </c>
      <c r="AM47" s="43">
        <f>$K47*IF(AM$6-$L47&gt;=1,INDEX($X18:$AU18,AM$6-$L47),0)</f>
        <v>23820</v>
      </c>
      <c r="AN47" s="43">
        <f>$K47*IF(AN$6-$L47&gt;=1,INDEX($X18:$AU18,AN$6-$L47),0)</f>
        <v>23820</v>
      </c>
      <c r="AO47" s="43">
        <f>$K47*IF(AO$6-$L47&gt;=1,INDEX($X18:$AU18,AO$6-$L47),0)</f>
        <v>23820</v>
      </c>
      <c r="AP47" s="43">
        <f>$K47*IF(AP$6-$L47&gt;=1,INDEX($X18:$AU18,AP$6-$L47),0)</f>
        <v>23820</v>
      </c>
      <c r="AQ47" s="43">
        <f>$K47*IF(AQ$6-$L47&gt;=1,INDEX($X18:$AU18,AQ$6-$L47),0)</f>
        <v>23820</v>
      </c>
      <c r="AR47" s="43">
        <f>$K47*IF(AR$6-$L47&gt;=1,INDEX($X18:$AU18,AR$6-$L47),0)</f>
        <v>23820</v>
      </c>
      <c r="AS47" s="43">
        <f>$K47*IF(AS$6-$L47&gt;=1,INDEX($X18:$AU18,AS$6-$L47),0)</f>
        <v>23820</v>
      </c>
      <c r="AT47" s="43">
        <f>$K47*IF(AT$6-$L47&gt;=1,INDEX($X18:$AU18,AT$6-$L47),0)</f>
        <v>23820</v>
      </c>
      <c r="AU47" s="43">
        <f>$K47*IF(AU$6-$L47&gt;=1,INDEX($X18:$AU18,AU$6-$L47),0)</f>
        <v>23820</v>
      </c>
      <c r="AV47" s="23">
        <f>SUM(X47:AI47)</f>
        <v>23820</v>
      </c>
      <c r="AW47" s="23">
        <f>SUM(AJ47:AU47)</f>
        <v>285840</v>
      </c>
      <c r="AX47" s="24">
        <f>$K47*$O18*(1+IF($P18&gt;0,$P18*'8_가정'!$G$27,$P18))</f>
        <v>343008</v>
      </c>
      <c r="AY47" s="24">
        <f>$K47*$O18*(1+IF($P18&gt;0,$P18*'8_가정'!$G$27,$P18))*(1+IF($Q18&gt;0,$Q18*'8_가정'!$G$27,$Q18))</f>
        <v>411609.6</v>
      </c>
      <c r="AZ47" s="24">
        <f>$K47*$O18*(1+IF($P18&gt;0,$P18*'8_가정'!$G$27,$P18))*(1+IF($Q18&gt;0,$Q18*'8_가정'!$G$27,$Q18))*(1+IF($R18&gt;0,$R18*'8_가정'!$G$27,$R18))</f>
        <v>493931.52</v>
      </c>
      <c r="BA47" s="25">
        <f>SUM(AV47:AZ47)</f>
        <v>1558209.12</v>
      </c>
    </row>
    <row r="48">
      <c r="A48" s="7">
        <f>A19</f>
        <v>10</v>
      </c>
      <c r="B48" s="15" t="str">
        <f>B19</f>
        <v>싱가포르</v>
      </c>
      <c r="C48" s="15" t="str">
        <f>C19</f>
        <v>동남아·APAC</v>
      </c>
      <c r="D48" s="15" t="str">
        <f>D19</f>
        <v>Intega Healthcare(싱가포르 총판)</v>
      </c>
      <c r="E48" s="15" t="str">
        <f>E19</f>
        <v>총판</v>
      </c>
      <c r="F48" s="15" t="str">
        <f>F19</f>
        <v>계약</v>
      </c>
      <c r="G48" s="15" t="str">
        <f>G19</f>
        <v>계약</v>
      </c>
      <c r="H48" s="15" t="str">
        <f>H19</f>
        <v>A 계약·기존 거래</v>
      </c>
      <c r="I48" s="15" t="str">
        <f>I19</f>
        <v>DIST</v>
      </c>
      <c r="J48" s="15" t="str">
        <f>J19</f>
        <v>R</v>
      </c>
      <c r="K48" s="68">
        <f>INDEX('8_가정'!$C$17:$E$24,MATCH($G19,'8_가정'!$A$17:$A$24,0),'1_요약'!$C$5)</f>
        <v>1</v>
      </c>
      <c r="L48" s="71">
        <f>IF($T19="Y",INDEX('8_가정'!$F$17:$H$24,MATCH($G19,'8_가정'!$A$17:$A$24,0),'1_요약'!$C$5),0)</f>
        <v>0</v>
      </c>
      <c r="X48" s="43">
        <f>$K48*IF(X$6-$L48&gt;=1,INDEX($X19:$AU19,X$6-$L48),0)</f>
        <v>1694.91525423729</v>
      </c>
      <c r="Y48" s="43">
        <f>$K48*IF(Y$6-$L48&gt;=1,INDEX($X19:$AU19,Y$6-$L48),0)</f>
        <v>3389.83050847458</v>
      </c>
      <c r="Z48" s="43">
        <f>$K48*IF(Z$6-$L48&gt;=1,INDEX($X19:$AU19,Z$6-$L48),0)</f>
        <v>5084.74576271187</v>
      </c>
      <c r="AA48" s="43">
        <f>$K48*IF(AA$6-$L48&gt;=1,INDEX($X19:$AU19,AA$6-$L48),0)</f>
        <v>6779.66101694915</v>
      </c>
      <c r="AB48" s="43">
        <f>$K48*IF(AB$6-$L48&gt;=1,INDEX($X19:$AU19,AB$6-$L48),0)</f>
        <v>8474.57627118644</v>
      </c>
      <c r="AC48" s="43">
        <f>$K48*IF(AC$6-$L48&gt;=1,INDEX($X19:$AU19,AC$6-$L48),0)</f>
        <v>10169.4915254237</v>
      </c>
      <c r="AD48" s="43">
        <f>$K48*IF(AD$6-$L48&gt;=1,INDEX($X19:$AU19,AD$6-$L48),0)</f>
        <v>11864.406779661</v>
      </c>
      <c r="AE48" s="43">
        <f>$K48*IF(AE$6-$L48&gt;=1,INDEX($X19:$AU19,AE$6-$L48),0)</f>
        <v>13559.3220338983</v>
      </c>
      <c r="AF48" s="43">
        <f>$K48*IF(AF$6-$L48&gt;=1,INDEX($X19:$AU19,AF$6-$L48),0)</f>
        <v>15254.2372881356</v>
      </c>
      <c r="AG48" s="43">
        <f>$K48*IF(AG$6-$L48&gt;=1,INDEX($X19:$AU19,AG$6-$L48),0)</f>
        <v>16949.1525423729</v>
      </c>
      <c r="AH48" s="43">
        <f>$K48*IF(AH$6-$L48&gt;=1,INDEX($X19:$AU19,AH$6-$L48),0)</f>
        <v>18644.0677966102</v>
      </c>
      <c r="AI48" s="43">
        <f>$K48*IF(AI$6-$L48&gt;=1,INDEX($X19:$AU19,AI$6-$L48),0)</f>
        <v>20338.9830508475</v>
      </c>
      <c r="AJ48" s="43">
        <f>$K48*IF(AJ$6-$L48&gt;=1,INDEX($X19:$AU19,AJ$6-$L48),0)</f>
        <v>22033.8983050847</v>
      </c>
      <c r="AK48" s="43">
        <f>$K48*IF(AK$6-$L48&gt;=1,INDEX($X19:$AU19,AK$6-$L48),0)</f>
        <v>23728.813559322</v>
      </c>
      <c r="AL48" s="43">
        <f>$K48*IF(AL$6-$L48&gt;=1,INDEX($X19:$AU19,AL$6-$L48),0)</f>
        <v>25423.7288135593</v>
      </c>
      <c r="AM48" s="43">
        <f>$K48*IF(AM$6-$L48&gt;=1,INDEX($X19:$AU19,AM$6-$L48),0)</f>
        <v>25423.7288135593</v>
      </c>
      <c r="AN48" s="43">
        <f>$K48*IF(AN$6-$L48&gt;=1,INDEX($X19:$AU19,AN$6-$L48),0)</f>
        <v>25423.7288135593</v>
      </c>
      <c r="AO48" s="43">
        <f>$K48*IF(AO$6-$L48&gt;=1,INDEX($X19:$AU19,AO$6-$L48),0)</f>
        <v>25423.7288135593</v>
      </c>
      <c r="AP48" s="43">
        <f>$K48*IF(AP$6-$L48&gt;=1,INDEX($X19:$AU19,AP$6-$L48),0)</f>
        <v>25423.7288135593</v>
      </c>
      <c r="AQ48" s="43">
        <f>$K48*IF(AQ$6-$L48&gt;=1,INDEX($X19:$AU19,AQ$6-$L48),0)</f>
        <v>25423.7288135593</v>
      </c>
      <c r="AR48" s="43">
        <f>$K48*IF(AR$6-$L48&gt;=1,INDEX($X19:$AU19,AR$6-$L48),0)</f>
        <v>25423.7288135593</v>
      </c>
      <c r="AS48" s="43">
        <f>$K48*IF(AS$6-$L48&gt;=1,INDEX($X19:$AU19,AS$6-$L48),0)</f>
        <v>25423.7288135593</v>
      </c>
      <c r="AT48" s="43">
        <f>$K48*IF(AT$6-$L48&gt;=1,INDEX($X19:$AU19,AT$6-$L48),0)</f>
        <v>25423.7288135593</v>
      </c>
      <c r="AU48" s="43">
        <f>$K48*IF(AU$6-$L48&gt;=1,INDEX($X19:$AU19,AU$6-$L48),0)</f>
        <v>25423.7288135593</v>
      </c>
      <c r="AV48" s="23">
        <f>SUM(X48:AI48)</f>
        <v>132203.389830508</v>
      </c>
      <c r="AW48" s="23">
        <f>SUM(AJ48:AU48)</f>
        <v>300000</v>
      </c>
      <c r="AX48" s="24">
        <f>$K48*$O19*(1+IF($P19&gt;0,$P19*'8_가정'!$G$27,$P19))</f>
        <v>457627.118644068</v>
      </c>
      <c r="AY48" s="24">
        <f>$K48*$O19*(1+IF($P19&gt;0,$P19*'8_가정'!$G$27,$P19))*(1+IF($Q19&gt;0,$Q19*'8_가정'!$G$27,$Q19))</f>
        <v>640677.966101695</v>
      </c>
      <c r="AZ48" s="24">
        <f>$K48*$O19*(1+IF($P19&gt;0,$P19*'8_가정'!$G$27,$P19))*(1+IF($Q19&gt;0,$Q19*'8_가정'!$G$27,$Q19))*(1+IF($R19&gt;0,$R19*'8_가정'!$G$27,$R19))</f>
        <v>832881.355932203</v>
      </c>
      <c r="BA48" s="25">
        <f>SUM(AV48:AZ48)</f>
        <v>2363389.83050847</v>
      </c>
    </row>
    <row r="49">
      <c r="A49" s="7">
        <f>A20</f>
        <v>11</v>
      </c>
      <c r="B49" s="15" t="str">
        <f>B20</f>
        <v>말레이시아</v>
      </c>
      <c r="C49" s="15" t="str">
        <f>C20</f>
        <v>동남아·APAC</v>
      </c>
      <c r="D49" s="15" t="str">
        <f>D20</f>
        <v>Sunway Sanctuary(PoC / R&amp;D)</v>
      </c>
      <c r="E49" s="15" t="str">
        <f>E20</f>
        <v>기관(직접)</v>
      </c>
      <c r="F49" s="15" t="str">
        <f>F20</f>
        <v>PoC / R&amp;D</v>
      </c>
      <c r="G49" s="15" t="str">
        <f>G20</f>
        <v>PoC</v>
      </c>
      <c r="H49" s="15" t="str">
        <f>H20</f>
        <v>B 등록·입찰·협의 단계</v>
      </c>
      <c r="I49" s="15" t="str">
        <f>I20</f>
        <v>RND</v>
      </c>
      <c r="J49" s="15" t="str">
        <f>J20</f>
        <v>R</v>
      </c>
      <c r="K49" s="68">
        <f>INDEX('8_가정'!$C$17:$E$24,MATCH($G20,'8_가정'!$A$17:$A$24,0),'1_요약'!$C$5)</f>
        <v>0</v>
      </c>
      <c r="L49" s="71">
        <f>IF($T20="Y",INDEX('8_가정'!$F$17:$H$24,MATCH($G20,'8_가정'!$A$17:$A$24,0),'1_요약'!$C$5),0)</f>
        <v>0</v>
      </c>
      <c r="X49" s="43">
        <f>$K49*IF(X$6-$L49&gt;=1,INDEX($X20:$AU20,X$6-$L49),0)</f>
        <v>0</v>
      </c>
      <c r="Y49" s="43">
        <f>$K49*IF(Y$6-$L49&gt;=1,INDEX($X20:$AU20,Y$6-$L49),0)</f>
        <v>0</v>
      </c>
      <c r="Z49" s="43">
        <f>$K49*IF(Z$6-$L49&gt;=1,INDEX($X20:$AU20,Z$6-$L49),0)</f>
        <v>0</v>
      </c>
      <c r="AA49" s="43">
        <f>$K49*IF(AA$6-$L49&gt;=1,INDEX($X20:$AU20,AA$6-$L49),0)</f>
        <v>0</v>
      </c>
      <c r="AB49" s="43">
        <f>$K49*IF(AB$6-$L49&gt;=1,INDEX($X20:$AU20,AB$6-$L49),0)</f>
        <v>0</v>
      </c>
      <c r="AC49" s="43">
        <f>$K49*IF(AC$6-$L49&gt;=1,INDEX($X20:$AU20,AC$6-$L49),0)</f>
        <v>0</v>
      </c>
      <c r="AD49" s="43">
        <f>$K49*IF(AD$6-$L49&gt;=1,INDEX($X20:$AU20,AD$6-$L49),0)</f>
        <v>0</v>
      </c>
      <c r="AE49" s="43">
        <f>$K49*IF(AE$6-$L49&gt;=1,INDEX($X20:$AU20,AE$6-$L49),0)</f>
        <v>0</v>
      </c>
      <c r="AF49" s="43">
        <f>$K49*IF(AF$6-$L49&gt;=1,INDEX($X20:$AU20,AF$6-$L49),0)</f>
        <v>0</v>
      </c>
      <c r="AG49" s="43">
        <f>$K49*IF(AG$6-$L49&gt;=1,INDEX($X20:$AU20,AG$6-$L49),0)</f>
        <v>0</v>
      </c>
      <c r="AH49" s="43">
        <f>$K49*IF(AH$6-$L49&gt;=1,INDEX($X20:$AU20,AH$6-$L49),0)</f>
        <v>0</v>
      </c>
      <c r="AI49" s="43">
        <f>$K49*IF(AI$6-$L49&gt;=1,INDEX($X20:$AU20,AI$6-$L49),0)</f>
        <v>0</v>
      </c>
      <c r="AJ49" s="43">
        <f>$K49*IF(AJ$6-$L49&gt;=1,INDEX($X20:$AU20,AJ$6-$L49),0)</f>
        <v>0</v>
      </c>
      <c r="AK49" s="43">
        <f>$K49*IF(AK$6-$L49&gt;=1,INDEX($X20:$AU20,AK$6-$L49),0)</f>
        <v>0</v>
      </c>
      <c r="AL49" s="43">
        <f>$K49*IF(AL$6-$L49&gt;=1,INDEX($X20:$AU20,AL$6-$L49),0)</f>
        <v>0</v>
      </c>
      <c r="AM49" s="43">
        <f>$K49*IF(AM$6-$L49&gt;=1,INDEX($X20:$AU20,AM$6-$L49),0)</f>
        <v>0</v>
      </c>
      <c r="AN49" s="43">
        <f>$K49*IF(AN$6-$L49&gt;=1,INDEX($X20:$AU20,AN$6-$L49),0)</f>
        <v>0</v>
      </c>
      <c r="AO49" s="43">
        <f>$K49*IF(AO$6-$L49&gt;=1,INDEX($X20:$AU20,AO$6-$L49),0)</f>
        <v>0</v>
      </c>
      <c r="AP49" s="43">
        <f>$K49*IF(AP$6-$L49&gt;=1,INDEX($X20:$AU20,AP$6-$L49),0)</f>
        <v>0</v>
      </c>
      <c r="AQ49" s="43">
        <f>$K49*IF(AQ$6-$L49&gt;=1,INDEX($X20:$AU20,AQ$6-$L49),0)</f>
        <v>0</v>
      </c>
      <c r="AR49" s="43">
        <f>$K49*IF(AR$6-$L49&gt;=1,INDEX($X20:$AU20,AR$6-$L49),0)</f>
        <v>0</v>
      </c>
      <c r="AS49" s="43">
        <f>$K49*IF(AS$6-$L49&gt;=1,INDEX($X20:$AU20,AS$6-$L49),0)</f>
        <v>0</v>
      </c>
      <c r="AT49" s="43">
        <f>$K49*IF(AT$6-$L49&gt;=1,INDEX($X20:$AU20,AT$6-$L49),0)</f>
        <v>0</v>
      </c>
      <c r="AU49" s="43">
        <f>$K49*IF(AU$6-$L49&gt;=1,INDEX($X20:$AU20,AU$6-$L49),0)</f>
        <v>0</v>
      </c>
      <c r="AV49" s="23">
        <f>SUM(X49:AI49)</f>
        <v>0</v>
      </c>
      <c r="AW49" s="23">
        <f>SUM(AJ49:AU49)</f>
        <v>0</v>
      </c>
      <c r="AX49" s="24">
        <f>$K49*$O20*(1+IF($P20&gt;0,$P20*'8_가정'!$G$27,$P20))</f>
        <v>0</v>
      </c>
      <c r="AY49" s="24">
        <f>$K49*$O20*(1+IF($P20&gt;0,$P20*'8_가정'!$G$27,$P20))*(1+IF($Q20&gt;0,$Q20*'8_가정'!$G$27,$Q20))</f>
        <v>0</v>
      </c>
      <c r="AZ49" s="24">
        <f>$K49*$O20*(1+IF($P20&gt;0,$P20*'8_가정'!$G$27,$P20))*(1+IF($Q20&gt;0,$Q20*'8_가정'!$G$27,$Q20))*(1+IF($R20&gt;0,$R20*'8_가정'!$G$27,$R20))</f>
        <v>0</v>
      </c>
      <c r="BA49" s="25">
        <f>SUM(AV49:AZ49)</f>
        <v>0</v>
      </c>
    </row>
    <row r="50">
      <c r="A50" s="7">
        <f>A21</f>
        <v>12</v>
      </c>
      <c r="B50" s="15" t="str">
        <f>B21</f>
        <v>태국</v>
      </c>
      <c r="C50" s="15" t="str">
        <f>C21</f>
        <v>동남아·APAC</v>
      </c>
      <c r="D50" s="15" t="str">
        <f>D21</f>
        <v>Punnita(태국, 베이비)</v>
      </c>
      <c r="E50" s="15" t="str">
        <f>E21</f>
        <v>총판</v>
      </c>
      <c r="F50" s="15" t="str">
        <f>F21</f>
        <v>계약</v>
      </c>
      <c r="G50" s="15" t="str">
        <f>G21</f>
        <v>계약</v>
      </c>
      <c r="H50" s="15" t="str">
        <f>H21</f>
        <v>A 계약·기존 거래</v>
      </c>
      <c r="I50" s="15" t="str">
        <f>I21</f>
        <v>BABY</v>
      </c>
      <c r="J50" s="15" t="str">
        <f>J21</f>
        <v>R</v>
      </c>
      <c r="K50" s="68">
        <f>INDEX('8_가정'!$C$17:$E$24,MATCH($G21,'8_가정'!$A$17:$A$24,0),'1_요약'!$C$5)</f>
        <v>1</v>
      </c>
      <c r="L50" s="71">
        <f>IF($T21="Y",INDEX('8_가정'!$F$17:$H$24,MATCH($G21,'8_가정'!$A$17:$A$24,0),'1_요약'!$C$5),0)</f>
        <v>0</v>
      </c>
      <c r="X50" s="43">
        <f>$K50*IF(X$6-$L50&gt;=1,INDEX($X21:$AU21,X$6-$L50),0)</f>
        <v>0</v>
      </c>
      <c r="Y50" s="43">
        <f>$K50*IF(Y$6-$L50&gt;=1,INDEX($X21:$AU21,Y$6-$L50),0)</f>
        <v>0</v>
      </c>
      <c r="Z50" s="43">
        <f>$K50*IF(Z$6-$L50&gt;=1,INDEX($X21:$AU21,Z$6-$L50),0)</f>
        <v>0</v>
      </c>
      <c r="AA50" s="43">
        <f>$K50*IF(AA$6-$L50&gt;=1,INDEX($X21:$AU21,AA$6-$L50),0)</f>
        <v>0</v>
      </c>
      <c r="AB50" s="43">
        <f>$K50*IF(AB$6-$L50&gt;=1,INDEX($X21:$AU21,AB$6-$L50),0)</f>
        <v>0</v>
      </c>
      <c r="AC50" s="43">
        <f>$K50*IF(AC$6-$L50&gt;=1,INDEX($X21:$AU21,AC$6-$L50),0)</f>
        <v>0</v>
      </c>
      <c r="AD50" s="43">
        <f>$K50*IF(AD$6-$L50&gt;=1,INDEX($X21:$AU21,AD$6-$L50),0)</f>
        <v>0</v>
      </c>
      <c r="AE50" s="43">
        <f>$K50*IF(AE$6-$L50&gt;=1,INDEX($X21:$AU21,AE$6-$L50),0)</f>
        <v>0</v>
      </c>
      <c r="AF50" s="43">
        <f>$K50*IF(AF$6-$L50&gt;=1,INDEX($X21:$AU21,AF$6-$L50),0)</f>
        <v>0</v>
      </c>
      <c r="AG50" s="43">
        <f>$K50*IF(AG$6-$L50&gt;=1,INDEX($X21:$AU21,AG$6-$L50),0)</f>
        <v>0</v>
      </c>
      <c r="AH50" s="43">
        <f>$K50*IF(AH$6-$L50&gt;=1,INDEX($X21:$AU21,AH$6-$L50),0)</f>
        <v>0</v>
      </c>
      <c r="AI50" s="43">
        <f>$K50*IF(AI$6-$L50&gt;=1,INDEX($X21:$AU21,AI$6-$L50),0)</f>
        <v>0</v>
      </c>
      <c r="AJ50" s="43">
        <f>$K50*IF(AJ$6-$L50&gt;=1,INDEX($X21:$AU21,AJ$6-$L50),0)</f>
        <v>0</v>
      </c>
      <c r="AK50" s="43">
        <f>$K50*IF(AK$6-$L50&gt;=1,INDEX($X21:$AU21,AK$6-$L50),0)</f>
        <v>1764.70588235294</v>
      </c>
      <c r="AL50" s="43">
        <f>$K50*IF(AL$6-$L50&gt;=1,INDEX($X21:$AU21,AL$6-$L50),0)</f>
        <v>3529.41176470588</v>
      </c>
      <c r="AM50" s="43">
        <f>$K50*IF(AM$6-$L50&gt;=1,INDEX($X21:$AU21,AM$6-$L50),0)</f>
        <v>5294.11764705882</v>
      </c>
      <c r="AN50" s="43">
        <f>$K50*IF(AN$6-$L50&gt;=1,INDEX($X21:$AU21,AN$6-$L50),0)</f>
        <v>7058.82352941176</v>
      </c>
      <c r="AO50" s="43">
        <f>$K50*IF(AO$6-$L50&gt;=1,INDEX($X21:$AU21,AO$6-$L50),0)</f>
        <v>8823.52941176471</v>
      </c>
      <c r="AP50" s="43">
        <f>$K50*IF(AP$6-$L50&gt;=1,INDEX($X21:$AU21,AP$6-$L50),0)</f>
        <v>10588.2352941176</v>
      </c>
      <c r="AQ50" s="43">
        <f>$K50*IF(AQ$6-$L50&gt;=1,INDEX($X21:$AU21,AQ$6-$L50),0)</f>
        <v>10588.2352941176</v>
      </c>
      <c r="AR50" s="43">
        <f>$K50*IF(AR$6-$L50&gt;=1,INDEX($X21:$AU21,AR$6-$L50),0)</f>
        <v>10588.2352941176</v>
      </c>
      <c r="AS50" s="43">
        <f>$K50*IF(AS$6-$L50&gt;=1,INDEX($X21:$AU21,AS$6-$L50),0)</f>
        <v>10588.2352941176</v>
      </c>
      <c r="AT50" s="43">
        <f>$K50*IF(AT$6-$L50&gt;=1,INDEX($X21:$AU21,AT$6-$L50),0)</f>
        <v>10588.2352941176</v>
      </c>
      <c r="AU50" s="43">
        <f>$K50*IF(AU$6-$L50&gt;=1,INDEX($X21:$AU21,AU$6-$L50),0)</f>
        <v>10588.2352941176</v>
      </c>
      <c r="AV50" s="23">
        <f>SUM(X50:AI50)</f>
        <v>0</v>
      </c>
      <c r="AW50" s="23">
        <f>SUM(AJ50:AU50)</f>
        <v>90000</v>
      </c>
      <c r="AX50" s="24">
        <f>$K50*$O21*(1+IF($P21&gt;0,$P21*'8_가정'!$G$27,$P21))</f>
        <v>254117.647058824</v>
      </c>
      <c r="AY50" s="24">
        <f>$K50*$O21*(1+IF($P21&gt;0,$P21*'8_가정'!$G$27,$P21))*(1+IF($Q21&gt;0,$Q21*'8_가정'!$G$27,$Q21))</f>
        <v>457411.764705882</v>
      </c>
      <c r="AZ50" s="24">
        <f>$K50*$O21*(1+IF($P21&gt;0,$P21*'8_가정'!$G$27,$P21))*(1+IF($Q21&gt;0,$Q21*'8_가정'!$G$27,$Q21))*(1+IF($R21&gt;0,$R21*'8_가정'!$G$27,$R21))</f>
        <v>731858.823529412</v>
      </c>
      <c r="BA50" s="25">
        <f>SUM(AV50:AZ50)</f>
        <v>1533388.23529412</v>
      </c>
    </row>
    <row r="51">
      <c r="A51" s="7">
        <f>A22</f>
        <v>13</v>
      </c>
      <c r="B51" s="15" t="str">
        <f>B22</f>
        <v>대만</v>
      </c>
      <c r="C51" s="15" t="str">
        <f>C22</f>
        <v>동남아·APAC</v>
      </c>
      <c r="D51" s="15" t="str">
        <f>D22</f>
        <v>Littleloft(대만, 베이비)</v>
      </c>
      <c r="E51" s="15" t="str">
        <f>E22</f>
        <v>총판</v>
      </c>
      <c r="F51" s="15" t="str">
        <f>F22</f>
        <v>계약</v>
      </c>
      <c r="G51" s="15" t="str">
        <f>G22</f>
        <v>계약</v>
      </c>
      <c r="H51" s="15" t="str">
        <f>H22</f>
        <v>A 계약·기존 거래</v>
      </c>
      <c r="I51" s="15" t="str">
        <f>I22</f>
        <v>BABY</v>
      </c>
      <c r="J51" s="15" t="str">
        <f>J22</f>
        <v>R</v>
      </c>
      <c r="K51" s="68">
        <f>INDEX('8_가정'!$C$17:$E$24,MATCH($G22,'8_가정'!$A$17:$A$24,0),'1_요약'!$C$5)</f>
        <v>1</v>
      </c>
      <c r="L51" s="71">
        <f>IF($T22="Y",INDEX('8_가정'!$F$17:$H$24,MATCH($G22,'8_가정'!$A$17:$A$24,0),'1_요약'!$C$5),0)</f>
        <v>0</v>
      </c>
      <c r="X51" s="43">
        <f>$K51*IF(X$6-$L51&gt;=1,INDEX($X22:$AU22,X$6-$L51),0)</f>
        <v>0</v>
      </c>
      <c r="Y51" s="43">
        <f>$K51*IF(Y$6-$L51&gt;=1,INDEX($X22:$AU22,Y$6-$L51),0)</f>
        <v>0</v>
      </c>
      <c r="Z51" s="43">
        <f>$K51*IF(Z$6-$L51&gt;=1,INDEX($X22:$AU22,Z$6-$L51),0)</f>
        <v>0</v>
      </c>
      <c r="AA51" s="43">
        <f>$K51*IF(AA$6-$L51&gt;=1,INDEX($X22:$AU22,AA$6-$L51),0)</f>
        <v>0</v>
      </c>
      <c r="AB51" s="43">
        <f>$K51*IF(AB$6-$L51&gt;=1,INDEX($X22:$AU22,AB$6-$L51),0)</f>
        <v>0</v>
      </c>
      <c r="AC51" s="43">
        <f>$K51*IF(AC$6-$L51&gt;=1,INDEX($X22:$AU22,AC$6-$L51),0)</f>
        <v>0</v>
      </c>
      <c r="AD51" s="43">
        <f>$K51*IF(AD$6-$L51&gt;=1,INDEX($X22:$AU22,AD$6-$L51),0)</f>
        <v>0</v>
      </c>
      <c r="AE51" s="43">
        <f>$K51*IF(AE$6-$L51&gt;=1,INDEX($X22:$AU22,AE$6-$L51),0)</f>
        <v>0</v>
      </c>
      <c r="AF51" s="43">
        <f>$K51*IF(AF$6-$L51&gt;=1,INDEX($X22:$AU22,AF$6-$L51),0)</f>
        <v>0</v>
      </c>
      <c r="AG51" s="43">
        <f>$K51*IF(AG$6-$L51&gt;=1,INDEX($X22:$AU22,AG$6-$L51),0)</f>
        <v>0</v>
      </c>
      <c r="AH51" s="43">
        <f>$K51*IF(AH$6-$L51&gt;=1,INDEX($X22:$AU22,AH$6-$L51),0)</f>
        <v>0</v>
      </c>
      <c r="AI51" s="43">
        <f>$K51*IF(AI$6-$L51&gt;=1,INDEX($X22:$AU22,AI$6-$L51),0)</f>
        <v>0</v>
      </c>
      <c r="AJ51" s="43">
        <f>$K51*IF(AJ$6-$L51&gt;=1,INDEX($X22:$AU22,AJ$6-$L51),0)</f>
        <v>0</v>
      </c>
      <c r="AK51" s="43">
        <f>$K51*IF(AK$6-$L51&gt;=1,INDEX($X22:$AU22,AK$6-$L51),0)</f>
        <v>2352.94117647059</v>
      </c>
      <c r="AL51" s="43">
        <f>$K51*IF(AL$6-$L51&gt;=1,INDEX($X22:$AU22,AL$6-$L51),0)</f>
        <v>4705.88235294118</v>
      </c>
      <c r="AM51" s="43">
        <f>$K51*IF(AM$6-$L51&gt;=1,INDEX($X22:$AU22,AM$6-$L51),0)</f>
        <v>7058.82352941177</v>
      </c>
      <c r="AN51" s="43">
        <f>$K51*IF(AN$6-$L51&gt;=1,INDEX($X22:$AU22,AN$6-$L51),0)</f>
        <v>9411.76470588235</v>
      </c>
      <c r="AO51" s="43">
        <f>$K51*IF(AO$6-$L51&gt;=1,INDEX($X22:$AU22,AO$6-$L51),0)</f>
        <v>11764.7058823529</v>
      </c>
      <c r="AP51" s="43">
        <f>$K51*IF(AP$6-$L51&gt;=1,INDEX($X22:$AU22,AP$6-$L51),0)</f>
        <v>14117.6470588235</v>
      </c>
      <c r="AQ51" s="43">
        <f>$K51*IF(AQ$6-$L51&gt;=1,INDEX($X22:$AU22,AQ$6-$L51),0)</f>
        <v>14117.6470588235</v>
      </c>
      <c r="AR51" s="43">
        <f>$K51*IF(AR$6-$L51&gt;=1,INDEX($X22:$AU22,AR$6-$L51),0)</f>
        <v>14117.6470588235</v>
      </c>
      <c r="AS51" s="43">
        <f>$K51*IF(AS$6-$L51&gt;=1,INDEX($X22:$AU22,AS$6-$L51),0)</f>
        <v>14117.6470588235</v>
      </c>
      <c r="AT51" s="43">
        <f>$K51*IF(AT$6-$L51&gt;=1,INDEX($X22:$AU22,AT$6-$L51),0)</f>
        <v>14117.6470588235</v>
      </c>
      <c r="AU51" s="43">
        <f>$K51*IF(AU$6-$L51&gt;=1,INDEX($X22:$AU22,AU$6-$L51),0)</f>
        <v>14117.6470588235</v>
      </c>
      <c r="AV51" s="23">
        <f>SUM(X51:AI51)</f>
        <v>0</v>
      </c>
      <c r="AW51" s="23">
        <f>SUM(AJ51:AU51)</f>
        <v>120000</v>
      </c>
      <c r="AX51" s="24">
        <f>$K51*$O22*(1+IF($P22&gt;0,$P22*'8_가정'!$G$27,$P22))</f>
        <v>338823.529411765</v>
      </c>
      <c r="AY51" s="24">
        <f>$K51*$O22*(1+IF($P22&gt;0,$P22*'8_가정'!$G$27,$P22))*(1+IF($Q22&gt;0,$Q22*'8_가정'!$G$27,$Q22))</f>
        <v>609882.352941177</v>
      </c>
      <c r="AZ51" s="24">
        <f>$K51*$O22*(1+IF($P22&gt;0,$P22*'8_가정'!$G$27,$P22))*(1+IF($Q22&gt;0,$Q22*'8_가정'!$G$27,$Q22))*(1+IF($R22&gt;0,$R22*'8_가정'!$G$27,$R22))</f>
        <v>975811.764705882</v>
      </c>
      <c r="BA51" s="25">
        <f>SUM(AV51:AZ51)</f>
        <v>2044517.64705882</v>
      </c>
    </row>
    <row r="52">
      <c r="A52" s="7">
        <f>A23</f>
        <v>14</v>
      </c>
      <c r="B52" s="15" t="str">
        <f>B23</f>
        <v>네덜란드</v>
      </c>
      <c r="C52" s="15" t="str">
        <f>C23</f>
        <v>유럽</v>
      </c>
      <c r="D52" s="15" t="str">
        <f>D23</f>
        <v>GIV(네덜란드; IR 지도 표기 GISI Distribution)</v>
      </c>
      <c r="E52" s="15" t="str">
        <f>E23</f>
        <v>총판</v>
      </c>
      <c r="F52" s="15" t="str">
        <f>F23</f>
        <v>계약</v>
      </c>
      <c r="G52" s="15" t="str">
        <f>G23</f>
        <v>계약</v>
      </c>
      <c r="H52" s="15" t="str">
        <f>H23</f>
        <v>A 계약·기존 거래</v>
      </c>
      <c r="I52" s="15" t="str">
        <f>I23</f>
        <v>DIST</v>
      </c>
      <c r="J52" s="15" t="str">
        <f>J23</f>
        <v>R</v>
      </c>
      <c r="K52" s="68">
        <f>INDEX('8_가정'!$C$17:$E$24,MATCH($G23,'8_가정'!$A$17:$A$24,0),'1_요약'!$C$5)</f>
        <v>1</v>
      </c>
      <c r="L52" s="71">
        <f>IF($T23="Y",INDEX('8_가정'!$F$17:$H$24,MATCH($G23,'8_가정'!$A$17:$A$24,0),'1_요약'!$C$5),0)</f>
        <v>0</v>
      </c>
      <c r="X52" s="43">
        <f>$K52*IF(X$6-$L52&gt;=1,INDEX($X23:$AU23,X$6-$L52),0)</f>
        <v>0</v>
      </c>
      <c r="Y52" s="43">
        <f>$K52*IF(Y$6-$L52&gt;=1,INDEX($X23:$AU23,Y$6-$L52),0)</f>
        <v>0</v>
      </c>
      <c r="Z52" s="43">
        <f>$K52*IF(Z$6-$L52&gt;=1,INDEX($X23:$AU23,Z$6-$L52),0)</f>
        <v>0</v>
      </c>
      <c r="AA52" s="43">
        <f>$K52*IF(AA$6-$L52&gt;=1,INDEX($X23:$AU23,AA$6-$L52),0)</f>
        <v>0</v>
      </c>
      <c r="AB52" s="43">
        <f>$K52*IF(AB$6-$L52&gt;=1,INDEX($X23:$AU23,AB$6-$L52),0)</f>
        <v>0</v>
      </c>
      <c r="AC52" s="43">
        <f>$K52*IF(AC$6-$L52&gt;=1,INDEX($X23:$AU23,AC$6-$L52),0)</f>
        <v>0</v>
      </c>
      <c r="AD52" s="43">
        <f>$K52*IF(AD$6-$L52&gt;=1,INDEX($X23:$AU23,AD$6-$L52),0)</f>
        <v>0</v>
      </c>
      <c r="AE52" s="43">
        <f>$K52*IF(AE$6-$L52&gt;=1,INDEX($X23:$AU23,AE$6-$L52),0)</f>
        <v>0</v>
      </c>
      <c r="AF52" s="43">
        <f>$K52*IF(AF$6-$L52&gt;=1,INDEX($X23:$AU23,AF$6-$L52),0)</f>
        <v>0</v>
      </c>
      <c r="AG52" s="43">
        <f>$K52*IF(AG$6-$L52&gt;=1,INDEX($X23:$AU23,AG$6-$L52),0)</f>
        <v>0</v>
      </c>
      <c r="AH52" s="43">
        <f>$K52*IF(AH$6-$L52&gt;=1,INDEX($X23:$AU23,AH$6-$L52),0)</f>
        <v>0</v>
      </c>
      <c r="AI52" s="43">
        <f>$K52*IF(AI$6-$L52&gt;=1,INDEX($X23:$AU23,AI$6-$L52),0)</f>
        <v>0</v>
      </c>
      <c r="AJ52" s="43">
        <f>$K52*IF(AJ$6-$L52&gt;=1,INDEX($X23:$AU23,AJ$6-$L52),0)</f>
        <v>0</v>
      </c>
      <c r="AK52" s="43">
        <f>$K52*IF(AK$6-$L52&gt;=1,INDEX($X23:$AU23,AK$6-$L52),0)</f>
        <v>1960.78431372549</v>
      </c>
      <c r="AL52" s="43">
        <f>$K52*IF(AL$6-$L52&gt;=1,INDEX($X23:$AU23,AL$6-$L52),0)</f>
        <v>3921.56862745098</v>
      </c>
      <c r="AM52" s="43">
        <f>$K52*IF(AM$6-$L52&gt;=1,INDEX($X23:$AU23,AM$6-$L52),0)</f>
        <v>5882.35294117647</v>
      </c>
      <c r="AN52" s="43">
        <f>$K52*IF(AN$6-$L52&gt;=1,INDEX($X23:$AU23,AN$6-$L52),0)</f>
        <v>7843.13725490196</v>
      </c>
      <c r="AO52" s="43">
        <f>$K52*IF(AO$6-$L52&gt;=1,INDEX($X23:$AU23,AO$6-$L52),0)</f>
        <v>9803.92156862745</v>
      </c>
      <c r="AP52" s="43">
        <f>$K52*IF(AP$6-$L52&gt;=1,INDEX($X23:$AU23,AP$6-$L52),0)</f>
        <v>11764.7058823529</v>
      </c>
      <c r="AQ52" s="43">
        <f>$K52*IF(AQ$6-$L52&gt;=1,INDEX($X23:$AU23,AQ$6-$L52),0)</f>
        <v>11764.7058823529</v>
      </c>
      <c r="AR52" s="43">
        <f>$K52*IF(AR$6-$L52&gt;=1,INDEX($X23:$AU23,AR$6-$L52),0)</f>
        <v>11764.7058823529</v>
      </c>
      <c r="AS52" s="43">
        <f>$K52*IF(AS$6-$L52&gt;=1,INDEX($X23:$AU23,AS$6-$L52),0)</f>
        <v>11764.7058823529</v>
      </c>
      <c r="AT52" s="43">
        <f>$K52*IF(AT$6-$L52&gt;=1,INDEX($X23:$AU23,AT$6-$L52),0)</f>
        <v>11764.7058823529</v>
      </c>
      <c r="AU52" s="43">
        <f>$K52*IF(AU$6-$L52&gt;=1,INDEX($X23:$AU23,AU$6-$L52),0)</f>
        <v>11764.7058823529</v>
      </c>
      <c r="AV52" s="23">
        <f>SUM(X52:AI52)</f>
        <v>0</v>
      </c>
      <c r="AW52" s="23">
        <f>SUM(AJ52:AU52)</f>
        <v>100000</v>
      </c>
      <c r="AX52" s="24">
        <f>$K52*$O23*(1+IF($P23&gt;0,$P23*'8_가정'!$G$27,$P23))</f>
        <v>282352.941176471</v>
      </c>
      <c r="AY52" s="24">
        <f>$K52*$O23*(1+IF($P23&gt;0,$P23*'8_가정'!$G$27,$P23))*(1+IF($Q23&gt;0,$Q23*'8_가정'!$G$27,$Q23))</f>
        <v>508235.294117647</v>
      </c>
      <c r="AZ52" s="24">
        <f>$K52*$O23*(1+IF($P23&gt;0,$P23*'8_가정'!$G$27,$P23))*(1+IF($Q23&gt;0,$Q23*'8_가정'!$G$27,$Q23))*(1+IF($R23&gt;0,$R23*'8_가정'!$G$27,$R23))</f>
        <v>813176.470588235</v>
      </c>
      <c r="BA52" s="25">
        <f>SUM(AV52:AZ52)</f>
        <v>1703764.70588235</v>
      </c>
    </row>
    <row r="53">
      <c r="A53" s="7">
        <f>A24</f>
        <v>15</v>
      </c>
      <c r="B53" s="15" t="str">
        <f>B24</f>
        <v>스페인</v>
      </c>
      <c r="C53" s="15" t="str">
        <f>C24</f>
        <v>유럽</v>
      </c>
      <c r="D53" s="15" t="str">
        <f>D24</f>
        <v>NEUCA(스페인)</v>
      </c>
      <c r="E53" s="15" t="str">
        <f>E24</f>
        <v>총판</v>
      </c>
      <c r="F53" s="15" t="str">
        <f>F24</f>
        <v>접촉</v>
      </c>
      <c r="G53" s="15" t="str">
        <f>G24</f>
        <v>접촉</v>
      </c>
      <c r="H53" s="15" t="str">
        <f>H24</f>
        <v>B 등록·입찰·협의 단계</v>
      </c>
      <c r="I53" s="15" t="str">
        <f>I24</f>
        <v>DIST</v>
      </c>
      <c r="J53" s="15" t="str">
        <f>J24</f>
        <v>R</v>
      </c>
      <c r="K53" s="68">
        <f>INDEX('8_가정'!$C$17:$E$24,MATCH($G24,'8_가정'!$A$17:$A$24,0),'1_요약'!$C$5)</f>
        <v>1</v>
      </c>
      <c r="L53" s="71">
        <f>IF($T24="Y",INDEX('8_가정'!$F$17:$H$24,MATCH($G24,'8_가정'!$A$17:$A$24,0),'1_요약'!$C$5),0)</f>
        <v>0</v>
      </c>
      <c r="X53" s="43">
        <f>$K53*IF(X$6-$L53&gt;=1,INDEX($X24:$AU24,X$6-$L53),0)</f>
        <v>0</v>
      </c>
      <c r="Y53" s="43">
        <f>$K53*IF(Y$6-$L53&gt;=1,INDEX($X24:$AU24,Y$6-$L53),0)</f>
        <v>0</v>
      </c>
      <c r="Z53" s="43">
        <f>$K53*IF(Z$6-$L53&gt;=1,INDEX($X24:$AU24,Z$6-$L53),0)</f>
        <v>0</v>
      </c>
      <c r="AA53" s="43">
        <f>$K53*IF(AA$6-$L53&gt;=1,INDEX($X24:$AU24,AA$6-$L53),0)</f>
        <v>0</v>
      </c>
      <c r="AB53" s="43">
        <f>$K53*IF(AB$6-$L53&gt;=1,INDEX($X24:$AU24,AB$6-$L53),0)</f>
        <v>0</v>
      </c>
      <c r="AC53" s="43">
        <f>$K53*IF(AC$6-$L53&gt;=1,INDEX($X24:$AU24,AC$6-$L53),0)</f>
        <v>0</v>
      </c>
      <c r="AD53" s="43">
        <f>$K53*IF(AD$6-$L53&gt;=1,INDEX($X24:$AU24,AD$6-$L53),0)</f>
        <v>0</v>
      </c>
      <c r="AE53" s="43">
        <f>$K53*IF(AE$6-$L53&gt;=1,INDEX($X24:$AU24,AE$6-$L53),0)</f>
        <v>0</v>
      </c>
      <c r="AF53" s="43">
        <f>$K53*IF(AF$6-$L53&gt;=1,INDEX($X24:$AU24,AF$6-$L53),0)</f>
        <v>0</v>
      </c>
      <c r="AG53" s="43">
        <f>$K53*IF(AG$6-$L53&gt;=1,INDEX($X24:$AU24,AG$6-$L53),0)</f>
        <v>0</v>
      </c>
      <c r="AH53" s="43">
        <f>$K53*IF(AH$6-$L53&gt;=1,INDEX($X24:$AU24,AH$6-$L53),0)</f>
        <v>0</v>
      </c>
      <c r="AI53" s="43">
        <f>$K53*IF(AI$6-$L53&gt;=1,INDEX($X24:$AU24,AI$6-$L53),0)</f>
        <v>0</v>
      </c>
      <c r="AJ53" s="43">
        <f>$K53*IF(AJ$6-$L53&gt;=1,INDEX($X24:$AU24,AJ$6-$L53),0)</f>
        <v>0</v>
      </c>
      <c r="AK53" s="43">
        <f>$K53*IF(AK$6-$L53&gt;=1,INDEX($X24:$AU24,AK$6-$L53),0)</f>
        <v>1960.78431372549</v>
      </c>
      <c r="AL53" s="43">
        <f>$K53*IF(AL$6-$L53&gt;=1,INDEX($X24:$AU24,AL$6-$L53),0)</f>
        <v>3921.56862745098</v>
      </c>
      <c r="AM53" s="43">
        <f>$K53*IF(AM$6-$L53&gt;=1,INDEX($X24:$AU24,AM$6-$L53),0)</f>
        <v>5882.35294117647</v>
      </c>
      <c r="AN53" s="43">
        <f>$K53*IF(AN$6-$L53&gt;=1,INDEX($X24:$AU24,AN$6-$L53),0)</f>
        <v>7843.13725490196</v>
      </c>
      <c r="AO53" s="43">
        <f>$K53*IF(AO$6-$L53&gt;=1,INDEX($X24:$AU24,AO$6-$L53),0)</f>
        <v>9803.92156862745</v>
      </c>
      <c r="AP53" s="43">
        <f>$K53*IF(AP$6-$L53&gt;=1,INDEX($X24:$AU24,AP$6-$L53),0)</f>
        <v>11764.7058823529</v>
      </c>
      <c r="AQ53" s="43">
        <f>$K53*IF(AQ$6-$L53&gt;=1,INDEX($X24:$AU24,AQ$6-$L53),0)</f>
        <v>11764.7058823529</v>
      </c>
      <c r="AR53" s="43">
        <f>$K53*IF(AR$6-$L53&gt;=1,INDEX($X24:$AU24,AR$6-$L53),0)</f>
        <v>11764.7058823529</v>
      </c>
      <c r="AS53" s="43">
        <f>$K53*IF(AS$6-$L53&gt;=1,INDEX($X24:$AU24,AS$6-$L53),0)</f>
        <v>11764.7058823529</v>
      </c>
      <c r="AT53" s="43">
        <f>$K53*IF(AT$6-$L53&gt;=1,INDEX($X24:$AU24,AT$6-$L53),0)</f>
        <v>11764.7058823529</v>
      </c>
      <c r="AU53" s="43">
        <f>$K53*IF(AU$6-$L53&gt;=1,INDEX($X24:$AU24,AU$6-$L53),0)</f>
        <v>11764.7058823529</v>
      </c>
      <c r="AV53" s="23">
        <f>SUM(X53:AI53)</f>
        <v>0</v>
      </c>
      <c r="AW53" s="23">
        <f>SUM(AJ53:AU53)</f>
        <v>100000</v>
      </c>
      <c r="AX53" s="24">
        <f>$K53*$O24*(1+IF($P24&gt;0,$P24*'8_가정'!$G$27,$P24))</f>
        <v>282352.941176471</v>
      </c>
      <c r="AY53" s="24">
        <f>$K53*$O24*(1+IF($P24&gt;0,$P24*'8_가정'!$G$27,$P24))*(1+IF($Q24&gt;0,$Q24*'8_가정'!$G$27,$Q24))</f>
        <v>508235.294117647</v>
      </c>
      <c r="AZ53" s="24">
        <f>$K53*$O24*(1+IF($P24&gt;0,$P24*'8_가정'!$G$27,$P24))*(1+IF($Q24&gt;0,$Q24*'8_가정'!$G$27,$Q24))*(1+IF($R24&gt;0,$R24*'8_가정'!$G$27,$R24))</f>
        <v>813176.470588235</v>
      </c>
      <c r="BA53" s="25">
        <f>SUM(AV53:AZ53)</f>
        <v>1703764.70588235</v>
      </c>
    </row>
    <row r="54">
      <c r="A54" s="7">
        <f>A25</f>
        <v>16</v>
      </c>
      <c r="B54" s="15" t="str">
        <f>B25</f>
        <v>호주</v>
      </c>
      <c r="C54" s="15" t="str">
        <f>C25</f>
        <v>동남아·APAC</v>
      </c>
      <c r="D54" s="15" t="str">
        <f>D25</f>
        <v>Healthbeat(호주)</v>
      </c>
      <c r="E54" s="15" t="str">
        <f>E25</f>
        <v>총판</v>
      </c>
      <c r="F54" s="15" t="str">
        <f>F25</f>
        <v>계약</v>
      </c>
      <c r="G54" s="15" t="str">
        <f>G25</f>
        <v>계약</v>
      </c>
      <c r="H54" s="15" t="str">
        <f>H25</f>
        <v>A 계약·기존 거래</v>
      </c>
      <c r="I54" s="15" t="str">
        <f>I25</f>
        <v>DIST</v>
      </c>
      <c r="J54" s="15" t="str">
        <f>J25</f>
        <v>R</v>
      </c>
      <c r="K54" s="68">
        <f>INDEX('8_가정'!$C$17:$E$24,MATCH($G25,'8_가정'!$A$17:$A$24,0),'1_요약'!$C$5)</f>
        <v>1</v>
      </c>
      <c r="L54" s="71">
        <f>IF($T25="Y",INDEX('8_가정'!$F$17:$H$24,MATCH($G25,'8_가정'!$A$17:$A$24,0),'1_요약'!$C$5),0)</f>
        <v>0</v>
      </c>
      <c r="X54" s="43">
        <f>$K54*IF(X$6-$L54&gt;=1,INDEX($X25:$AU25,X$6-$L54),0)</f>
        <v>0</v>
      </c>
      <c r="Y54" s="43">
        <f>$K54*IF(Y$6-$L54&gt;=1,INDEX($X25:$AU25,Y$6-$L54),0)</f>
        <v>0</v>
      </c>
      <c r="Z54" s="43">
        <f>$K54*IF(Z$6-$L54&gt;=1,INDEX($X25:$AU25,Z$6-$L54),0)</f>
        <v>0</v>
      </c>
      <c r="AA54" s="43">
        <f>$K54*IF(AA$6-$L54&gt;=1,INDEX($X25:$AU25,AA$6-$L54),0)</f>
        <v>0</v>
      </c>
      <c r="AB54" s="43">
        <f>$K54*IF(AB$6-$L54&gt;=1,INDEX($X25:$AU25,AB$6-$L54),0)</f>
        <v>0</v>
      </c>
      <c r="AC54" s="43">
        <f>$K54*IF(AC$6-$L54&gt;=1,INDEX($X25:$AU25,AC$6-$L54),0)</f>
        <v>0</v>
      </c>
      <c r="AD54" s="43">
        <f>$K54*IF(AD$6-$L54&gt;=1,INDEX($X25:$AU25,AD$6-$L54),0)</f>
        <v>0</v>
      </c>
      <c r="AE54" s="43">
        <f>$K54*IF(AE$6-$L54&gt;=1,INDEX($X25:$AU25,AE$6-$L54),0)</f>
        <v>0</v>
      </c>
      <c r="AF54" s="43">
        <f>$K54*IF(AF$6-$L54&gt;=1,INDEX($X25:$AU25,AF$6-$L54),0)</f>
        <v>0</v>
      </c>
      <c r="AG54" s="43">
        <f>$K54*IF(AG$6-$L54&gt;=1,INDEX($X25:$AU25,AG$6-$L54),0)</f>
        <v>0</v>
      </c>
      <c r="AH54" s="43">
        <f>$K54*IF(AH$6-$L54&gt;=1,INDEX($X25:$AU25,AH$6-$L54),0)</f>
        <v>0</v>
      </c>
      <c r="AI54" s="43">
        <f>$K54*IF(AI$6-$L54&gt;=1,INDEX($X25:$AU25,AI$6-$L54),0)</f>
        <v>0</v>
      </c>
      <c r="AJ54" s="43">
        <f>$K54*IF(AJ$6-$L54&gt;=1,INDEX($X25:$AU25,AJ$6-$L54),0)</f>
        <v>0</v>
      </c>
      <c r="AK54" s="43">
        <f>$K54*IF(AK$6-$L54&gt;=1,INDEX($X25:$AU25,AK$6-$L54),0)</f>
        <v>2352.94117647059</v>
      </c>
      <c r="AL54" s="43">
        <f>$K54*IF(AL$6-$L54&gt;=1,INDEX($X25:$AU25,AL$6-$L54),0)</f>
        <v>4705.88235294118</v>
      </c>
      <c r="AM54" s="43">
        <f>$K54*IF(AM$6-$L54&gt;=1,INDEX($X25:$AU25,AM$6-$L54),0)</f>
        <v>7058.82352941177</v>
      </c>
      <c r="AN54" s="43">
        <f>$K54*IF(AN$6-$L54&gt;=1,INDEX($X25:$AU25,AN$6-$L54),0)</f>
        <v>9411.76470588235</v>
      </c>
      <c r="AO54" s="43">
        <f>$K54*IF(AO$6-$L54&gt;=1,INDEX($X25:$AU25,AO$6-$L54),0)</f>
        <v>11764.7058823529</v>
      </c>
      <c r="AP54" s="43">
        <f>$K54*IF(AP$6-$L54&gt;=1,INDEX($X25:$AU25,AP$6-$L54),0)</f>
        <v>14117.6470588235</v>
      </c>
      <c r="AQ54" s="43">
        <f>$K54*IF(AQ$6-$L54&gt;=1,INDEX($X25:$AU25,AQ$6-$L54),0)</f>
        <v>14117.6470588235</v>
      </c>
      <c r="AR54" s="43">
        <f>$K54*IF(AR$6-$L54&gt;=1,INDEX($X25:$AU25,AR$6-$L54),0)</f>
        <v>14117.6470588235</v>
      </c>
      <c r="AS54" s="43">
        <f>$K54*IF(AS$6-$L54&gt;=1,INDEX($X25:$AU25,AS$6-$L54),0)</f>
        <v>14117.6470588235</v>
      </c>
      <c r="AT54" s="43">
        <f>$K54*IF(AT$6-$L54&gt;=1,INDEX($X25:$AU25,AT$6-$L54),0)</f>
        <v>14117.6470588235</v>
      </c>
      <c r="AU54" s="43">
        <f>$K54*IF(AU$6-$L54&gt;=1,INDEX($X25:$AU25,AU$6-$L54),0)</f>
        <v>14117.6470588235</v>
      </c>
      <c r="AV54" s="23">
        <f>SUM(X54:AI54)</f>
        <v>0</v>
      </c>
      <c r="AW54" s="23">
        <f>SUM(AJ54:AU54)</f>
        <v>120000</v>
      </c>
      <c r="AX54" s="24">
        <f>$K54*$O25*(1+IF($P25&gt;0,$P25*'8_가정'!$G$27,$P25))</f>
        <v>338823.529411765</v>
      </c>
      <c r="AY54" s="24">
        <f>$K54*$O25*(1+IF($P25&gt;0,$P25*'8_가정'!$G$27,$P25))*(1+IF($Q25&gt;0,$Q25*'8_가정'!$G$27,$Q25))</f>
        <v>609882.352941177</v>
      </c>
      <c r="AZ54" s="24">
        <f>$K54*$O25*(1+IF($P25&gt;0,$P25*'8_가정'!$G$27,$P25))*(1+IF($Q25&gt;0,$Q25*'8_가정'!$G$27,$Q25))*(1+IF($R25&gt;0,$R25*'8_가정'!$G$27,$R25))</f>
        <v>975811.764705882</v>
      </c>
      <c r="BA54" s="25">
        <f>SUM(AV54:AZ54)</f>
        <v>2044517.64705882</v>
      </c>
    </row>
    <row r="55">
      <c r="A55" s="7">
        <f>A26</f>
        <v>17</v>
      </c>
      <c r="B55" s="15" t="str">
        <f>B26</f>
        <v>한국·해외</v>
      </c>
      <c r="C55" s="15" t="str">
        <f>C26</f>
        <v>기존 소액·기타</v>
      </c>
      <c r="D55" s="15" t="str">
        <f>D26</f>
        <v>기존 소액 거래처·기타(2025 매출 기반, 거래처별 실적 확정 시 교체)</v>
      </c>
      <c r="E55" s="15" t="str">
        <f>E26</f>
        <v>기타</v>
      </c>
      <c r="F55" s="15" t="str">
        <f>F26</f>
        <v>-</v>
      </c>
      <c r="G55" s="15" t="str">
        <f>G26</f>
        <v>기존</v>
      </c>
      <c r="H55" s="15" t="str">
        <f>H26</f>
        <v>A 계약·기존 거래</v>
      </c>
      <c r="I55" s="15" t="str">
        <f>I26</f>
        <v>SUB</v>
      </c>
      <c r="J55" s="15" t="str">
        <f>J26</f>
        <v>X</v>
      </c>
      <c r="K55" s="68">
        <f>INDEX('8_가정'!$C$17:$E$24,MATCH($G26,'8_가정'!$A$17:$A$24,0),'1_요약'!$C$5)</f>
        <v>1</v>
      </c>
      <c r="L55" s="71">
        <f>IF($T26="Y",INDEX('8_가정'!$F$17:$H$24,MATCH($G26,'8_가정'!$A$17:$A$24,0),'1_요약'!$C$5),0)</f>
        <v>0</v>
      </c>
      <c r="X55" s="43">
        <f>$K55*IF(X$6-$L55&gt;=1,INDEX($X26:$AU26,X$6-$L55),0)</f>
        <v>8861.80746121423</v>
      </c>
      <c r="Y55" s="43">
        <f>$K55*IF(Y$6-$L55&gt;=1,INDEX($X26:$AU26,Y$6-$L55),0)</f>
        <v>8861.80746121423</v>
      </c>
      <c r="Z55" s="43">
        <f>$K55*IF(Z$6-$L55&gt;=1,INDEX($X26:$AU26,Z$6-$L55),0)</f>
        <v>8861.80746121423</v>
      </c>
      <c r="AA55" s="43">
        <f>$K55*IF(AA$6-$L55&gt;=1,INDEX($X26:$AU26,AA$6-$L55),0)</f>
        <v>8861.80746121423</v>
      </c>
      <c r="AB55" s="43">
        <f>$K55*IF(AB$6-$L55&gt;=1,INDEX($X26:$AU26,AB$6-$L55),0)</f>
        <v>8861.80746121423</v>
      </c>
      <c r="AC55" s="43">
        <f>$K55*IF(AC$6-$L55&gt;=1,INDEX($X26:$AU26,AC$6-$L55),0)</f>
        <v>8861.80746121423</v>
      </c>
      <c r="AD55" s="43">
        <f>$K55*IF(AD$6-$L55&gt;=1,INDEX($X26:$AU26,AD$6-$L55),0)</f>
        <v>8861.80746121423</v>
      </c>
      <c r="AE55" s="43">
        <f>$K55*IF(AE$6-$L55&gt;=1,INDEX($X26:$AU26,AE$6-$L55),0)</f>
        <v>8861.80746121423</v>
      </c>
      <c r="AF55" s="43">
        <f>$K55*IF(AF$6-$L55&gt;=1,INDEX($X26:$AU26,AF$6-$L55),0)</f>
        <v>8861.80746121423</v>
      </c>
      <c r="AG55" s="43">
        <f>$K55*IF(AG$6-$L55&gt;=1,INDEX($X26:$AU26,AG$6-$L55),0)</f>
        <v>8861.80746121423</v>
      </c>
      <c r="AH55" s="43">
        <f>$K55*IF(AH$6-$L55&gt;=1,INDEX($X26:$AU26,AH$6-$L55),0)</f>
        <v>8861.80746121423</v>
      </c>
      <c r="AI55" s="43">
        <f>$K55*IF(AI$6-$L55&gt;=1,INDEX($X26:$AU26,AI$6-$L55),0)</f>
        <v>8861.80746121423</v>
      </c>
      <c r="AJ55" s="43">
        <f>$K55*IF(AJ$6-$L55&gt;=1,INDEX($X26:$AU26,AJ$6-$L55),0)</f>
        <v>0</v>
      </c>
      <c r="AK55" s="43">
        <f>$K55*IF(AK$6-$L55&gt;=1,INDEX($X26:$AU26,AK$6-$L55),0)</f>
        <v>0</v>
      </c>
      <c r="AL55" s="43">
        <f>$K55*IF(AL$6-$L55&gt;=1,INDEX($X26:$AU26,AL$6-$L55),0)</f>
        <v>0</v>
      </c>
      <c r="AM55" s="43">
        <f>$K55*IF(AM$6-$L55&gt;=1,INDEX($X26:$AU26,AM$6-$L55),0)</f>
        <v>0</v>
      </c>
      <c r="AN55" s="43">
        <f>$K55*IF(AN$6-$L55&gt;=1,INDEX($X26:$AU26,AN$6-$L55),0)</f>
        <v>0</v>
      </c>
      <c r="AO55" s="43">
        <f>$K55*IF(AO$6-$L55&gt;=1,INDEX($X26:$AU26,AO$6-$L55),0)</f>
        <v>0</v>
      </c>
      <c r="AP55" s="43">
        <f>$K55*IF(AP$6-$L55&gt;=1,INDEX($X26:$AU26,AP$6-$L55),0)</f>
        <v>0</v>
      </c>
      <c r="AQ55" s="43">
        <f>$K55*IF(AQ$6-$L55&gt;=1,INDEX($X26:$AU26,AQ$6-$L55),0)</f>
        <v>0</v>
      </c>
      <c r="AR55" s="43">
        <f>$K55*IF(AR$6-$L55&gt;=1,INDEX($X26:$AU26,AR$6-$L55),0)</f>
        <v>0</v>
      </c>
      <c r="AS55" s="43">
        <f>$K55*IF(AS$6-$L55&gt;=1,INDEX($X26:$AU26,AS$6-$L55),0)</f>
        <v>0</v>
      </c>
      <c r="AT55" s="43">
        <f>$K55*IF(AT$6-$L55&gt;=1,INDEX($X26:$AU26,AT$6-$L55),0)</f>
        <v>0</v>
      </c>
      <c r="AU55" s="43">
        <f>$K55*IF(AU$6-$L55&gt;=1,INDEX($X26:$AU26,AU$6-$L55),0)</f>
        <v>0</v>
      </c>
      <c r="AV55" s="23">
        <f>SUM(X55:AI55)</f>
        <v>106341.689534571</v>
      </c>
      <c r="AW55" s="23">
        <f>SUM(AJ55:AU55)</f>
        <v>0</v>
      </c>
      <c r="AX55" s="45" t="n">
        <v>0</v>
      </c>
      <c r="AY55" s="45" t="n">
        <v>0</v>
      </c>
      <c r="AZ55" s="45" t="n">
        <v>0</v>
      </c>
      <c r="BA55" s="25">
        <f>SUM(AV55:AZ55)</f>
        <v>106341.689534571</v>
      </c>
    </row>
    <row r="56">
      <c r="A56" s="7">
        <f>A27</f>
        <v>18</v>
      </c>
      <c r="B56" s="15" t="str">
        <f>B27</f>
        <v>일본</v>
      </c>
      <c r="C56" s="15" t="str">
        <f>C27</f>
        <v>일본</v>
      </c>
      <c r="D56" s="15" t="str">
        <f>D27</f>
        <v>일본 신규 시설·재가 채널(HeartKium·TAIS 외 직접 도입)</v>
      </c>
      <c r="E56" s="15" t="str">
        <f>E27</f>
        <v>신규 파이프라인</v>
      </c>
      <c r="F56" s="15" t="str">
        <f>F27</f>
        <v>-</v>
      </c>
      <c r="G56" s="15" t="str">
        <f>G27</f>
        <v>신규</v>
      </c>
      <c r="H56" s="15" t="str">
        <f>H27</f>
        <v>C 신규 파이프라인(미확정)</v>
      </c>
      <c r="I56" s="15" t="str">
        <f>I27</f>
        <v>COH</v>
      </c>
      <c r="J56" s="15" t="str">
        <f>J27</f>
        <v>C</v>
      </c>
      <c r="K56" s="68">
        <f>INDEX('8_가정'!$C$17:$E$24,MATCH($G27,'8_가정'!$A$17:$A$24,0),'1_요약'!$C$5)</f>
        <v>1</v>
      </c>
      <c r="L56" s="8" t="n">
        <v>0</v>
      </c>
      <c r="X56" s="43">
        <f>$K56*IF(X$6-$L56&gt;=1,INDEX($X27:$AU27,X$6-$L56),0)</f>
        <v>0</v>
      </c>
      <c r="Y56" s="43">
        <f>$K56*IF(Y$6-$L56&gt;=1,INDEX($X27:$AU27,Y$6-$L56),0)</f>
        <v>0</v>
      </c>
      <c r="Z56" s="43">
        <f>$K56*IF(Z$6-$L56&gt;=1,INDEX($X27:$AU27,Z$6-$L56),0)</f>
        <v>0</v>
      </c>
      <c r="AA56" s="43">
        <f>$K56*IF(AA$6-$L56&gt;=1,INDEX($X27:$AU27,AA$6-$L56),0)</f>
        <v>0</v>
      </c>
      <c r="AB56" s="43">
        <f>$K56*IF(AB$6-$L56&gt;=1,INDEX($X27:$AU27,AB$6-$L56),0)</f>
        <v>0</v>
      </c>
      <c r="AC56" s="43">
        <f>$K56*IF(AC$6-$L56&gt;=1,INDEX($X27:$AU27,AC$6-$L56),0)</f>
        <v>0</v>
      </c>
      <c r="AD56" s="43">
        <f>$K56*IF(AD$6-$L56&gt;=1,INDEX($X27:$AU27,AD$6-$L56),0)</f>
        <v>0</v>
      </c>
      <c r="AE56" s="43">
        <f>$K56*IF(AE$6-$L56&gt;=1,INDEX($X27:$AU27,AE$6-$L56),0)</f>
        <v>0</v>
      </c>
      <c r="AF56" s="43">
        <f>$K56*IF(AF$6-$L56&gt;=1,INDEX($X27:$AU27,AF$6-$L56),0)</f>
        <v>0</v>
      </c>
      <c r="AG56" s="43">
        <f>$K56*IF(AG$6-$L56&gt;=1,INDEX($X27:$AU27,AG$6-$L56),0)</f>
        <v>0</v>
      </c>
      <c r="AH56" s="43">
        <f>$K56*IF(AH$6-$L56&gt;=1,INDEX($X27:$AU27,AH$6-$L56),0)</f>
        <v>0</v>
      </c>
      <c r="AI56" s="43">
        <f>$K56*IF(AI$6-$L56&gt;=1,INDEX($X27:$AU27,AI$6-$L56),0)</f>
        <v>0</v>
      </c>
      <c r="AJ56" s="43">
        <f>$K56*IF(AJ$6-$L56&gt;=1,INDEX($X27:$AU27,AJ$6-$L56),0)</f>
        <v>0</v>
      </c>
      <c r="AK56" s="43">
        <f>$K56*IF(AK$6-$L56&gt;=1,INDEX($X27:$AU27,AK$6-$L56),0)</f>
        <v>0</v>
      </c>
      <c r="AL56" s="43">
        <f>$K56*IF(AL$6-$L56&gt;=1,INDEX($X27:$AU27,AL$6-$L56),0)</f>
        <v>0</v>
      </c>
      <c r="AM56" s="43">
        <f>$K56*IF(AM$6-$L56&gt;=1,INDEX($X27:$AU27,AM$6-$L56),0)</f>
        <v>0</v>
      </c>
      <c r="AN56" s="43">
        <f>$K56*IF(AN$6-$L56&gt;=1,INDEX($X27:$AU27,AN$6-$L56),0)</f>
        <v>0</v>
      </c>
      <c r="AO56" s="43">
        <f>$K56*IF(AO$6-$L56&gt;=1,INDEX($X27:$AU27,AO$6-$L56),0)</f>
        <v>0</v>
      </c>
      <c r="AP56" s="43">
        <f>$K56*IF(AP$6-$L56&gt;=1,INDEX($X27:$AU27,AP$6-$L56),0)</f>
        <v>0</v>
      </c>
      <c r="AQ56" s="43">
        <f>$K56*IF(AQ$6-$L56&gt;=1,INDEX($X27:$AU27,AQ$6-$L56),0)</f>
        <v>0</v>
      </c>
      <c r="AR56" s="43">
        <f>$K56*IF(AR$6-$L56&gt;=1,INDEX($X27:$AU27,AR$6-$L56),0)</f>
        <v>0</v>
      </c>
      <c r="AS56" s="43">
        <f>$K56*IF(AS$6-$L56&gt;=1,INDEX($X27:$AU27,AS$6-$L56),0)</f>
        <v>0</v>
      </c>
      <c r="AT56" s="43">
        <f>$K56*IF(AT$6-$L56&gt;=1,INDEX($X27:$AU27,AT$6-$L56),0)</f>
        <v>0</v>
      </c>
      <c r="AU56" s="43">
        <f>$K56*IF(AU$6-$L56&gt;=1,INDEX($X27:$AU27,AU$6-$L56),0)</f>
        <v>0</v>
      </c>
      <c r="AV56" s="23">
        <f>SUM(X56:AI56)</f>
        <v>0</v>
      </c>
      <c r="AW56" s="23">
        <f>SUM(AJ56:AU56)</f>
        <v>0</v>
      </c>
      <c r="AX56" s="24">
        <f>AX27*'8_가정'!$G$28</f>
        <v>3300000</v>
      </c>
      <c r="AY56" s="24">
        <f>AY27*'8_가정'!$G$29</f>
        <v>8500000</v>
      </c>
      <c r="AZ56" s="24">
        <f>AZ27*'8_가정'!$G$30</f>
        <v>27000000</v>
      </c>
      <c r="BA56" s="25">
        <f>SUM(AV56:AZ56)</f>
        <v>38800000</v>
      </c>
    </row>
    <row r="57">
      <c r="A57" s="7">
        <f>A28</f>
        <v>19</v>
      </c>
      <c r="B57" s="15" t="str">
        <f>B28</f>
        <v>싱가포르·말레이시아 외</v>
      </c>
      <c r="C57" s="15" t="str">
        <f>C28</f>
        <v>동남아·APAC</v>
      </c>
      <c r="D57" s="15" t="str">
        <f>D28</f>
        <v>동남아 병원·요양그룹 확대(IHH·NTUC·SingHealth·Sunway·Econ·ACG 전환)</v>
      </c>
      <c r="E57" s="15" t="str">
        <f>E28</f>
        <v>신규 파이프라인</v>
      </c>
      <c r="F57" s="15" t="str">
        <f>F28</f>
        <v>-</v>
      </c>
      <c r="G57" s="15" t="str">
        <f>G28</f>
        <v>신규</v>
      </c>
      <c r="H57" s="15" t="str">
        <f>H28</f>
        <v>C 신규 파이프라인(미확정)</v>
      </c>
      <c r="I57" s="15" t="str">
        <f>I28</f>
        <v>COH</v>
      </c>
      <c r="J57" s="15" t="str">
        <f>J28</f>
        <v>C</v>
      </c>
      <c r="K57" s="68">
        <f>INDEX('8_가정'!$C$17:$E$24,MATCH($G28,'8_가정'!$A$17:$A$24,0),'1_요약'!$C$5)</f>
        <v>1</v>
      </c>
      <c r="L57" s="8" t="n">
        <v>0</v>
      </c>
      <c r="X57" s="43">
        <f>$K57*IF(X$6-$L57&gt;=1,INDEX($X28:$AU28,X$6-$L57),0)</f>
        <v>0</v>
      </c>
      <c r="Y57" s="43">
        <f>$K57*IF(Y$6-$L57&gt;=1,INDEX($X28:$AU28,Y$6-$L57),0)</f>
        <v>0</v>
      </c>
      <c r="Z57" s="43">
        <f>$K57*IF(Z$6-$L57&gt;=1,INDEX($X28:$AU28,Z$6-$L57),0)</f>
        <v>0</v>
      </c>
      <c r="AA57" s="43">
        <f>$K57*IF(AA$6-$L57&gt;=1,INDEX($X28:$AU28,AA$6-$L57),0)</f>
        <v>0</v>
      </c>
      <c r="AB57" s="43">
        <f>$K57*IF(AB$6-$L57&gt;=1,INDEX($X28:$AU28,AB$6-$L57),0)</f>
        <v>0</v>
      </c>
      <c r="AC57" s="43">
        <f>$K57*IF(AC$6-$L57&gt;=1,INDEX($X28:$AU28,AC$6-$L57),0)</f>
        <v>0</v>
      </c>
      <c r="AD57" s="43">
        <f>$K57*IF(AD$6-$L57&gt;=1,INDEX($X28:$AU28,AD$6-$L57),0)</f>
        <v>0</v>
      </c>
      <c r="AE57" s="43">
        <f>$K57*IF(AE$6-$L57&gt;=1,INDEX($X28:$AU28,AE$6-$L57),0)</f>
        <v>0</v>
      </c>
      <c r="AF57" s="43">
        <f>$K57*IF(AF$6-$L57&gt;=1,INDEX($X28:$AU28,AF$6-$L57),0)</f>
        <v>0</v>
      </c>
      <c r="AG57" s="43">
        <f>$K57*IF(AG$6-$L57&gt;=1,INDEX($X28:$AU28,AG$6-$L57),0)</f>
        <v>0</v>
      </c>
      <c r="AH57" s="43">
        <f>$K57*IF(AH$6-$L57&gt;=1,INDEX($X28:$AU28,AH$6-$L57),0)</f>
        <v>0</v>
      </c>
      <c r="AI57" s="43">
        <f>$K57*IF(AI$6-$L57&gt;=1,INDEX($X28:$AU28,AI$6-$L57),0)</f>
        <v>0</v>
      </c>
      <c r="AJ57" s="43">
        <f>$K57*IF(AJ$6-$L57&gt;=1,INDEX($X28:$AU28,AJ$6-$L57),0)</f>
        <v>0</v>
      </c>
      <c r="AK57" s="43">
        <f>$K57*IF(AK$6-$L57&gt;=1,INDEX($X28:$AU28,AK$6-$L57),0)</f>
        <v>0</v>
      </c>
      <c r="AL57" s="43">
        <f>$K57*IF(AL$6-$L57&gt;=1,INDEX($X28:$AU28,AL$6-$L57),0)</f>
        <v>0</v>
      </c>
      <c r="AM57" s="43">
        <f>$K57*IF(AM$6-$L57&gt;=1,INDEX($X28:$AU28,AM$6-$L57),0)</f>
        <v>0</v>
      </c>
      <c r="AN57" s="43">
        <f>$K57*IF(AN$6-$L57&gt;=1,INDEX($X28:$AU28,AN$6-$L57),0)</f>
        <v>0</v>
      </c>
      <c r="AO57" s="43">
        <f>$K57*IF(AO$6-$L57&gt;=1,INDEX($X28:$AU28,AO$6-$L57),0)</f>
        <v>0</v>
      </c>
      <c r="AP57" s="43">
        <f>$K57*IF(AP$6-$L57&gt;=1,INDEX($X28:$AU28,AP$6-$L57),0)</f>
        <v>0</v>
      </c>
      <c r="AQ57" s="43">
        <f>$K57*IF(AQ$6-$L57&gt;=1,INDEX($X28:$AU28,AQ$6-$L57),0)</f>
        <v>0</v>
      </c>
      <c r="AR57" s="43">
        <f>$K57*IF(AR$6-$L57&gt;=1,INDEX($X28:$AU28,AR$6-$L57),0)</f>
        <v>0</v>
      </c>
      <c r="AS57" s="43">
        <f>$K57*IF(AS$6-$L57&gt;=1,INDEX($X28:$AU28,AS$6-$L57),0)</f>
        <v>0</v>
      </c>
      <c r="AT57" s="43">
        <f>$K57*IF(AT$6-$L57&gt;=1,INDEX($X28:$AU28,AT$6-$L57),0)</f>
        <v>0</v>
      </c>
      <c r="AU57" s="43">
        <f>$K57*IF(AU$6-$L57&gt;=1,INDEX($X28:$AU28,AU$6-$L57),0)</f>
        <v>0</v>
      </c>
      <c r="AV57" s="23">
        <f>SUM(X57:AI57)</f>
        <v>0</v>
      </c>
      <c r="AW57" s="23">
        <f>SUM(AJ57:AU57)</f>
        <v>0</v>
      </c>
      <c r="AX57" s="24">
        <f>AX28*'8_가정'!$G$28</f>
        <v>2000000</v>
      </c>
      <c r="AY57" s="24">
        <f>AY28*'8_가정'!$G$29</f>
        <v>6000000</v>
      </c>
      <c r="AZ57" s="24">
        <f>AZ28*'8_가정'!$G$30</f>
        <v>17000000</v>
      </c>
      <c r="BA57" s="25">
        <f>SUM(AV57:AZ57)</f>
        <v>25000000</v>
      </c>
    </row>
    <row r="58">
      <c r="A58" s="7">
        <f>A29</f>
        <v>20</v>
      </c>
      <c r="B58" s="15" t="str">
        <f>B29</f>
        <v>유럽</v>
      </c>
      <c r="C58" s="15" t="str">
        <f>C29</f>
        <v>유럽</v>
      </c>
      <c r="D58" s="15" t="str">
        <f>D29</f>
        <v>유럽 총판 확대(NL·ES·PT·DACH/북유럽)</v>
      </c>
      <c r="E58" s="15" t="str">
        <f>E29</f>
        <v>신규 파이프라인</v>
      </c>
      <c r="F58" s="15" t="str">
        <f>F29</f>
        <v>-</v>
      </c>
      <c r="G58" s="15" t="str">
        <f>G29</f>
        <v>신규</v>
      </c>
      <c r="H58" s="15" t="str">
        <f>H29</f>
        <v>C 신규 파이프라인(미확정)</v>
      </c>
      <c r="I58" s="15" t="str">
        <f>I29</f>
        <v>COH</v>
      </c>
      <c r="J58" s="15" t="str">
        <f>J29</f>
        <v>C</v>
      </c>
      <c r="K58" s="68">
        <f>INDEX('8_가정'!$C$17:$E$24,MATCH($G29,'8_가정'!$A$17:$A$24,0),'1_요약'!$C$5)</f>
        <v>1</v>
      </c>
      <c r="L58" s="8" t="n">
        <v>0</v>
      </c>
      <c r="X58" s="43">
        <f>$K58*IF(X$6-$L58&gt;=1,INDEX($X29:$AU29,X$6-$L58),0)</f>
        <v>0</v>
      </c>
      <c r="Y58" s="43">
        <f>$K58*IF(Y$6-$L58&gt;=1,INDEX($X29:$AU29,Y$6-$L58),0)</f>
        <v>0</v>
      </c>
      <c r="Z58" s="43">
        <f>$K58*IF(Z$6-$L58&gt;=1,INDEX($X29:$AU29,Z$6-$L58),0)</f>
        <v>0</v>
      </c>
      <c r="AA58" s="43">
        <f>$K58*IF(AA$6-$L58&gt;=1,INDEX($X29:$AU29,AA$6-$L58),0)</f>
        <v>0</v>
      </c>
      <c r="AB58" s="43">
        <f>$K58*IF(AB$6-$L58&gt;=1,INDEX($X29:$AU29,AB$6-$L58),0)</f>
        <v>0</v>
      </c>
      <c r="AC58" s="43">
        <f>$K58*IF(AC$6-$L58&gt;=1,INDEX($X29:$AU29,AC$6-$L58),0)</f>
        <v>0</v>
      </c>
      <c r="AD58" s="43">
        <f>$K58*IF(AD$6-$L58&gt;=1,INDEX($X29:$AU29,AD$6-$L58),0)</f>
        <v>0</v>
      </c>
      <c r="AE58" s="43">
        <f>$K58*IF(AE$6-$L58&gt;=1,INDEX($X29:$AU29,AE$6-$L58),0)</f>
        <v>0</v>
      </c>
      <c r="AF58" s="43">
        <f>$K58*IF(AF$6-$L58&gt;=1,INDEX($X29:$AU29,AF$6-$L58),0)</f>
        <v>0</v>
      </c>
      <c r="AG58" s="43">
        <f>$K58*IF(AG$6-$L58&gt;=1,INDEX($X29:$AU29,AG$6-$L58),0)</f>
        <v>0</v>
      </c>
      <c r="AH58" s="43">
        <f>$K58*IF(AH$6-$L58&gt;=1,INDEX($X29:$AU29,AH$6-$L58),0)</f>
        <v>0</v>
      </c>
      <c r="AI58" s="43">
        <f>$K58*IF(AI$6-$L58&gt;=1,INDEX($X29:$AU29,AI$6-$L58),0)</f>
        <v>0</v>
      </c>
      <c r="AJ58" s="43">
        <f>$K58*IF(AJ$6-$L58&gt;=1,INDEX($X29:$AU29,AJ$6-$L58),0)</f>
        <v>0</v>
      </c>
      <c r="AK58" s="43">
        <f>$K58*IF(AK$6-$L58&gt;=1,INDEX($X29:$AU29,AK$6-$L58),0)</f>
        <v>0</v>
      </c>
      <c r="AL58" s="43">
        <f>$K58*IF(AL$6-$L58&gt;=1,INDEX($X29:$AU29,AL$6-$L58),0)</f>
        <v>0</v>
      </c>
      <c r="AM58" s="43">
        <f>$K58*IF(AM$6-$L58&gt;=1,INDEX($X29:$AU29,AM$6-$L58),0)</f>
        <v>0</v>
      </c>
      <c r="AN58" s="43">
        <f>$K58*IF(AN$6-$L58&gt;=1,INDEX($X29:$AU29,AN$6-$L58),0)</f>
        <v>0</v>
      </c>
      <c r="AO58" s="43">
        <f>$K58*IF(AO$6-$L58&gt;=1,INDEX($X29:$AU29,AO$6-$L58),0)</f>
        <v>0</v>
      </c>
      <c r="AP58" s="43">
        <f>$K58*IF(AP$6-$L58&gt;=1,INDEX($X29:$AU29,AP$6-$L58),0)</f>
        <v>0</v>
      </c>
      <c r="AQ58" s="43">
        <f>$K58*IF(AQ$6-$L58&gt;=1,INDEX($X29:$AU29,AQ$6-$L58),0)</f>
        <v>0</v>
      </c>
      <c r="AR58" s="43">
        <f>$K58*IF(AR$6-$L58&gt;=1,INDEX($X29:$AU29,AR$6-$L58),0)</f>
        <v>0</v>
      </c>
      <c r="AS58" s="43">
        <f>$K58*IF(AS$6-$L58&gt;=1,INDEX($X29:$AU29,AS$6-$L58),0)</f>
        <v>0</v>
      </c>
      <c r="AT58" s="43">
        <f>$K58*IF(AT$6-$L58&gt;=1,INDEX($X29:$AU29,AT$6-$L58),0)</f>
        <v>0</v>
      </c>
      <c r="AU58" s="43">
        <f>$K58*IF(AU$6-$L58&gt;=1,INDEX($X29:$AU29,AU$6-$L58),0)</f>
        <v>0</v>
      </c>
      <c r="AV58" s="23">
        <f>SUM(X58:AI58)</f>
        <v>0</v>
      </c>
      <c r="AW58" s="23">
        <f>SUM(AJ58:AU58)</f>
        <v>0</v>
      </c>
      <c r="AX58" s="24">
        <f>AX29*'8_가정'!$G$28</f>
        <v>1200000</v>
      </c>
      <c r="AY58" s="24">
        <f>AY29*'8_가정'!$G$29</f>
        <v>3300000</v>
      </c>
      <c r="AZ58" s="24">
        <f>AZ29*'8_가정'!$G$30</f>
        <v>11000000</v>
      </c>
      <c r="BA58" s="25">
        <f>SUM(AV58:AZ58)</f>
        <v>15500000</v>
      </c>
    </row>
    <row r="59">
      <c r="A59" s="7">
        <f>A30</f>
        <v>21</v>
      </c>
      <c r="B59" s="15" t="str">
        <f>B30</f>
        <v>미국</v>
      </c>
      <c r="C59" s="15" t="str">
        <f>C30</f>
        <v>미국</v>
      </c>
      <c r="D59" s="15" t="str">
        <f>D30</f>
        <v>미국 의료유통 채널(Shelter Device PoC → 2029 유통 진입)</v>
      </c>
      <c r="E59" s="15" t="str">
        <f>E30</f>
        <v>신규 파이프라인</v>
      </c>
      <c r="F59" s="15" t="str">
        <f>F30</f>
        <v>-</v>
      </c>
      <c r="G59" s="15" t="str">
        <f>G30</f>
        <v>신규</v>
      </c>
      <c r="H59" s="15" t="str">
        <f>H30</f>
        <v>C 신규 파이프라인(미확정)</v>
      </c>
      <c r="I59" s="15" t="str">
        <f>I30</f>
        <v>COH</v>
      </c>
      <c r="J59" s="15" t="str">
        <f>J30</f>
        <v>C</v>
      </c>
      <c r="K59" s="68">
        <f>INDEX('8_가정'!$C$17:$E$24,MATCH($G30,'8_가정'!$A$17:$A$24,0),'1_요약'!$C$5)</f>
        <v>1</v>
      </c>
      <c r="L59" s="8" t="n">
        <v>0</v>
      </c>
      <c r="X59" s="43">
        <f>$K59*IF(X$6-$L59&gt;=1,INDEX($X30:$AU30,X$6-$L59),0)</f>
        <v>0</v>
      </c>
      <c r="Y59" s="43">
        <f>$K59*IF(Y$6-$L59&gt;=1,INDEX($X30:$AU30,Y$6-$L59),0)</f>
        <v>0</v>
      </c>
      <c r="Z59" s="43">
        <f>$K59*IF(Z$6-$L59&gt;=1,INDEX($X30:$AU30,Z$6-$L59),0)</f>
        <v>0</v>
      </c>
      <c r="AA59" s="43">
        <f>$K59*IF(AA$6-$L59&gt;=1,INDEX($X30:$AU30,AA$6-$L59),0)</f>
        <v>0</v>
      </c>
      <c r="AB59" s="43">
        <f>$K59*IF(AB$6-$L59&gt;=1,INDEX($X30:$AU30,AB$6-$L59),0)</f>
        <v>0</v>
      </c>
      <c r="AC59" s="43">
        <f>$K59*IF(AC$6-$L59&gt;=1,INDEX($X30:$AU30,AC$6-$L59),0)</f>
        <v>0</v>
      </c>
      <c r="AD59" s="43">
        <f>$K59*IF(AD$6-$L59&gt;=1,INDEX($X30:$AU30,AD$6-$L59),0)</f>
        <v>0</v>
      </c>
      <c r="AE59" s="43">
        <f>$K59*IF(AE$6-$L59&gt;=1,INDEX($X30:$AU30,AE$6-$L59),0)</f>
        <v>0</v>
      </c>
      <c r="AF59" s="43">
        <f>$K59*IF(AF$6-$L59&gt;=1,INDEX($X30:$AU30,AF$6-$L59),0)</f>
        <v>0</v>
      </c>
      <c r="AG59" s="43">
        <f>$K59*IF(AG$6-$L59&gt;=1,INDEX($X30:$AU30,AG$6-$L59),0)</f>
        <v>0</v>
      </c>
      <c r="AH59" s="43">
        <f>$K59*IF(AH$6-$L59&gt;=1,INDEX($X30:$AU30,AH$6-$L59),0)</f>
        <v>0</v>
      </c>
      <c r="AI59" s="43">
        <f>$K59*IF(AI$6-$L59&gt;=1,INDEX($X30:$AU30,AI$6-$L59),0)</f>
        <v>0</v>
      </c>
      <c r="AJ59" s="43">
        <f>$K59*IF(AJ$6-$L59&gt;=1,INDEX($X30:$AU30,AJ$6-$L59),0)</f>
        <v>0</v>
      </c>
      <c r="AK59" s="43">
        <f>$K59*IF(AK$6-$L59&gt;=1,INDEX($X30:$AU30,AK$6-$L59),0)</f>
        <v>0</v>
      </c>
      <c r="AL59" s="43">
        <f>$K59*IF(AL$6-$L59&gt;=1,INDEX($X30:$AU30,AL$6-$L59),0)</f>
        <v>0</v>
      </c>
      <c r="AM59" s="43">
        <f>$K59*IF(AM$6-$L59&gt;=1,INDEX($X30:$AU30,AM$6-$L59),0)</f>
        <v>0</v>
      </c>
      <c r="AN59" s="43">
        <f>$K59*IF(AN$6-$L59&gt;=1,INDEX($X30:$AU30,AN$6-$L59),0)</f>
        <v>0</v>
      </c>
      <c r="AO59" s="43">
        <f>$K59*IF(AO$6-$L59&gt;=1,INDEX($X30:$AU30,AO$6-$L59),0)</f>
        <v>0</v>
      </c>
      <c r="AP59" s="43">
        <f>$K59*IF(AP$6-$L59&gt;=1,INDEX($X30:$AU30,AP$6-$L59),0)</f>
        <v>0</v>
      </c>
      <c r="AQ59" s="43">
        <f>$K59*IF(AQ$6-$L59&gt;=1,INDEX($X30:$AU30,AQ$6-$L59),0)</f>
        <v>0</v>
      </c>
      <c r="AR59" s="43">
        <f>$K59*IF(AR$6-$L59&gt;=1,INDEX($X30:$AU30,AR$6-$L59),0)</f>
        <v>0</v>
      </c>
      <c r="AS59" s="43">
        <f>$K59*IF(AS$6-$L59&gt;=1,INDEX($X30:$AU30,AS$6-$L59),0)</f>
        <v>0</v>
      </c>
      <c r="AT59" s="43">
        <f>$K59*IF(AT$6-$L59&gt;=1,INDEX($X30:$AU30,AT$6-$L59),0)</f>
        <v>0</v>
      </c>
      <c r="AU59" s="43">
        <f>$K59*IF(AU$6-$L59&gt;=1,INDEX($X30:$AU30,AU$6-$L59),0)</f>
        <v>0</v>
      </c>
      <c r="AV59" s="23">
        <f>SUM(X59:AI59)</f>
        <v>0</v>
      </c>
      <c r="AW59" s="23">
        <f>SUM(AJ59:AU59)</f>
        <v>0</v>
      </c>
      <c r="AX59" s="24">
        <f>AX30*'8_가정'!$G$28</f>
        <v>1000000</v>
      </c>
      <c r="AY59" s="24">
        <f>AY30*'8_가정'!$G$29</f>
        <v>7500000</v>
      </c>
      <c r="AZ59" s="24">
        <f>AZ30*'8_가정'!$G$30</f>
        <v>30000000</v>
      </c>
      <c r="BA59" s="25">
        <f>SUM(AV59:AZ59)</f>
        <v>38500000</v>
      </c>
    </row>
    <row r="60">
      <c r="A60" s="7">
        <f>A31</f>
        <v>22</v>
      </c>
      <c r="B60" s="15" t="str">
        <f>B31</f>
        <v>글로벌</v>
      </c>
      <c r="C60" s="15" t="str">
        <f>C31</f>
        <v>글로벌(삼성채널)</v>
      </c>
      <c r="D60" s="15" t="str">
        <f>D31</f>
        <v>삼성 글로벌 채널(B2B 오퍼링 번들·시니어 모바일 앱) — 목표 대비 잔여</v>
      </c>
      <c r="E60" s="15" t="str">
        <f>E31</f>
        <v>파트너</v>
      </c>
      <c r="F60" s="15" t="str">
        <f>F31</f>
        <v>-</v>
      </c>
      <c r="G60" s="15" t="str">
        <f>G31</f>
        <v>신규</v>
      </c>
      <c r="H60" s="15" t="str">
        <f>H31</f>
        <v>C 신규 파이프라인(미확정)</v>
      </c>
      <c r="I60" s="15" t="str">
        <f>I31</f>
        <v>COH</v>
      </c>
      <c r="J60" s="15" t="str">
        <f>J31</f>
        <v>S</v>
      </c>
      <c r="K60" s="68">
        <f>INDEX('8_가정'!$C$17:$E$24,MATCH($G31,'8_가정'!$A$17:$A$24,0),'1_요약'!$C$5)</f>
        <v>1</v>
      </c>
      <c r="L60" s="8" t="n">
        <v>0</v>
      </c>
      <c r="X60" s="43">
        <f>$K60*IF(X$6-$L60&gt;=1,INDEX($X31:$AU31,X$6-$L60),0)</f>
        <v>0</v>
      </c>
      <c r="Y60" s="43">
        <f>$K60*IF(Y$6-$L60&gt;=1,INDEX($X31:$AU31,Y$6-$L60),0)</f>
        <v>0</v>
      </c>
      <c r="Z60" s="43">
        <f>$K60*IF(Z$6-$L60&gt;=1,INDEX($X31:$AU31,Z$6-$L60),0)</f>
        <v>0</v>
      </c>
      <c r="AA60" s="43">
        <f>$K60*IF(AA$6-$L60&gt;=1,INDEX($X31:$AU31,AA$6-$L60),0)</f>
        <v>0</v>
      </c>
      <c r="AB60" s="43">
        <f>$K60*IF(AB$6-$L60&gt;=1,INDEX($X31:$AU31,AB$6-$L60),0)</f>
        <v>0</v>
      </c>
      <c r="AC60" s="43">
        <f>$K60*IF(AC$6-$L60&gt;=1,INDEX($X31:$AU31,AC$6-$L60),0)</f>
        <v>0</v>
      </c>
      <c r="AD60" s="43">
        <f>$K60*IF(AD$6-$L60&gt;=1,INDEX($X31:$AU31,AD$6-$L60),0)</f>
        <v>0</v>
      </c>
      <c r="AE60" s="43">
        <f>$K60*IF(AE$6-$L60&gt;=1,INDEX($X31:$AU31,AE$6-$L60),0)</f>
        <v>0</v>
      </c>
      <c r="AF60" s="43">
        <f>$K60*IF(AF$6-$L60&gt;=1,INDEX($X31:$AU31,AF$6-$L60),0)</f>
        <v>0</v>
      </c>
      <c r="AG60" s="43">
        <f>$K60*IF(AG$6-$L60&gt;=1,INDEX($X31:$AU31,AG$6-$L60),0)</f>
        <v>0</v>
      </c>
      <c r="AH60" s="43">
        <f>$K60*IF(AH$6-$L60&gt;=1,INDEX($X31:$AU31,AH$6-$L60),0)</f>
        <v>0</v>
      </c>
      <c r="AI60" s="43">
        <f>$K60*IF(AI$6-$L60&gt;=1,INDEX($X31:$AU31,AI$6-$L60),0)</f>
        <v>0</v>
      </c>
      <c r="AJ60" s="43">
        <f>$K60*IF(AJ$6-$L60&gt;=1,INDEX($X31:$AU31,AJ$6-$L60),0)</f>
        <v>0</v>
      </c>
      <c r="AK60" s="43">
        <f>$K60*IF(AK$6-$L60&gt;=1,INDEX($X31:$AU31,AK$6-$L60),0)</f>
        <v>0</v>
      </c>
      <c r="AL60" s="43">
        <f>$K60*IF(AL$6-$L60&gt;=1,INDEX($X31:$AU31,AL$6-$L60),0)</f>
        <v>0</v>
      </c>
      <c r="AM60" s="43">
        <f>$K60*IF(AM$6-$L60&gt;=1,INDEX($X31:$AU31,AM$6-$L60),0)</f>
        <v>0</v>
      </c>
      <c r="AN60" s="43">
        <f>$K60*IF(AN$6-$L60&gt;=1,INDEX($X31:$AU31,AN$6-$L60),0)</f>
        <v>0</v>
      </c>
      <c r="AO60" s="43">
        <f>$K60*IF(AO$6-$L60&gt;=1,INDEX($X31:$AU31,AO$6-$L60),0)</f>
        <v>0</v>
      </c>
      <c r="AP60" s="43">
        <f>$K60*IF(AP$6-$L60&gt;=1,INDEX($X31:$AU31,AP$6-$L60),0)</f>
        <v>0</v>
      </c>
      <c r="AQ60" s="43">
        <f>$K60*IF(AQ$6-$L60&gt;=1,INDEX($X31:$AU31,AQ$6-$L60),0)</f>
        <v>0</v>
      </c>
      <c r="AR60" s="43">
        <f>$K60*IF(AR$6-$L60&gt;=1,INDEX($X31:$AU31,AR$6-$L60),0)</f>
        <v>0</v>
      </c>
      <c r="AS60" s="43">
        <f>$K60*IF(AS$6-$L60&gt;=1,INDEX($X31:$AU31,AS$6-$L60),0)</f>
        <v>0</v>
      </c>
      <c r="AT60" s="43">
        <f>$K60*IF(AT$6-$L60&gt;=1,INDEX($X31:$AU31,AT$6-$L60),0)</f>
        <v>0</v>
      </c>
      <c r="AU60" s="43">
        <f>$K60*IF(AU$6-$L60&gt;=1,INDEX($X31:$AU31,AU$6-$L60),0)</f>
        <v>0</v>
      </c>
      <c r="AV60" s="23">
        <f>SUM(X60:AI60)</f>
        <v>0</v>
      </c>
      <c r="AW60" s="23">
        <f>SUM(AJ60:AU60)</f>
        <v>0</v>
      </c>
      <c r="AX60" s="24">
        <f>AX31*'8_가정'!$G$28</f>
        <v>4066610.95978731</v>
      </c>
      <c r="AY60" s="24">
        <f>AY31*'8_가정'!$G$29</f>
        <v>9872783.70840811</v>
      </c>
      <c r="AZ60" s="24">
        <f>AZ31*'8_가정'!$G$30</f>
        <v>19365915.9966168</v>
      </c>
      <c r="BA60" s="25">
        <f>SUM(AV60:AZ60)</f>
        <v>33305310.6648122</v>
      </c>
    </row>
    <row r="61">
      <c r="D61" s="12" t="inlineStr">
        <is>
          <t>B 합계(선택 시나리오)</t>
        </is>
      </c>
      <c r="X61" s="26">
        <f>SUM(X39:X60)</f>
        <v>67445.6116043404</v>
      </c>
      <c r="Y61" s="26">
        <f>SUM(Y39:Y60)</f>
        <v>69140.5268585777</v>
      </c>
      <c r="Z61" s="26">
        <f>SUM(Z39:Z60)</f>
        <v>70835.442112815</v>
      </c>
      <c r="AA61" s="26">
        <f>SUM(AA39:AA60)</f>
        <v>72530.3573670523</v>
      </c>
      <c r="AB61" s="26">
        <f>SUM(AB39:AB60)</f>
        <v>74225.2726212896</v>
      </c>
      <c r="AC61" s="26">
        <f>SUM(AC39:AC60)</f>
        <v>75920.1878755269</v>
      </c>
      <c r="AD61" s="26">
        <f>SUM(AD39:AD60)</f>
        <v>94726.2142408753</v>
      </c>
      <c r="AE61" s="26">
        <f>SUM(AE39:AE60)</f>
        <v>103532.240606224</v>
      </c>
      <c r="AF61" s="26">
        <f>SUM(AF39:AF60)</f>
        <v>112338.266971572</v>
      </c>
      <c r="AG61" s="26">
        <f>SUM(AG39:AG60)</f>
        <v>125773.92296655</v>
      </c>
      <c r="AH61" s="26">
        <f>SUM(AH39:AH60)</f>
        <v>147149.578961528</v>
      </c>
      <c r="AI61" s="26">
        <f>SUM(AI39:AI60)</f>
        <v>186382.377813649</v>
      </c>
      <c r="AJ61" s="26">
        <f>SUM(AJ39:AJ60)</f>
        <v>286006.146982333</v>
      </c>
      <c r="AK61" s="26">
        <f>SUM(AK39:AK60)</f>
        <v>396943.880474977</v>
      </c>
      <c r="AL61" s="26">
        <f>SUM(AL39:AL60)</f>
        <v>507881.613967621</v>
      </c>
      <c r="AM61" s="26">
        <f>SUM(AM39:AM60)</f>
        <v>617124.432206027</v>
      </c>
      <c r="AN61" s="26">
        <f>SUM(AN39:AN60)</f>
        <v>726367.250444434</v>
      </c>
      <c r="AO61" s="26">
        <f>SUM(AO39:AO60)</f>
        <v>895610.06868284</v>
      </c>
      <c r="AP61" s="26">
        <f>SUM(AP39:AP60)</f>
        <v>997741.775810136</v>
      </c>
      <c r="AQ61" s="26">
        <f>SUM(AQ39:AQ60)</f>
        <v>1089481.32607469</v>
      </c>
      <c r="AR61" s="26">
        <f>SUM(AR39:AR60)</f>
        <v>1121220.87633924</v>
      </c>
      <c r="AS61" s="26">
        <f>SUM(AS39:AS60)</f>
        <v>1121220.87633924</v>
      </c>
      <c r="AT61" s="26">
        <f>SUM(AT39:AT60)</f>
        <v>1121220.87633924</v>
      </c>
      <c r="AU61" s="26">
        <f>SUM(AU39:AU60)</f>
        <v>1121220.87633924</v>
      </c>
      <c r="AV61" s="27">
        <f>SUM(AV39:AV60)</f>
        <v>1200000</v>
      </c>
      <c r="AW61" s="27">
        <f>SUM(AW39:AW60)</f>
        <v>10002040</v>
      </c>
      <c r="AX61" s="28">
        <f>SUM(AX39:AX60)</f>
        <v>33000000</v>
      </c>
      <c r="AY61" s="28">
        <f>SUM(AY39:AY60)</f>
        <v>70000000</v>
      </c>
      <c r="AZ61" s="28">
        <f>SUM(AZ39:AZ60)</f>
        <v>156000000</v>
      </c>
      <c r="BA61" s="26">
        <f>SUM(BA39:BA60)</f>
        <v>270202040</v>
      </c>
    </row>
    <row r="62">
      <c r="D62" s="52" t="inlineStr">
        <is>
          <t>전년 대비 성장률</t>
        </is>
      </c>
      <c r="AW62" s="57">
        <f>IFERROR(AW61/AV61-1,0)</f>
        <v>7.33503333333333</v>
      </c>
      <c r="AX62" s="57">
        <f>IFERROR(AX61/AW61-1,0)</f>
        <v>2.29932693730479</v>
      </c>
      <c r="AY62" s="57">
        <f>IFERROR(AY61/AX61-1,0)</f>
        <v>1.12121212121212</v>
      </c>
      <c r="AZ62" s="57">
        <f>IFERROR(AZ61/AY61-1,0)</f>
        <v>1.22857142857143</v>
      </c>
    </row>
    <row r="64">
      <c r="A64" s="52" t="inlineStr">
        <is>
          <t>※ 2027년 거래처 매출 합계는 IR p.25 표(Sunway PoC 제외) 값과 수식으로 일치합니다. 시작월·램프는 가정이며 12월 run-rate/2027 매출이 1.0~1.4배가 되도록 설정했습니다.</t>
        </is>
      </c>
    </row>
    <row r="65">
      <c r="A65" s="52" t="inlineStr">
        <is>
          <t>※ 2028~2030: 지정 거래처 = 연환산 R × (1+2028 확장) → 이후 연 성장률. 신규 파이프라인 코호트는 입력(노란색), 삼성 글로벌 채널은 IR 총액과의 잔차입니다.</t>
        </is>
      </c>
    </row>
    <row r="66">
      <c r="A66" s="52" t="inlineStr">
        <is>
          <t>※ 시나리오: S2·S3는 단계별 확률·지연, 성장 배수, 신규 달성률을 적용합니다(8_가정). S1에서 B블록 = A블록(S1 가중)입니다.</t>
        </is>
      </c>
    </row>
  </sheetData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AF79"/>
  <sheetViews>
    <sheetView zoomScale="85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outlineLevel="1" width="10.5" customWidth="1" min="3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</cols>
  <sheetData>
    <row r="1">
      <c r="A1" s="1" t="inlineStr">
        <is>
          <t>5_매출_제품지역 — 제품·지역·채널·근거수준별 매출</t>
        </is>
      </c>
    </row>
    <row r="2">
      <c r="A2" s="2" t="inlineStr">
        <is>
          <t>단위: 천원. 선택 시나리오 기준(4_매출_거래처 B블록 집계).</t>
        </is>
      </c>
    </row>
    <row r="5">
      <c r="A5" s="21" t="inlineStr">
        <is>
          <t>구분</t>
        </is>
      </c>
      <c r="B5" s="11" t="inlineStr">
        <is>
          <t>코드</t>
        </is>
      </c>
      <c r="C5" s="11" t="inlineStr">
        <is>
          <t>2026-01</t>
        </is>
      </c>
      <c r="D5" s="11" t="inlineStr">
        <is>
          <t>2026-02</t>
        </is>
      </c>
      <c r="E5" s="11" t="inlineStr">
        <is>
          <t>2026-03</t>
        </is>
      </c>
      <c r="F5" s="11" t="inlineStr">
        <is>
          <t>2026-04</t>
        </is>
      </c>
      <c r="G5" s="11" t="inlineStr">
        <is>
          <t>2026-05</t>
        </is>
      </c>
      <c r="H5" s="11" t="inlineStr">
        <is>
          <t>2026-06</t>
        </is>
      </c>
      <c r="I5" s="11" t="inlineStr">
        <is>
          <t>2026-07</t>
        </is>
      </c>
      <c r="J5" s="11" t="inlineStr">
        <is>
          <t>2026-08</t>
        </is>
      </c>
      <c r="K5" s="11" t="inlineStr">
        <is>
          <t>2026-09</t>
        </is>
      </c>
      <c r="L5" s="11" t="inlineStr">
        <is>
          <t>2026-10</t>
        </is>
      </c>
      <c r="M5" s="11" t="inlineStr">
        <is>
          <t>2026-11</t>
        </is>
      </c>
      <c r="N5" s="11" t="inlineStr">
        <is>
          <t>2026-12</t>
        </is>
      </c>
      <c r="O5" s="11" t="inlineStr">
        <is>
          <t>2027-01</t>
        </is>
      </c>
      <c r="P5" s="11" t="inlineStr">
        <is>
          <t>2027-02</t>
        </is>
      </c>
      <c r="Q5" s="11" t="inlineStr">
        <is>
          <t>2027-03</t>
        </is>
      </c>
      <c r="R5" s="11" t="inlineStr">
        <is>
          <t>2027-04</t>
        </is>
      </c>
      <c r="S5" s="11" t="inlineStr">
        <is>
          <t>2027-05</t>
        </is>
      </c>
      <c r="T5" s="11" t="inlineStr">
        <is>
          <t>2027-06</t>
        </is>
      </c>
      <c r="U5" s="11" t="inlineStr">
        <is>
          <t>2027-07</t>
        </is>
      </c>
      <c r="V5" s="11" t="inlineStr">
        <is>
          <t>2027-08</t>
        </is>
      </c>
      <c r="W5" s="11" t="inlineStr">
        <is>
          <t>2027-09</t>
        </is>
      </c>
      <c r="X5" s="11" t="inlineStr">
        <is>
          <t>2027-10</t>
        </is>
      </c>
      <c r="Y5" s="11" t="inlineStr">
        <is>
          <t>2027-11</t>
        </is>
      </c>
      <c r="Z5" s="11" t="inlineStr">
        <is>
          <t>2027-12</t>
        </is>
      </c>
      <c r="AA5" s="11" t="inlineStr">
        <is>
          <t>FY2026</t>
        </is>
      </c>
      <c r="AB5" s="11" t="inlineStr">
        <is>
          <t>FY2027</t>
        </is>
      </c>
      <c r="AC5" s="11" t="inlineStr">
        <is>
          <t>2028E</t>
        </is>
      </c>
      <c r="AD5" s="11" t="inlineStr">
        <is>
          <t>2029E</t>
        </is>
      </c>
      <c r="AE5" s="11" t="inlineStr">
        <is>
          <t>2030E</t>
        </is>
      </c>
      <c r="AF5" s="11" t="inlineStr">
        <is>
          <t>5개년 합계</t>
        </is>
      </c>
    </row>
    <row r="6">
      <c r="A6" s="22" t="inlineStr"/>
      <c r="B6" s="22" t="inlineStr"/>
      <c r="C6" s="22" t="inlineStr">
        <is>
          <t>추정</t>
        </is>
      </c>
      <c r="D6" s="22" t="inlineStr">
        <is>
          <t>추정</t>
        </is>
      </c>
      <c r="E6" s="22" t="inlineStr">
        <is>
          <t>추정</t>
        </is>
      </c>
      <c r="F6" s="22" t="inlineStr">
        <is>
          <t>추정</t>
        </is>
      </c>
      <c r="G6" s="22" t="inlineStr">
        <is>
          <t>추정</t>
        </is>
      </c>
      <c r="H6" s="22" t="inlineStr">
        <is>
          <t>추정</t>
        </is>
      </c>
      <c r="I6" s="22" t="inlineStr">
        <is>
          <t>추정</t>
        </is>
      </c>
      <c r="J6" s="22" t="inlineStr">
        <is>
          <t>추정</t>
        </is>
      </c>
      <c r="K6" s="22" t="inlineStr">
        <is>
          <t>추정</t>
        </is>
      </c>
      <c r="L6" s="22" t="inlineStr">
        <is>
          <t>계획</t>
        </is>
      </c>
      <c r="M6" s="22" t="inlineStr">
        <is>
          <t>계획</t>
        </is>
      </c>
      <c r="N6" s="22" t="inlineStr">
        <is>
          <t>계획</t>
        </is>
      </c>
      <c r="O6" s="22" t="inlineStr">
        <is>
          <t>계획</t>
        </is>
      </c>
      <c r="P6" s="22" t="inlineStr">
        <is>
          <t>계획</t>
        </is>
      </c>
      <c r="Q6" s="22" t="inlineStr">
        <is>
          <t>계획</t>
        </is>
      </c>
      <c r="R6" s="22" t="inlineStr">
        <is>
          <t>계획</t>
        </is>
      </c>
      <c r="S6" s="22" t="inlineStr">
        <is>
          <t>계획</t>
        </is>
      </c>
      <c r="T6" s="22" t="inlineStr">
        <is>
          <t>계획</t>
        </is>
      </c>
      <c r="U6" s="22" t="inlineStr">
        <is>
          <t>계획</t>
        </is>
      </c>
      <c r="V6" s="22" t="inlineStr">
        <is>
          <t>계획</t>
        </is>
      </c>
      <c r="W6" s="22" t="inlineStr">
        <is>
          <t>계획</t>
        </is>
      </c>
      <c r="X6" s="22" t="inlineStr">
        <is>
          <t>계획</t>
        </is>
      </c>
      <c r="Y6" s="22" t="inlineStr">
        <is>
          <t>계획</t>
        </is>
      </c>
      <c r="Z6" s="22" t="inlineStr">
        <is>
          <t>계획</t>
        </is>
      </c>
      <c r="AA6" s="22" t="inlineStr">
        <is>
          <t>FY합계</t>
        </is>
      </c>
      <c r="AB6" s="22" t="inlineStr">
        <is>
          <t>FY합계</t>
        </is>
      </c>
      <c r="AC6" s="22" t="inlineStr">
        <is>
          <t>계획(연)</t>
        </is>
      </c>
      <c r="AD6" s="22" t="inlineStr">
        <is>
          <t>계획(연)</t>
        </is>
      </c>
      <c r="AE6" s="22" t="inlineStr">
        <is>
          <t>계획(연)</t>
        </is>
      </c>
      <c r="AF6" s="22" t="inlineStr">
        <is>
          <t>합계</t>
        </is>
      </c>
    </row>
    <row r="8">
      <c r="A8" s="3" t="inlineStr">
        <is>
          <t>A. 제품별 매출</t>
        </is>
      </c>
    </row>
    <row r="9">
      <c r="A9" s="15" t="inlineStr">
        <is>
          <t>스마트 기저귀(전용 기저귀·패드, 소모품)</t>
        </is>
      </c>
      <c r="B9" s="15" t="inlineStr">
        <is>
          <t>P1</t>
        </is>
      </c>
      <c r="C9" s="18">
        <f>SUMPRODUCT('4_매출_거래처'!X$39:X$60,$C$58:$C$79)</f>
        <v>43411.4045377096</v>
      </c>
      <c r="D9" s="18">
        <f>SUMPRODUCT('4_매출_거래처'!Y$39:Y$60,$C$58:$C$79)</f>
        <v>44462.2519953367</v>
      </c>
      <c r="E9" s="18">
        <f>SUMPRODUCT('4_매출_거래처'!Z$39:Z$60,$C$58:$C$79)</f>
        <v>45513.0994529639</v>
      </c>
      <c r="F9" s="18">
        <f>SUMPRODUCT('4_매출_거래처'!AA$39:AA$60,$C$58:$C$79)</f>
        <v>46563.946910591</v>
      </c>
      <c r="G9" s="18">
        <f>SUMPRODUCT('4_매출_거래처'!AB$39:AB$60,$C$58:$C$79)</f>
        <v>47614.7943682181</v>
      </c>
      <c r="H9" s="18">
        <f>SUMPRODUCT('4_매출_거래처'!AC$39:AC$60,$C$58:$C$79)</f>
        <v>48665.6418258452</v>
      </c>
      <c r="I9" s="18">
        <f>SUMPRODUCT('4_매출_거래처'!AD$39:AD$60,$C$58:$C$79)</f>
        <v>54125.3781723612</v>
      </c>
      <c r="J9" s="18">
        <f>SUMPRODUCT('4_매출_거래처'!AE$39:AE$60,$C$58:$C$79)</f>
        <v>59585.1145188772</v>
      </c>
      <c r="K9" s="18">
        <f>SUMPRODUCT('4_매출_거래처'!AF$39:AF$60,$C$58:$C$79)</f>
        <v>65044.8508653932</v>
      </c>
      <c r="L9" s="18">
        <f>SUMPRODUCT('4_매출_거래처'!AG$39:AG$60,$C$58:$C$79)</f>
        <v>72124.9575822796</v>
      </c>
      <c r="M9" s="18">
        <f>SUMPRODUCT('4_매출_거래처'!AH$39:AH$60,$C$58:$C$79)</f>
        <v>85557.064299166</v>
      </c>
      <c r="N9" s="18">
        <f>SUMPRODUCT('4_매출_거래처'!AI$39:AI$60,$C$58:$C$79)</f>
        <v>113274.885301767</v>
      </c>
      <c r="O9" s="18">
        <f>SUMPRODUCT('4_매출_거래처'!AJ$39:AJ$60,$D$58:$D$79)</f>
        <v>187701.963509999</v>
      </c>
      <c r="P9" s="18">
        <f>SUMPRODUCT('4_매출_거래처'!AK$39:AK$60,$D$58:$D$79)</f>
        <v>271090.226622777</v>
      </c>
      <c r="Q9" s="18">
        <f>SUMPRODUCT('4_매출_거래처'!AL$39:AL$60,$D$58:$D$79)</f>
        <v>354478.489735555</v>
      </c>
      <c r="R9" s="18">
        <f>SUMPRODUCT('4_매출_거래처'!AM$39:AM$60,$D$58:$D$79)</f>
        <v>436815.905390706</v>
      </c>
      <c r="S9" s="18">
        <f>SUMPRODUCT('4_매출_거래처'!AN$39:AN$60,$D$58:$D$79)</f>
        <v>519153.321045857</v>
      </c>
      <c r="T9" s="18">
        <f>SUMPRODUCT('4_매출_거래처'!AO$39:AO$60,$D$58:$D$79)</f>
        <v>601490.736701008</v>
      </c>
      <c r="U9" s="18">
        <f>SUMPRODUCT('4_매출_거래처'!AP$39:AP$60,$D$58:$D$79)</f>
        <v>679419.26346727</v>
      </c>
      <c r="V9" s="18">
        <f>SUMPRODUCT('4_매출_거래처'!AQ$39:AQ$60,$D$58:$D$79)</f>
        <v>749957.594155101</v>
      </c>
      <c r="W9" s="18">
        <f>SUMPRODUCT('4_매출_거래처'!AR$39:AR$60,$D$58:$D$79)</f>
        <v>820495.924842931</v>
      </c>
      <c r="X9" s="18">
        <f>SUMPRODUCT('4_매출_거래처'!AS$39:AS$60,$D$58:$D$79)</f>
        <v>820495.924842931</v>
      </c>
      <c r="Y9" s="18">
        <f>SUMPRODUCT('4_매출_거래처'!AT$39:AT$60,$D$58:$D$79)</f>
        <v>820495.924842931</v>
      </c>
      <c r="Z9" s="18">
        <f>SUMPRODUCT('4_매출_거래처'!AU$39:AU$60,$D$58:$D$79)</f>
        <v>820495.924842931</v>
      </c>
      <c r="AA9" s="23">
        <f>SUM(C9:N9)</f>
        <v>725943.389830508</v>
      </c>
      <c r="AB9" s="23">
        <f>SUM(O9:Z9)</f>
        <v>7082091.2</v>
      </c>
      <c r="AC9" s="24">
        <f>SUMPRODUCT('4_매출_거래처'!AX$39:AX$60,$E$58:$E$79)</f>
        <v>22464606.0717049</v>
      </c>
      <c r="AD9" s="24">
        <f>SUMPRODUCT('4_매출_거래처'!AY$39:AY$60,$F$58:$F$79)</f>
        <v>44405478.0379329</v>
      </c>
      <c r="AE9" s="24">
        <f>SUMPRODUCT('4_매출_거래처'!AZ$39:AZ$60,$G$58:$G$79)</f>
        <v>91881051.9461216</v>
      </c>
      <c r="AF9" s="25">
        <f>SUM(AA9:AE9)</f>
        <v>166559170.64559</v>
      </c>
    </row>
    <row r="10">
      <c r="A10" s="15" t="inlineStr">
        <is>
          <t>센서·BLE 게이트웨이(하드웨어)</t>
        </is>
      </c>
      <c r="B10" s="15" t="inlineStr">
        <is>
          <t>P2</t>
        </is>
      </c>
      <c r="C10" s="18">
        <f>SUMPRODUCT('4_매출_거래처'!X$39:X$60,$H$58:$H$79)</f>
        <v>17112.4097569725</v>
      </c>
      <c r="D10" s="18">
        <f>SUMPRODUCT('4_매출_거래처'!Y$39:Y$60,$H$58:$H$79)</f>
        <v>17586.9860281589</v>
      </c>
      <c r="E10" s="18">
        <f>SUMPRODUCT('4_매출_거래처'!Z$39:Z$60,$H$58:$H$79)</f>
        <v>18061.5622993454</v>
      </c>
      <c r="F10" s="18">
        <f>SUMPRODUCT('4_매출_거래처'!AA$39:AA$60,$H$58:$H$79)</f>
        <v>18536.1385705318</v>
      </c>
      <c r="G10" s="18">
        <f>SUMPRODUCT('4_매출_거래처'!AB$39:AB$60,$H$58:$H$79)</f>
        <v>19010.7148417182</v>
      </c>
      <c r="H10" s="18">
        <f>SUMPRODUCT('4_매출_거래처'!AC$39:AC$60,$H$58:$H$79)</f>
        <v>19485.2911129047</v>
      </c>
      <c r="I10" s="18">
        <f>SUMPRODUCT('4_매출_거래처'!AD$39:AD$60,$H$58:$H$79)</f>
        <v>21950.9784952022</v>
      </c>
      <c r="J10" s="18">
        <f>SUMPRODUCT('4_매출_거래처'!AE$39:AE$60,$H$58:$H$79)</f>
        <v>24416.6658774998</v>
      </c>
      <c r="K10" s="18">
        <f>SUMPRODUCT('4_매출_거래처'!AF$39:AF$60,$H$58:$H$79)</f>
        <v>26882.3532597973</v>
      </c>
      <c r="L10" s="18">
        <f>SUMPRODUCT('4_매출_거래처'!AG$39:AG$60,$H$58:$H$79)</f>
        <v>31662.8554569097</v>
      </c>
      <c r="M10" s="18">
        <f>SUMPRODUCT('4_매출_거래처'!AH$39:AH$60,$H$58:$H$79)</f>
        <v>37078.5576540221</v>
      </c>
      <c r="N10" s="18">
        <f>SUMPRODUCT('4_매출_거래처'!AI$39:AI$60,$H$58:$H$79)</f>
        <v>43922.8312797059</v>
      </c>
      <c r="O10" s="18">
        <f>SUMPRODUCT('4_매출_거래처'!AJ$39:AJ$60,$I$58:$I$79)</f>
        <v>52607.704564613</v>
      </c>
      <c r="P10" s="18">
        <f>SUMPRODUCT('4_매출_거래처'!AK$39:AK$60,$I$58:$I$79)</f>
        <v>65601.4681205062</v>
      </c>
      <c r="Q10" s="18">
        <f>SUMPRODUCT('4_매출_거래처'!AL$39:AL$60,$I$58:$I$79)</f>
        <v>78595.2316763994</v>
      </c>
      <c r="R10" s="18">
        <f>SUMPRODUCT('4_매출_거래처'!AM$39:AM$60,$I$58:$I$79)</f>
        <v>91148.3172661909</v>
      </c>
      <c r="S10" s="18">
        <f>SUMPRODUCT('4_매출_거래처'!AN$39:AN$60,$I$58:$I$79)</f>
        <v>103701.402855982</v>
      </c>
      <c r="T10" s="18">
        <f>SUMPRODUCT('4_매출_거래처'!AO$39:AO$60,$I$58:$I$79)</f>
        <v>158254.488445774</v>
      </c>
      <c r="U10" s="18">
        <f>SUMPRODUCT('4_매출_거래처'!AP$39:AP$60,$I$58:$I$79)</f>
        <v>168958.685146676</v>
      </c>
      <c r="V10" s="18">
        <f>SUMPRODUCT('4_매출_거래처'!AQ$39:AQ$60,$I$58:$I$79)</f>
        <v>177825.626945618</v>
      </c>
      <c r="W10" s="18">
        <f>SUMPRODUCT('4_매출_거래처'!AR$39:AR$60,$I$58:$I$79)</f>
        <v>144692.56874456</v>
      </c>
      <c r="X10" s="18">
        <f>SUMPRODUCT('4_매출_거래처'!AS$39:AS$60,$I$58:$I$79)</f>
        <v>144692.56874456</v>
      </c>
      <c r="Y10" s="18">
        <f>SUMPRODUCT('4_매출_거래처'!AT$39:AT$60,$I$58:$I$79)</f>
        <v>144692.56874456</v>
      </c>
      <c r="Z10" s="18">
        <f>SUMPRODUCT('4_매출_거래처'!AU$39:AU$60,$I$58:$I$79)</f>
        <v>144692.56874456</v>
      </c>
      <c r="AA10" s="23">
        <f>SUM(C10:N10)</f>
        <v>295707.344632768</v>
      </c>
      <c r="AB10" s="23">
        <f>SUM(O10:Z10)</f>
        <v>1475463.2</v>
      </c>
      <c r="AC10" s="24">
        <f>SUMPRODUCT('4_매출_거래처'!AX$39:AX$60,$J$58:$J$79)</f>
        <v>4078282.36210037</v>
      </c>
      <c r="AD10" s="24">
        <f>SUMPRODUCT('4_매출_거래처'!AY$39:AY$60,$K$58:$K$79)</f>
        <v>8375304.34807511</v>
      </c>
      <c r="AE10" s="24">
        <f>SUMPRODUCT('4_매출_거래처'!AZ$39:AZ$60,$L$58:$L$79)</f>
        <v>17823389.8230025</v>
      </c>
      <c r="AF10" s="25">
        <f>SUM(AA10:AE10)</f>
        <v>32048147.0778108</v>
      </c>
    </row>
    <row r="11">
      <c r="A11" s="15" t="inlineStr">
        <is>
          <t>앱·웹 모니터링 구독(SW·AI)</t>
        </is>
      </c>
      <c r="B11" s="15" t="inlineStr">
        <is>
          <t>P3</t>
        </is>
      </c>
      <c r="C11" s="18">
        <f>SUMPRODUCT('4_매출_거래처'!X$39:X$60,$M$58:$M$79)</f>
        <v>6921.79730965833</v>
      </c>
      <c r="D11" s="18">
        <f>SUMPRODUCT('4_매출_거래처'!Y$39:Y$60,$M$58:$M$79)</f>
        <v>7091.28883508206</v>
      </c>
      <c r="E11" s="18">
        <f>SUMPRODUCT('4_매출_거래처'!Z$39:Z$60,$M$58:$M$79)</f>
        <v>7260.78036050578</v>
      </c>
      <c r="F11" s="18">
        <f>SUMPRODUCT('4_매출_거래처'!AA$39:AA$60,$M$58:$M$79)</f>
        <v>7430.27188592951</v>
      </c>
      <c r="G11" s="18">
        <f>SUMPRODUCT('4_매출_거래처'!AB$39:AB$60,$M$58:$M$79)</f>
        <v>7599.76341135324</v>
      </c>
      <c r="H11" s="18">
        <f>SUMPRODUCT('4_매출_거래처'!AC$39:AC$60,$M$58:$M$79)</f>
        <v>7769.25493677697</v>
      </c>
      <c r="I11" s="18">
        <f>SUMPRODUCT('4_매출_거래처'!AD$39:AD$60,$M$58:$M$79)</f>
        <v>8649.85757331181</v>
      </c>
      <c r="J11" s="18">
        <f>SUMPRODUCT('4_매출_거래처'!AE$39:AE$60,$M$58:$M$79)</f>
        <v>9530.46020984665</v>
      </c>
      <c r="K11" s="18">
        <f>SUMPRODUCT('4_매출_거래처'!AF$39:AF$60,$M$58:$M$79)</f>
        <v>10411.0628463815</v>
      </c>
      <c r="L11" s="18">
        <f>SUMPRODUCT('4_매출_거래처'!AG$39:AG$60,$M$58:$M$79)</f>
        <v>11986.1099273608</v>
      </c>
      <c r="M11" s="18">
        <f>SUMPRODUCT('4_매출_거래처'!AH$39:AH$60,$M$58:$M$79)</f>
        <v>14513.9570083401</v>
      </c>
      <c r="N11" s="18">
        <f>SUMPRODUCT('4_매출_거래처'!AI$39:AI$60,$M$58:$M$79)</f>
        <v>19184.6612321765</v>
      </c>
      <c r="O11" s="18">
        <f>SUMPRODUCT('4_매출_거래처'!AJ$39:AJ$60,$N$58:$N$79)</f>
        <v>28388.5167204735</v>
      </c>
      <c r="P11" s="18">
        <f>SUMPRODUCT('4_매출_거래처'!AK$39:AK$60,$N$58:$N$79)</f>
        <v>40295.176506987</v>
      </c>
      <c r="Q11" s="18">
        <f>SUMPRODUCT('4_매출_거래처'!AL$39:AL$60,$N$58:$N$79)</f>
        <v>52201.8362935005</v>
      </c>
      <c r="R11" s="18">
        <f>SUMPRODUCT('4_매출_거래처'!AM$39:AM$60,$N$58:$N$79)</f>
        <v>63955.9537071326</v>
      </c>
      <c r="S11" s="18">
        <f>SUMPRODUCT('4_매출_거래처'!AN$39:AN$60,$N$58:$N$79)</f>
        <v>75710.0711207647</v>
      </c>
      <c r="T11" s="18">
        <f>SUMPRODUCT('4_매출_거래처'!AO$39:AO$60,$N$58:$N$79)</f>
        <v>96464.1885343968</v>
      </c>
      <c r="U11" s="18">
        <f>SUMPRODUCT('4_매출_거래처'!AP$39:AP$60,$N$58:$N$79)</f>
        <v>107578.305948029</v>
      </c>
      <c r="V11" s="18">
        <f>SUMPRODUCT('4_매출_거래처'!AQ$39:AQ$60,$N$58:$N$79)</f>
        <v>117715.952773426</v>
      </c>
      <c r="W11" s="18">
        <f>SUMPRODUCT('4_매출_거래처'!AR$39:AR$60,$N$58:$N$79)</f>
        <v>118853.599598823</v>
      </c>
      <c r="X11" s="18">
        <f>SUMPRODUCT('4_매출_거래처'!AS$39:AS$60,$N$58:$N$79)</f>
        <v>118853.599598823</v>
      </c>
      <c r="Y11" s="18">
        <f>SUMPRODUCT('4_매출_거래처'!AT$39:AT$60,$N$58:$N$79)</f>
        <v>118853.599598823</v>
      </c>
      <c r="Z11" s="18">
        <f>SUMPRODUCT('4_매출_거래처'!AU$39:AU$60,$N$58:$N$79)</f>
        <v>118853.599598823</v>
      </c>
      <c r="AA11" s="23">
        <f>SUM(C11:N11)</f>
        <v>118349.265536723</v>
      </c>
      <c r="AB11" s="23">
        <f>SUM(O11:Z11)</f>
        <v>1057724.4</v>
      </c>
      <c r="AC11" s="24">
        <f>SUMPRODUCT('4_매출_거래처'!AX$39:AX$60,$O$58:$O$79)</f>
        <v>3834304.71252908</v>
      </c>
      <c r="AD11" s="24">
        <f>SUMPRODUCT('4_매출_거래처'!AY$39:AY$60,$P$58:$P$79)</f>
        <v>8208258.83283483</v>
      </c>
      <c r="AE11" s="24">
        <f>SUMPRODUCT('4_매출_거래처'!AZ$39:AZ$60,$Q$58:$Q$79)</f>
        <v>18426984.066999</v>
      </c>
      <c r="AF11" s="25">
        <f>SUM(AA11:AE11)</f>
        <v>31645621.2778996</v>
      </c>
    </row>
    <row r="12">
      <c r="A12" s="15" t="inlineStr">
        <is>
          <t>바이탈 모니터링 센서(60GHz, 2026 Q4 출시)</t>
        </is>
      </c>
      <c r="B12" s="15" t="inlineStr">
        <is>
          <t>P4</t>
        </is>
      </c>
      <c r="C12" s="18">
        <f>SUMPRODUCT('4_매출_거래처'!X$39:X$60,$R$58:$R$79)</f>
        <v>0</v>
      </c>
      <c r="D12" s="18">
        <f>SUMPRODUCT('4_매출_거래처'!Y$39:Y$60,$R$58:$R$79)</f>
        <v>0</v>
      </c>
      <c r="E12" s="18">
        <f>SUMPRODUCT('4_매출_거래처'!Z$39:Z$60,$R$58:$R$79)</f>
        <v>0</v>
      </c>
      <c r="F12" s="18">
        <f>SUMPRODUCT('4_매출_거래처'!AA$39:AA$60,$R$58:$R$79)</f>
        <v>0</v>
      </c>
      <c r="G12" s="18">
        <f>SUMPRODUCT('4_매출_거래처'!AB$39:AB$60,$R$58:$R$79)</f>
        <v>0</v>
      </c>
      <c r="H12" s="18">
        <f>SUMPRODUCT('4_매출_거래처'!AC$39:AC$60,$R$58:$R$79)</f>
        <v>0</v>
      </c>
      <c r="I12" s="18">
        <f>SUMPRODUCT('4_매출_거래처'!AD$39:AD$60,$R$58:$R$79)</f>
        <v>0</v>
      </c>
      <c r="J12" s="18">
        <f>SUMPRODUCT('4_매출_거래처'!AE$39:AE$60,$R$58:$R$79)</f>
        <v>0</v>
      </c>
      <c r="K12" s="18">
        <f>SUMPRODUCT('4_매출_거래처'!AF$39:AF$60,$R$58:$R$79)</f>
        <v>0</v>
      </c>
      <c r="L12" s="18">
        <f>SUMPRODUCT('4_매출_거래처'!AG$39:AG$60,$R$58:$R$79)</f>
        <v>0</v>
      </c>
      <c r="M12" s="18">
        <f>SUMPRODUCT('4_매출_거래처'!AH$39:AH$60,$R$58:$R$79)</f>
        <v>0</v>
      </c>
      <c r="N12" s="18">
        <f>SUMPRODUCT('4_매출_거래처'!AI$39:AI$60,$R$58:$R$79)</f>
        <v>0</v>
      </c>
      <c r="O12" s="18">
        <f>SUMPRODUCT('4_매출_거래처'!AJ$39:AJ$60,$S$58:$S$79)</f>
        <v>7307.96218724778</v>
      </c>
      <c r="P12" s="18">
        <f>SUMPRODUCT('4_매출_거래처'!AK$39:AK$60,$S$58:$S$79)</f>
        <v>9957.00922470683</v>
      </c>
      <c r="Q12" s="18">
        <f>SUMPRODUCT('4_매출_거래처'!AL$39:AL$60,$S$58:$S$79)</f>
        <v>12606.0562621659</v>
      </c>
      <c r="R12" s="18">
        <f>SUMPRODUCT('4_매출_거래처'!AM$39:AM$60,$S$58:$S$79)</f>
        <v>15204.2558419978</v>
      </c>
      <c r="S12" s="18">
        <f>SUMPRODUCT('4_매출_거래처'!AN$39:AN$60,$S$58:$S$79)</f>
        <v>17802.4554218298</v>
      </c>
      <c r="T12" s="18">
        <f>SUMPRODUCT('4_매출_거래처'!AO$39:AO$60,$S$58:$S$79)</f>
        <v>20400.6550016617</v>
      </c>
      <c r="U12" s="18">
        <f>SUMPRODUCT('4_매출_거래처'!AP$39:AP$60,$S$58:$S$79)</f>
        <v>22785.5212481603</v>
      </c>
      <c r="V12" s="18">
        <f>SUMPRODUCT('4_매출_거래처'!AQ$39:AQ$60,$S$58:$S$79)</f>
        <v>24982.1522005412</v>
      </c>
      <c r="W12" s="18">
        <f>SUMPRODUCT('4_매출_거래처'!AR$39:AR$60,$S$58:$S$79)</f>
        <v>27178.7831529222</v>
      </c>
      <c r="X12" s="18">
        <f>SUMPRODUCT('4_매출_거래처'!AS$39:AS$60,$S$58:$S$79)</f>
        <v>27178.7831529222</v>
      </c>
      <c r="Y12" s="18">
        <f>SUMPRODUCT('4_매출_거래처'!AT$39:AT$60,$S$58:$S$79)</f>
        <v>27178.7831529222</v>
      </c>
      <c r="Z12" s="18">
        <f>SUMPRODUCT('4_매출_거래처'!AU$39:AU$60,$S$58:$S$79)</f>
        <v>27178.7831529222</v>
      </c>
      <c r="AA12" s="23">
        <f>SUM(C12:N12)</f>
        <v>0</v>
      </c>
      <c r="AB12" s="23">
        <f>SUM(O12:Z12)</f>
        <v>239761.2</v>
      </c>
      <c r="AC12" s="24">
        <f>SUMPRODUCT('4_매출_거래처'!AX$39:AX$60,$T$58:$T$79)</f>
        <v>1805451.26997009</v>
      </c>
      <c r="AD12" s="24">
        <f>SUMPRODUCT('4_매출_거래처'!AY$39:AY$60,$U$58:$U$79)</f>
        <v>5927126.76010103</v>
      </c>
      <c r="AE12" s="24">
        <f>SUMPRODUCT('4_매출_거래처'!AZ$39:AZ$60,$V$58:$V$79)</f>
        <v>17514519.7535902</v>
      </c>
      <c r="AF12" s="25">
        <f>SUM(AA12:AE12)</f>
        <v>25486858.9836613</v>
      </c>
    </row>
    <row r="13">
      <c r="A13" s="15" t="inlineStr">
        <is>
          <t>스마트 욕창 케어(2027 Q4 출시)</t>
        </is>
      </c>
      <c r="B13" s="15" t="inlineStr">
        <is>
          <t>P5</t>
        </is>
      </c>
      <c r="C13" s="18">
        <f>SUMPRODUCT('4_매출_거래처'!X$39:X$60,$W$58:$W$79)</f>
        <v>0</v>
      </c>
      <c r="D13" s="18">
        <f>SUMPRODUCT('4_매출_거래처'!Y$39:Y$60,$W$58:$W$79)</f>
        <v>0</v>
      </c>
      <c r="E13" s="18">
        <f>SUMPRODUCT('4_매출_거래처'!Z$39:Z$60,$W$58:$W$79)</f>
        <v>0</v>
      </c>
      <c r="F13" s="18">
        <f>SUMPRODUCT('4_매출_거래처'!AA$39:AA$60,$W$58:$W$79)</f>
        <v>0</v>
      </c>
      <c r="G13" s="18">
        <f>SUMPRODUCT('4_매출_거래처'!AB$39:AB$60,$W$58:$W$79)</f>
        <v>0</v>
      </c>
      <c r="H13" s="18">
        <f>SUMPRODUCT('4_매출_거래처'!AC$39:AC$60,$W$58:$W$79)</f>
        <v>0</v>
      </c>
      <c r="I13" s="18">
        <f>SUMPRODUCT('4_매출_거래처'!AD$39:AD$60,$W$58:$W$79)</f>
        <v>0</v>
      </c>
      <c r="J13" s="18">
        <f>SUMPRODUCT('4_매출_거래처'!AE$39:AE$60,$W$58:$W$79)</f>
        <v>0</v>
      </c>
      <c r="K13" s="18">
        <f>SUMPRODUCT('4_매출_거래처'!AF$39:AF$60,$W$58:$W$79)</f>
        <v>0</v>
      </c>
      <c r="L13" s="18">
        <f>SUMPRODUCT('4_매출_거래처'!AG$39:AG$60,$W$58:$W$79)</f>
        <v>0</v>
      </c>
      <c r="M13" s="18">
        <f>SUMPRODUCT('4_매출_거래처'!AH$39:AH$60,$W$58:$W$79)</f>
        <v>0</v>
      </c>
      <c r="N13" s="18">
        <f>SUMPRODUCT('4_매출_거래처'!AI$39:AI$60,$W$58:$W$79)</f>
        <v>0</v>
      </c>
      <c r="O13" s="18">
        <f>SUMPRODUCT('4_매출_거래처'!AJ$39:AJ$60,$X$58:$X$79)</f>
        <v>0</v>
      </c>
      <c r="P13" s="18">
        <f>SUMPRODUCT('4_매출_거래처'!AK$39:AK$60,$X$58:$X$79)</f>
        <v>0</v>
      </c>
      <c r="Q13" s="18">
        <f>SUMPRODUCT('4_매출_거래처'!AL$39:AL$60,$X$58:$X$79)</f>
        <v>0</v>
      </c>
      <c r="R13" s="18">
        <f>SUMPRODUCT('4_매출_거래처'!AM$39:AM$60,$X$58:$X$79)</f>
        <v>0</v>
      </c>
      <c r="S13" s="18">
        <f>SUMPRODUCT('4_매출_거래처'!AN$39:AN$60,$X$58:$X$79)</f>
        <v>0</v>
      </c>
      <c r="T13" s="18">
        <f>SUMPRODUCT('4_매출_거래처'!AO$39:AO$60,$X$58:$X$79)</f>
        <v>0</v>
      </c>
      <c r="U13" s="18">
        <f>SUMPRODUCT('4_매출_거래처'!AP$39:AP$60,$X$58:$X$79)</f>
        <v>0</v>
      </c>
      <c r="V13" s="18">
        <f>SUMPRODUCT('4_매출_거래처'!AQ$39:AQ$60,$X$58:$X$79)</f>
        <v>0</v>
      </c>
      <c r="W13" s="18">
        <f>SUMPRODUCT('4_매출_거래처'!AR$39:AR$60,$X$58:$X$79)</f>
        <v>0</v>
      </c>
      <c r="X13" s="18">
        <f>SUMPRODUCT('4_매출_거래처'!AS$39:AS$60,$X$58:$X$79)</f>
        <v>0</v>
      </c>
      <c r="Y13" s="18">
        <f>SUMPRODUCT('4_매출_거래처'!AT$39:AT$60,$X$58:$X$79)</f>
        <v>0</v>
      </c>
      <c r="Z13" s="18">
        <f>SUMPRODUCT('4_매출_거래처'!AU$39:AU$60,$X$58:$X$79)</f>
        <v>0</v>
      </c>
      <c r="AA13" s="23">
        <f>SUM(C13:N13)</f>
        <v>0</v>
      </c>
      <c r="AB13" s="23">
        <f>SUM(O13:Z13)</f>
        <v>0</v>
      </c>
      <c r="AC13" s="24">
        <f>SUMPRODUCT('4_매출_거래처'!AX$39:AX$60,$Y$58:$Y$79)</f>
        <v>422823.364499834</v>
      </c>
      <c r="AD13" s="24">
        <f>SUMPRODUCT('4_매출_거래처'!AY$39:AY$60,$Z$58:$Z$79)</f>
        <v>2319896.346888</v>
      </c>
      <c r="AE13" s="24">
        <f>SUMPRODUCT('4_매출_거래처'!AZ$39:AZ$60,$AA$58:$AA$79)</f>
        <v>8182064.0903544</v>
      </c>
      <c r="AF13" s="25">
        <f>SUM(AA13:AE13)</f>
        <v>10924783.8017422</v>
      </c>
    </row>
    <row r="14">
      <c r="A14" s="15" t="inlineStr">
        <is>
          <t>R&amp;D·PoC 용역</t>
        </is>
      </c>
      <c r="B14" s="15" t="inlineStr">
        <is>
          <t>P6</t>
        </is>
      </c>
      <c r="C14" s="18">
        <f>SUMPRODUCT('4_매출_거래처'!X$39:X$60,$AB$58:$AB$79)</f>
        <v>0</v>
      </c>
      <c r="D14" s="18">
        <f>SUMPRODUCT('4_매출_거래처'!Y$39:Y$60,$AB$58:$AB$79)</f>
        <v>0</v>
      </c>
      <c r="E14" s="18">
        <f>SUMPRODUCT('4_매출_거래처'!Z$39:Z$60,$AB$58:$AB$79)</f>
        <v>0</v>
      </c>
      <c r="F14" s="18">
        <f>SUMPRODUCT('4_매출_거래처'!AA$39:AA$60,$AB$58:$AB$79)</f>
        <v>0</v>
      </c>
      <c r="G14" s="18">
        <f>SUMPRODUCT('4_매출_거래처'!AB$39:AB$60,$AB$58:$AB$79)</f>
        <v>0</v>
      </c>
      <c r="H14" s="18">
        <f>SUMPRODUCT('4_매출_거래처'!AC$39:AC$60,$AB$58:$AB$79)</f>
        <v>0</v>
      </c>
      <c r="I14" s="18">
        <f>SUMPRODUCT('4_매출_거래처'!AD$39:AD$60,$AB$58:$AB$79)</f>
        <v>10000</v>
      </c>
      <c r="J14" s="18">
        <f>SUMPRODUCT('4_매출_거래처'!AE$39:AE$60,$AB$58:$AB$79)</f>
        <v>10000</v>
      </c>
      <c r="K14" s="18">
        <f>SUMPRODUCT('4_매출_거래처'!AF$39:AF$60,$AB$58:$AB$79)</f>
        <v>10000</v>
      </c>
      <c r="L14" s="18">
        <f>SUMPRODUCT('4_매출_거래처'!AG$39:AG$60,$AB$58:$AB$79)</f>
        <v>10000</v>
      </c>
      <c r="M14" s="18">
        <f>SUMPRODUCT('4_매출_거래처'!AH$39:AH$60,$AB$58:$AB$79)</f>
        <v>10000</v>
      </c>
      <c r="N14" s="18">
        <f>SUMPRODUCT('4_매출_거래처'!AI$39:AI$60,$AB$58:$AB$79)</f>
        <v>10000</v>
      </c>
      <c r="O14" s="18">
        <f>SUMPRODUCT('4_매출_거래처'!AJ$39:AJ$60,$AC$58:$AC$79)</f>
        <v>10000</v>
      </c>
      <c r="P14" s="18">
        <f>SUMPRODUCT('4_매출_거래처'!AK$39:AK$60,$AC$58:$AC$79)</f>
        <v>10000</v>
      </c>
      <c r="Q14" s="18">
        <f>SUMPRODUCT('4_매출_거래처'!AL$39:AL$60,$AC$58:$AC$79)</f>
        <v>10000</v>
      </c>
      <c r="R14" s="18">
        <f>SUMPRODUCT('4_매출_거래처'!AM$39:AM$60,$AC$58:$AC$79)</f>
        <v>10000</v>
      </c>
      <c r="S14" s="18">
        <f>SUMPRODUCT('4_매출_거래처'!AN$39:AN$60,$AC$58:$AC$79)</f>
        <v>10000</v>
      </c>
      <c r="T14" s="18">
        <f>SUMPRODUCT('4_매출_거래처'!AO$39:AO$60,$AC$58:$AC$79)</f>
        <v>19000</v>
      </c>
      <c r="U14" s="18">
        <f>SUMPRODUCT('4_매출_거래처'!AP$39:AP$60,$AC$58:$AC$79)</f>
        <v>19000</v>
      </c>
      <c r="V14" s="18">
        <f>SUMPRODUCT('4_매출_거래처'!AQ$39:AQ$60,$AC$58:$AC$79)</f>
        <v>19000</v>
      </c>
      <c r="W14" s="18">
        <f>SUMPRODUCT('4_매출_거래처'!AR$39:AR$60,$AC$58:$AC$79)</f>
        <v>10000</v>
      </c>
      <c r="X14" s="18">
        <f>SUMPRODUCT('4_매출_거래처'!AS$39:AS$60,$AC$58:$AC$79)</f>
        <v>10000</v>
      </c>
      <c r="Y14" s="18">
        <f>SUMPRODUCT('4_매출_거래처'!AT$39:AT$60,$AC$58:$AC$79)</f>
        <v>10000</v>
      </c>
      <c r="Z14" s="18">
        <f>SUMPRODUCT('4_매출_거래처'!AU$39:AU$60,$AC$58:$AC$79)</f>
        <v>10000</v>
      </c>
      <c r="AA14" s="23">
        <f>SUM(C14:N14)</f>
        <v>60000</v>
      </c>
      <c r="AB14" s="23">
        <f>SUM(O14:Z14)</f>
        <v>147000</v>
      </c>
      <c r="AC14" s="24">
        <f>SUMPRODUCT('4_매출_거래처'!AX$39:AX$60,$AD$58:$AD$79)</f>
        <v>394532.219195746</v>
      </c>
      <c r="AD14" s="24">
        <f>SUMPRODUCT('4_매출_거래처'!AY$39:AY$60,$AE$58:$AE$79)</f>
        <v>763935.674168162</v>
      </c>
      <c r="AE14" s="24">
        <f>SUMPRODUCT('4_매출_거래처'!AZ$39:AZ$60,$AF$58:$AF$79)</f>
        <v>2171990.31993234</v>
      </c>
      <c r="AF14" s="25">
        <f>SUM(AA14:AE14)</f>
        <v>3537458.21329624</v>
      </c>
    </row>
    <row r="15">
      <c r="A15" s="12" t="inlineStr">
        <is>
          <t>매출액 합계</t>
        </is>
      </c>
      <c r="C15" s="26">
        <f>SUM(C9:C14)</f>
        <v>67445.6116043404</v>
      </c>
      <c r="D15" s="26">
        <f>SUM(D9:D14)</f>
        <v>69140.5268585777</v>
      </c>
      <c r="E15" s="26">
        <f>SUM(E9:E14)</f>
        <v>70835.442112815</v>
      </c>
      <c r="F15" s="26">
        <f>SUM(F9:F14)</f>
        <v>72530.3573670523</v>
      </c>
      <c r="G15" s="26">
        <f>SUM(G9:G14)</f>
        <v>74225.2726212896</v>
      </c>
      <c r="H15" s="26">
        <f>SUM(H9:H14)</f>
        <v>75920.1878755269</v>
      </c>
      <c r="I15" s="26">
        <f>SUM(I9:I14)</f>
        <v>94726.2142408753</v>
      </c>
      <c r="J15" s="26">
        <f>SUM(J9:J14)</f>
        <v>103532.240606224</v>
      </c>
      <c r="K15" s="26">
        <f>SUM(K9:K14)</f>
        <v>112338.266971572</v>
      </c>
      <c r="L15" s="26">
        <f>SUM(L9:L14)</f>
        <v>125773.92296655</v>
      </c>
      <c r="M15" s="26">
        <f>SUM(M9:M14)</f>
        <v>147149.578961528</v>
      </c>
      <c r="N15" s="26">
        <f>SUM(N9:N14)</f>
        <v>186382.377813649</v>
      </c>
      <c r="O15" s="26">
        <f>SUM(O9:O14)</f>
        <v>286006.146982333</v>
      </c>
      <c r="P15" s="26">
        <f>SUM(P9:P14)</f>
        <v>396943.880474977</v>
      </c>
      <c r="Q15" s="26">
        <f>SUM(Q9:Q14)</f>
        <v>507881.613967621</v>
      </c>
      <c r="R15" s="26">
        <f>SUM(R9:R14)</f>
        <v>617124.432206027</v>
      </c>
      <c r="S15" s="26">
        <f>SUM(S9:S14)</f>
        <v>726367.250444434</v>
      </c>
      <c r="T15" s="26">
        <f>SUM(T9:T14)</f>
        <v>895610.06868284</v>
      </c>
      <c r="U15" s="26">
        <f>SUM(U9:U14)</f>
        <v>997741.775810136</v>
      </c>
      <c r="V15" s="26">
        <f>SUM(V9:V14)</f>
        <v>1089481.32607469</v>
      </c>
      <c r="W15" s="26">
        <f>SUM(W9:W14)</f>
        <v>1121220.87633924</v>
      </c>
      <c r="X15" s="26">
        <f>SUM(X9:X14)</f>
        <v>1121220.87633924</v>
      </c>
      <c r="Y15" s="26">
        <f>SUM(Y9:Y14)</f>
        <v>1121220.87633924</v>
      </c>
      <c r="Z15" s="26">
        <f>SUM(Z9:Z14)</f>
        <v>1121220.87633924</v>
      </c>
      <c r="AA15" s="27">
        <f>SUM(AA9:AA14)</f>
        <v>1200000</v>
      </c>
      <c r="AB15" s="27">
        <f>SUM(AB9:AB14)</f>
        <v>10002040</v>
      </c>
      <c r="AC15" s="28">
        <f>SUM(AC9:AC14)</f>
        <v>33000000</v>
      </c>
      <c r="AD15" s="28">
        <f>SUM(AD9:AD14)</f>
        <v>70000000</v>
      </c>
      <c r="AE15" s="28">
        <f>SUM(AE9:AE14)</f>
        <v>156000000</v>
      </c>
      <c r="AF15" s="26">
        <f>SUM(AF9:AF14)</f>
        <v>270202040</v>
      </c>
    </row>
    <row r="18">
      <c r="A18" s="3" t="inlineStr">
        <is>
          <t>B. 지역별 매출</t>
        </is>
      </c>
    </row>
    <row r="19">
      <c r="A19" s="15" t="inlineStr">
        <is>
          <t>한국</t>
        </is>
      </c>
      <c r="C19" s="18">
        <f>SUMIF('4_매출_거래처'!$C$39:$C$60,$A19,'4_매출_거래처'!X$39:X$60)</f>
        <v>0</v>
      </c>
      <c r="D19" s="18">
        <f>SUMIF('4_매출_거래처'!$C$39:$C$60,$A19,'4_매출_거래처'!Y$39:Y$60)</f>
        <v>0</v>
      </c>
      <c r="E19" s="18">
        <f>SUMIF('4_매출_거래처'!$C$39:$C$60,$A19,'4_매출_거래처'!Z$39:Z$60)</f>
        <v>0</v>
      </c>
      <c r="F19" s="18">
        <f>SUMIF('4_매출_거래처'!$C$39:$C$60,$A19,'4_매출_거래처'!AA$39:AA$60)</f>
        <v>0</v>
      </c>
      <c r="G19" s="18">
        <f>SUMIF('4_매출_거래처'!$C$39:$C$60,$A19,'4_매출_거래처'!AB$39:AB$60)</f>
        <v>0</v>
      </c>
      <c r="H19" s="18">
        <f>SUMIF('4_매출_거래처'!$C$39:$C$60,$A19,'4_매출_거래처'!AC$39:AC$60)</f>
        <v>0</v>
      </c>
      <c r="I19" s="18">
        <f>SUMIF('4_매출_거래처'!$C$39:$C$60,$A19,'4_매출_거래처'!AD$39:AD$60)</f>
        <v>0</v>
      </c>
      <c r="J19" s="18">
        <f>SUMIF('4_매출_거래처'!$C$39:$C$60,$A19,'4_매출_거래처'!AE$39:AE$60)</f>
        <v>0</v>
      </c>
      <c r="K19" s="18">
        <f>SUMIF('4_매출_거래처'!$C$39:$C$60,$A19,'4_매출_거래처'!AF$39:AF$60)</f>
        <v>0</v>
      </c>
      <c r="L19" s="18">
        <f>SUMIF('4_매출_거래처'!$C$39:$C$60,$A19,'4_매출_거래처'!AG$39:AG$60)</f>
        <v>4629.62962962963</v>
      </c>
      <c r="M19" s="18">
        <f>SUMIF('4_매출_거래처'!$C$39:$C$60,$A19,'4_매출_거래처'!AH$39:AH$60)</f>
        <v>9259.25925925926</v>
      </c>
      <c r="N19" s="18">
        <f>SUMIF('4_매출_거래처'!$C$39:$C$60,$A19,'4_매출_거래처'!AI$39:AI$60)</f>
        <v>31746.0317460317</v>
      </c>
      <c r="O19" s="18">
        <f>SUMIF('4_매출_거래처'!$C$39:$C$60,$A19,'4_매출_거래처'!AJ$39:AJ$60)</f>
        <v>95707.8042328042</v>
      </c>
      <c r="P19" s="18">
        <f>SUMIF('4_매출_거래처'!$C$39:$C$60,$A19,'4_매출_거래처'!AK$39:AK$60)</f>
        <v>159669.576719577</v>
      </c>
      <c r="Q19" s="18">
        <f>SUMIF('4_매출_거래처'!$C$39:$C$60,$A19,'4_매출_거래처'!AL$39:AL$60)</f>
        <v>223631.349206349</v>
      </c>
      <c r="R19" s="18">
        <f>SUMIF('4_매출_거래처'!$C$39:$C$60,$A19,'4_매출_거래처'!AM$39:AM$60)</f>
        <v>287593.121693122</v>
      </c>
      <c r="S19" s="18">
        <f>SUMIF('4_매출_거래처'!$C$39:$C$60,$A19,'4_매출_거래처'!AN$39:AN$60)</f>
        <v>351554.894179894</v>
      </c>
      <c r="T19" s="18">
        <f>SUMIF('4_매출_거래처'!$C$39:$C$60,$A19,'4_매출_거래처'!AO$39:AO$60)</f>
        <v>415516.666666667</v>
      </c>
      <c r="U19" s="18">
        <f>SUMIF('4_매출_거래처'!$C$39:$C$60,$A19,'4_매출_거래처'!AP$39:AP$60)</f>
        <v>479478.439153439</v>
      </c>
      <c r="V19" s="18">
        <f>SUMIF('4_매출_거래처'!$C$39:$C$60,$A19,'4_매출_거래처'!AQ$39:AQ$60)</f>
        <v>543440.211640212</v>
      </c>
      <c r="W19" s="18">
        <f>SUMIF('4_매출_거래처'!$C$39:$C$60,$A19,'4_매출_거래처'!AR$39:AR$60)</f>
        <v>607401.984126984</v>
      </c>
      <c r="X19" s="18">
        <f>SUMIF('4_매출_거래처'!$C$39:$C$60,$A19,'4_매출_거래처'!AS$39:AS$60)</f>
        <v>607401.984126984</v>
      </c>
      <c r="Y19" s="18">
        <f>SUMIF('4_매출_거래처'!$C$39:$C$60,$A19,'4_매출_거래처'!AT$39:AT$60)</f>
        <v>607401.984126984</v>
      </c>
      <c r="Z19" s="18">
        <f>SUMIF('4_매출_거래처'!$C$39:$C$60,$A19,'4_매출_거래처'!AU$39:AU$60)</f>
        <v>607401.984126984</v>
      </c>
      <c r="AA19" s="23">
        <f>SUM(C19:N19)</f>
        <v>45634.9206349206</v>
      </c>
      <c r="AB19" s="23">
        <f>SUM(O19:Z19)</f>
        <v>4986200</v>
      </c>
      <c r="AC19" s="24">
        <f>SUMIF('4_매출_거래처'!$C$39:$C$60,$A19,'4_매출_거래처'!AX$39:AX$60)</f>
        <v>10685616.6666667</v>
      </c>
      <c r="AD19" s="24">
        <f>SUMIF('4_매출_거래처'!$C$39:$C$60,$A19,'4_매출_거래처'!AY$39:AY$60)</f>
        <v>16525548.3333333</v>
      </c>
      <c r="AE19" s="24">
        <f>SUMIF('4_매출_거래처'!$C$39:$C$60,$A19,'4_매출_거래처'!AZ$39:AZ$60)</f>
        <v>23340155.8333333</v>
      </c>
      <c r="AF19" s="25">
        <f>SUM(AA19:AE19)</f>
        <v>55583155.7539683</v>
      </c>
    </row>
    <row r="20">
      <c r="A20" s="15" t="inlineStr">
        <is>
          <t>일본</t>
        </is>
      </c>
      <c r="C20" s="18">
        <f>SUMIF('4_매출_거래처'!$C$39:$C$60,$A20,'4_매출_거래처'!X$39:X$60)</f>
        <v>56888.8888888889</v>
      </c>
      <c r="D20" s="18">
        <f>SUMIF('4_매출_거래처'!$C$39:$C$60,$A20,'4_매출_거래처'!Y$39:Y$60)</f>
        <v>56888.8888888889</v>
      </c>
      <c r="E20" s="18">
        <f>SUMIF('4_매출_거래처'!$C$39:$C$60,$A20,'4_매출_거래처'!Z$39:Z$60)</f>
        <v>56888.8888888889</v>
      </c>
      <c r="F20" s="18">
        <f>SUMIF('4_매출_거래처'!$C$39:$C$60,$A20,'4_매출_거래처'!AA$39:AA$60)</f>
        <v>56888.8888888889</v>
      </c>
      <c r="G20" s="18">
        <f>SUMIF('4_매출_거래처'!$C$39:$C$60,$A20,'4_매출_거래처'!AB$39:AB$60)</f>
        <v>56888.8888888889</v>
      </c>
      <c r="H20" s="18">
        <f>SUMIF('4_매출_거래처'!$C$39:$C$60,$A20,'4_매출_거래처'!AC$39:AC$60)</f>
        <v>56888.8888888889</v>
      </c>
      <c r="I20" s="18">
        <f>SUMIF('4_매출_거래처'!$C$39:$C$60,$A20,'4_매출_거래처'!AD$39:AD$60)</f>
        <v>64000</v>
      </c>
      <c r="J20" s="18">
        <f>SUMIF('4_매출_거래처'!$C$39:$C$60,$A20,'4_매출_거래처'!AE$39:AE$60)</f>
        <v>71111.1111111111</v>
      </c>
      <c r="K20" s="18">
        <f>SUMIF('4_매출_거래처'!$C$39:$C$60,$A20,'4_매출_거래처'!AF$39:AF$60)</f>
        <v>78222.2222222222</v>
      </c>
      <c r="L20" s="18">
        <f>SUMIF('4_매출_거래처'!$C$39:$C$60,$A20,'4_매출_거래처'!AG$39:AG$60)</f>
        <v>85333.3333333333</v>
      </c>
      <c r="M20" s="18">
        <f>SUMIF('4_매출_거래처'!$C$39:$C$60,$A20,'4_매출_거래처'!AH$39:AH$60)</f>
        <v>92444.4444444445</v>
      </c>
      <c r="N20" s="18">
        <f>SUMIF('4_매출_거래처'!$C$39:$C$60,$A20,'4_매출_거래처'!AI$39:AI$60)</f>
        <v>99555.5555555556</v>
      </c>
      <c r="O20" s="18">
        <f>SUMIF('4_매출_거래처'!$C$39:$C$60,$A20,'4_매출_거래처'!AJ$39:AJ$60)</f>
        <v>134444.444444444</v>
      </c>
      <c r="P20" s="18">
        <f>SUMIF('4_매출_거래처'!$C$39:$C$60,$A20,'4_매출_거래처'!AK$39:AK$60)</f>
        <v>169333.333333333</v>
      </c>
      <c r="Q20" s="18">
        <f>SUMIF('4_매출_거래처'!$C$39:$C$60,$A20,'4_매출_거래처'!AL$39:AL$60)</f>
        <v>204222.222222222</v>
      </c>
      <c r="R20" s="18">
        <f>SUMIF('4_매출_거래처'!$C$39:$C$60,$A20,'4_매출_거래처'!AM$39:AM$60)</f>
        <v>239111.111111111</v>
      </c>
      <c r="S20" s="18">
        <f>SUMIF('4_매출_거래처'!$C$39:$C$60,$A20,'4_매출_거래처'!AN$39:AN$60)</f>
        <v>274000</v>
      </c>
      <c r="T20" s="18">
        <f>SUMIF('4_매출_거래처'!$C$39:$C$60,$A20,'4_매출_거래처'!AO$39:AO$60)</f>
        <v>308888.888888889</v>
      </c>
      <c r="U20" s="18">
        <f>SUMIF('4_매출_거래처'!$C$39:$C$60,$A20,'4_매출_거래처'!AP$39:AP$60)</f>
        <v>336666.666666667</v>
      </c>
      <c r="V20" s="18">
        <f>SUMIF('4_매출_거래처'!$C$39:$C$60,$A20,'4_매출_거래처'!AQ$39:AQ$60)</f>
        <v>364444.444444444</v>
      </c>
      <c r="W20" s="18">
        <f>SUMIF('4_매출_거래처'!$C$39:$C$60,$A20,'4_매출_거래처'!AR$39:AR$60)</f>
        <v>392222.222222222</v>
      </c>
      <c r="X20" s="18">
        <f>SUMIF('4_매출_거래처'!$C$39:$C$60,$A20,'4_매출_거래처'!AS$39:AS$60)</f>
        <v>392222.222222222</v>
      </c>
      <c r="Y20" s="18">
        <f>SUMIF('4_매출_거래처'!$C$39:$C$60,$A20,'4_매출_거래처'!AT$39:AT$60)</f>
        <v>392222.222222222</v>
      </c>
      <c r="Z20" s="18">
        <f>SUMIF('4_매출_거래처'!$C$39:$C$60,$A20,'4_매출_거래처'!AU$39:AU$60)</f>
        <v>392222.222222222</v>
      </c>
      <c r="AA20" s="23">
        <f>SUM(C20:N20)</f>
        <v>832000</v>
      </c>
      <c r="AB20" s="23">
        <f>SUM(O20:Z20)</f>
        <v>3600000</v>
      </c>
      <c r="AC20" s="24">
        <f>SUMIF('4_매출_거래처'!$C$39:$C$60,$A20,'4_매출_거래처'!AX$39:AX$60)</f>
        <v>11342666.6666667</v>
      </c>
      <c r="AD20" s="24">
        <f>SUMIF('4_매출_거래처'!$C$39:$C$60,$A20,'4_매출_거래처'!AY$39:AY$60)</f>
        <v>22652533.3333333</v>
      </c>
      <c r="AE20" s="24">
        <f>SUMIF('4_매출_거래처'!$C$39:$C$60,$A20,'4_매출_거래처'!AZ$39:AZ$60)</f>
        <v>49092800</v>
      </c>
      <c r="AF20" s="25">
        <f>SUM(AA20:AE20)</f>
        <v>87520000</v>
      </c>
    </row>
    <row r="21">
      <c r="A21" s="15" t="inlineStr">
        <is>
          <t>동남아·APAC</t>
        </is>
      </c>
      <c r="C21" s="18">
        <f>SUMIF('4_매출_거래처'!$C$39:$C$60,$A21,'4_매출_거래처'!X$39:X$60)</f>
        <v>1694.91525423729</v>
      </c>
      <c r="D21" s="18">
        <f>SUMIF('4_매출_거래처'!$C$39:$C$60,$A21,'4_매출_거래처'!Y$39:Y$60)</f>
        <v>3389.83050847458</v>
      </c>
      <c r="E21" s="18">
        <f>SUMIF('4_매출_거래처'!$C$39:$C$60,$A21,'4_매출_거래처'!Z$39:Z$60)</f>
        <v>5084.74576271187</v>
      </c>
      <c r="F21" s="18">
        <f>SUMIF('4_매출_거래처'!$C$39:$C$60,$A21,'4_매출_거래처'!AA$39:AA$60)</f>
        <v>6779.66101694915</v>
      </c>
      <c r="G21" s="18">
        <f>SUMIF('4_매출_거래처'!$C$39:$C$60,$A21,'4_매출_거래처'!AB$39:AB$60)</f>
        <v>8474.57627118644</v>
      </c>
      <c r="H21" s="18">
        <f>SUMIF('4_매출_거래처'!$C$39:$C$60,$A21,'4_매출_거래처'!AC$39:AC$60)</f>
        <v>10169.4915254237</v>
      </c>
      <c r="I21" s="18">
        <f>SUMIF('4_매출_거래처'!$C$39:$C$60,$A21,'4_매출_거래처'!AD$39:AD$60)</f>
        <v>21864.406779661</v>
      </c>
      <c r="J21" s="18">
        <f>SUMIF('4_매출_거래처'!$C$39:$C$60,$A21,'4_매출_거래처'!AE$39:AE$60)</f>
        <v>23559.3220338983</v>
      </c>
      <c r="K21" s="18">
        <f>SUMIF('4_매출_거래처'!$C$39:$C$60,$A21,'4_매출_거래처'!AF$39:AF$60)</f>
        <v>25254.2372881356</v>
      </c>
      <c r="L21" s="18">
        <f>SUMIF('4_매출_거래처'!$C$39:$C$60,$A21,'4_매출_거래처'!AG$39:AG$60)</f>
        <v>26949.1525423729</v>
      </c>
      <c r="M21" s="18">
        <f>SUMIF('4_매출_거래처'!$C$39:$C$60,$A21,'4_매출_거래처'!AH$39:AH$60)</f>
        <v>36584.0677966102</v>
      </c>
      <c r="N21" s="18">
        <f>SUMIF('4_매출_거래처'!$C$39:$C$60,$A21,'4_매출_거래처'!AI$39:AI$60)</f>
        <v>46218.9830508475</v>
      </c>
      <c r="O21" s="18">
        <f>SUMIF('4_매출_거래처'!$C$39:$C$60,$A21,'4_매출_거래처'!AJ$39:AJ$60)</f>
        <v>55853.8983050847</v>
      </c>
      <c r="P21" s="18">
        <f>SUMIF('4_매출_거래처'!$C$39:$C$60,$A21,'4_매출_거래처'!AK$39:AK$60)</f>
        <v>64019.4017946162</v>
      </c>
      <c r="Q21" s="18">
        <f>SUMIF('4_매출_거래처'!$C$39:$C$60,$A21,'4_매출_거래처'!AL$39:AL$60)</f>
        <v>72184.9052841476</v>
      </c>
      <c r="R21" s="18">
        <f>SUMIF('4_매출_거래처'!$C$39:$C$60,$A21,'4_매출_거래처'!AM$39:AM$60)</f>
        <v>78655.4935194417</v>
      </c>
      <c r="S21" s="18">
        <f>SUMIF('4_매출_거래처'!$C$39:$C$60,$A21,'4_매출_거래처'!AN$39:AN$60)</f>
        <v>85126.0817547358</v>
      </c>
      <c r="T21" s="18">
        <f>SUMIF('4_매출_거래처'!$C$39:$C$60,$A21,'4_매출_거래처'!AO$39:AO$60)</f>
        <v>151596.66999003</v>
      </c>
      <c r="U21" s="18">
        <f>SUMIF('4_매출_거래처'!$C$39:$C$60,$A21,'4_매출_거래처'!AP$39:AP$60)</f>
        <v>158067.258225324</v>
      </c>
      <c r="V21" s="18">
        <f>SUMIF('4_매출_거래처'!$C$39:$C$60,$A21,'4_매출_거래처'!AQ$39:AQ$60)</f>
        <v>158067.258225324</v>
      </c>
      <c r="W21" s="18">
        <f>SUMIF('4_매출_거래처'!$C$39:$C$60,$A21,'4_매출_거래처'!AR$39:AR$60)</f>
        <v>98067.258225324</v>
      </c>
      <c r="X21" s="18">
        <f>SUMIF('4_매출_거래처'!$C$39:$C$60,$A21,'4_매출_거래처'!AS$39:AS$60)</f>
        <v>98067.258225324</v>
      </c>
      <c r="Y21" s="18">
        <f>SUMIF('4_매출_거래처'!$C$39:$C$60,$A21,'4_매출_거래처'!AT$39:AT$60)</f>
        <v>98067.258225324</v>
      </c>
      <c r="Z21" s="18">
        <f>SUMIF('4_매출_거래처'!$C$39:$C$60,$A21,'4_매출_거래처'!AU$39:AU$60)</f>
        <v>98067.258225324</v>
      </c>
      <c r="AA21" s="23">
        <f>SUM(C21:N21)</f>
        <v>216023.389830508</v>
      </c>
      <c r="AB21" s="23">
        <f>SUM(O21:Z21)</f>
        <v>1215840</v>
      </c>
      <c r="AC21" s="24">
        <f>SUMIF('4_매출_거래처'!$C$39:$C$60,$A21,'4_매출_거래처'!AX$39:AX$60)</f>
        <v>4140399.82452642</v>
      </c>
      <c r="AD21" s="24">
        <f>SUMIF('4_매출_거래처'!$C$39:$C$60,$A21,'4_매출_거래처'!AY$39:AY$60)</f>
        <v>9132664.03668993</v>
      </c>
      <c r="AE21" s="24">
        <f>SUMIF('4_매출_거래처'!$C$39:$C$60,$A21,'4_매출_거래처'!AZ$39:AZ$60)</f>
        <v>21574775.2288734</v>
      </c>
      <c r="AF21" s="25">
        <f>SUM(AA21:AE21)</f>
        <v>36279702.4799202</v>
      </c>
    </row>
    <row r="22">
      <c r="A22" s="15" t="inlineStr">
        <is>
          <t>유럽</t>
        </is>
      </c>
      <c r="C22" s="18">
        <f>SUMIF('4_매출_거래처'!$C$39:$C$60,$A22,'4_매출_거래처'!X$39:X$60)</f>
        <v>0</v>
      </c>
      <c r="D22" s="18">
        <f>SUMIF('4_매출_거래처'!$C$39:$C$60,$A22,'4_매출_거래처'!Y$39:Y$60)</f>
        <v>0</v>
      </c>
      <c r="E22" s="18">
        <f>SUMIF('4_매출_거래처'!$C$39:$C$60,$A22,'4_매출_거래처'!Z$39:Z$60)</f>
        <v>0</v>
      </c>
      <c r="F22" s="18">
        <f>SUMIF('4_매출_거래처'!$C$39:$C$60,$A22,'4_매출_거래처'!AA$39:AA$60)</f>
        <v>0</v>
      </c>
      <c r="G22" s="18">
        <f>SUMIF('4_매출_거래처'!$C$39:$C$60,$A22,'4_매출_거래처'!AB$39:AB$60)</f>
        <v>0</v>
      </c>
      <c r="H22" s="18">
        <f>SUMIF('4_매출_거래처'!$C$39:$C$60,$A22,'4_매출_거래처'!AC$39:AC$60)</f>
        <v>0</v>
      </c>
      <c r="I22" s="18">
        <f>SUMIF('4_매출_거래처'!$C$39:$C$60,$A22,'4_매출_거래처'!AD$39:AD$60)</f>
        <v>0</v>
      </c>
      <c r="J22" s="18">
        <f>SUMIF('4_매출_거래처'!$C$39:$C$60,$A22,'4_매출_거래처'!AE$39:AE$60)</f>
        <v>0</v>
      </c>
      <c r="K22" s="18">
        <f>SUMIF('4_매출_거래처'!$C$39:$C$60,$A22,'4_매출_거래처'!AF$39:AF$60)</f>
        <v>0</v>
      </c>
      <c r="L22" s="18">
        <f>SUMIF('4_매출_거래처'!$C$39:$C$60,$A22,'4_매출_거래처'!AG$39:AG$60)</f>
        <v>0</v>
      </c>
      <c r="M22" s="18">
        <f>SUMIF('4_매출_거래처'!$C$39:$C$60,$A22,'4_매출_거래처'!AH$39:AH$60)</f>
        <v>0</v>
      </c>
      <c r="N22" s="18">
        <f>SUMIF('4_매출_거래처'!$C$39:$C$60,$A22,'4_매출_거래처'!AI$39:AI$60)</f>
        <v>0</v>
      </c>
      <c r="O22" s="18">
        <f>SUMIF('4_매출_거래처'!$C$39:$C$60,$A22,'4_매출_거래처'!AJ$39:AJ$60)</f>
        <v>0</v>
      </c>
      <c r="P22" s="18">
        <f>SUMIF('4_매출_거래처'!$C$39:$C$60,$A22,'4_매출_거래처'!AK$39:AK$60)</f>
        <v>3921.56862745098</v>
      </c>
      <c r="Q22" s="18">
        <f>SUMIF('4_매출_거래처'!$C$39:$C$60,$A22,'4_매출_거래처'!AL$39:AL$60)</f>
        <v>7843.13725490196</v>
      </c>
      <c r="R22" s="18">
        <f>SUMIF('4_매출_거래처'!$C$39:$C$60,$A22,'4_매출_거래처'!AM$39:AM$60)</f>
        <v>11764.7058823529</v>
      </c>
      <c r="S22" s="18">
        <f>SUMIF('4_매출_거래처'!$C$39:$C$60,$A22,'4_매출_거래처'!AN$39:AN$60)</f>
        <v>15686.2745098039</v>
      </c>
      <c r="T22" s="18">
        <f>SUMIF('4_매출_거래처'!$C$39:$C$60,$A22,'4_매출_거래처'!AO$39:AO$60)</f>
        <v>19607.8431372549</v>
      </c>
      <c r="U22" s="18">
        <f>SUMIF('4_매출_거래처'!$C$39:$C$60,$A22,'4_매출_거래처'!AP$39:AP$60)</f>
        <v>23529.4117647059</v>
      </c>
      <c r="V22" s="18">
        <f>SUMIF('4_매출_거래처'!$C$39:$C$60,$A22,'4_매출_거래처'!AQ$39:AQ$60)</f>
        <v>23529.4117647059</v>
      </c>
      <c r="W22" s="18">
        <f>SUMIF('4_매출_거래처'!$C$39:$C$60,$A22,'4_매출_거래처'!AR$39:AR$60)</f>
        <v>23529.4117647059</v>
      </c>
      <c r="X22" s="18">
        <f>SUMIF('4_매출_거래처'!$C$39:$C$60,$A22,'4_매출_거래처'!AS$39:AS$60)</f>
        <v>23529.4117647059</v>
      </c>
      <c r="Y22" s="18">
        <f>SUMIF('4_매출_거래처'!$C$39:$C$60,$A22,'4_매출_거래처'!AT$39:AT$60)</f>
        <v>23529.4117647059</v>
      </c>
      <c r="Z22" s="18">
        <f>SUMIF('4_매출_거래처'!$C$39:$C$60,$A22,'4_매출_거래처'!AU$39:AU$60)</f>
        <v>23529.4117647059</v>
      </c>
      <c r="AA22" s="23">
        <f>SUM(C22:N22)</f>
        <v>0</v>
      </c>
      <c r="AB22" s="23">
        <f>SUM(O22:Z22)</f>
        <v>200000</v>
      </c>
      <c r="AC22" s="24">
        <f>SUMIF('4_매출_거래처'!$C$39:$C$60,$A22,'4_매출_거래처'!AX$39:AX$60)</f>
        <v>1764705.88235294</v>
      </c>
      <c r="AD22" s="24">
        <f>SUMIF('4_매출_거래처'!$C$39:$C$60,$A22,'4_매출_거래처'!AY$39:AY$60)</f>
        <v>4316470.58823529</v>
      </c>
      <c r="AE22" s="24">
        <f>SUMIF('4_매출_거래처'!$C$39:$C$60,$A22,'4_매출_거래처'!AZ$39:AZ$60)</f>
        <v>12626352.9411765</v>
      </c>
      <c r="AF22" s="25">
        <f>SUM(AA22:AE22)</f>
        <v>18907529.4117647</v>
      </c>
    </row>
    <row r="23">
      <c r="A23" s="15" t="inlineStr">
        <is>
          <t>미국</t>
        </is>
      </c>
      <c r="C23" s="18">
        <f>SUMIF('4_매출_거래처'!$C$39:$C$60,$A23,'4_매출_거래처'!X$39:X$60)</f>
        <v>0</v>
      </c>
      <c r="D23" s="18">
        <f>SUMIF('4_매출_거래처'!$C$39:$C$60,$A23,'4_매출_거래처'!Y$39:Y$60)</f>
        <v>0</v>
      </c>
      <c r="E23" s="18">
        <f>SUMIF('4_매출_거래처'!$C$39:$C$60,$A23,'4_매출_거래처'!Z$39:Z$60)</f>
        <v>0</v>
      </c>
      <c r="F23" s="18">
        <f>SUMIF('4_매출_거래처'!$C$39:$C$60,$A23,'4_매출_거래처'!AA$39:AA$60)</f>
        <v>0</v>
      </c>
      <c r="G23" s="18">
        <f>SUMIF('4_매출_거래처'!$C$39:$C$60,$A23,'4_매출_거래처'!AB$39:AB$60)</f>
        <v>0</v>
      </c>
      <c r="H23" s="18">
        <f>SUMIF('4_매출_거래처'!$C$39:$C$60,$A23,'4_매출_거래처'!AC$39:AC$60)</f>
        <v>0</v>
      </c>
      <c r="I23" s="18">
        <f>SUMIF('4_매출_거래처'!$C$39:$C$60,$A23,'4_매출_거래처'!AD$39:AD$60)</f>
        <v>0</v>
      </c>
      <c r="J23" s="18">
        <f>SUMIF('4_매출_거래처'!$C$39:$C$60,$A23,'4_매출_거래처'!AE$39:AE$60)</f>
        <v>0</v>
      </c>
      <c r="K23" s="18">
        <f>SUMIF('4_매출_거래처'!$C$39:$C$60,$A23,'4_매출_거래처'!AF$39:AF$60)</f>
        <v>0</v>
      </c>
      <c r="L23" s="18">
        <f>SUMIF('4_매출_거래처'!$C$39:$C$60,$A23,'4_매출_거래처'!AG$39:AG$60)</f>
        <v>0</v>
      </c>
      <c r="M23" s="18">
        <f>SUMIF('4_매출_거래처'!$C$39:$C$60,$A23,'4_매출_거래처'!AH$39:AH$60)</f>
        <v>0</v>
      </c>
      <c r="N23" s="18">
        <f>SUMIF('4_매출_거래처'!$C$39:$C$60,$A23,'4_매출_거래처'!AI$39:AI$60)</f>
        <v>0</v>
      </c>
      <c r="O23" s="18">
        <f>SUMIF('4_매출_거래처'!$C$39:$C$60,$A23,'4_매출_거래처'!AJ$39:AJ$60)</f>
        <v>0</v>
      </c>
      <c r="P23" s="18">
        <f>SUMIF('4_매출_거래처'!$C$39:$C$60,$A23,'4_매출_거래처'!AK$39:AK$60)</f>
        <v>0</v>
      </c>
      <c r="Q23" s="18">
        <f>SUMIF('4_매출_거래처'!$C$39:$C$60,$A23,'4_매출_거래처'!AL$39:AL$60)</f>
        <v>0</v>
      </c>
      <c r="R23" s="18">
        <f>SUMIF('4_매출_거래처'!$C$39:$C$60,$A23,'4_매출_거래처'!AM$39:AM$60)</f>
        <v>0</v>
      </c>
      <c r="S23" s="18">
        <f>SUMIF('4_매출_거래처'!$C$39:$C$60,$A23,'4_매출_거래처'!AN$39:AN$60)</f>
        <v>0</v>
      </c>
      <c r="T23" s="18">
        <f>SUMIF('4_매출_거래처'!$C$39:$C$60,$A23,'4_매출_거래처'!AO$39:AO$60)</f>
        <v>0</v>
      </c>
      <c r="U23" s="18">
        <f>SUMIF('4_매출_거래처'!$C$39:$C$60,$A23,'4_매출_거래처'!AP$39:AP$60)</f>
        <v>0</v>
      </c>
      <c r="V23" s="18">
        <f>SUMIF('4_매출_거래처'!$C$39:$C$60,$A23,'4_매출_거래처'!AQ$39:AQ$60)</f>
        <v>0</v>
      </c>
      <c r="W23" s="18">
        <f>SUMIF('4_매출_거래처'!$C$39:$C$60,$A23,'4_매출_거래처'!AR$39:AR$60)</f>
        <v>0</v>
      </c>
      <c r="X23" s="18">
        <f>SUMIF('4_매출_거래처'!$C$39:$C$60,$A23,'4_매출_거래처'!AS$39:AS$60)</f>
        <v>0</v>
      </c>
      <c r="Y23" s="18">
        <f>SUMIF('4_매출_거래처'!$C$39:$C$60,$A23,'4_매출_거래처'!AT$39:AT$60)</f>
        <v>0</v>
      </c>
      <c r="Z23" s="18">
        <f>SUMIF('4_매출_거래처'!$C$39:$C$60,$A23,'4_매출_거래처'!AU$39:AU$60)</f>
        <v>0</v>
      </c>
      <c r="AA23" s="23">
        <f>SUM(C23:N23)</f>
        <v>0</v>
      </c>
      <c r="AB23" s="23">
        <f>SUM(O23:Z23)</f>
        <v>0</v>
      </c>
      <c r="AC23" s="24">
        <f>SUMIF('4_매출_거래처'!$C$39:$C$60,$A23,'4_매출_거래처'!AX$39:AX$60)</f>
        <v>1000000</v>
      </c>
      <c r="AD23" s="24">
        <f>SUMIF('4_매출_거래처'!$C$39:$C$60,$A23,'4_매출_거래처'!AY$39:AY$60)</f>
        <v>7500000</v>
      </c>
      <c r="AE23" s="24">
        <f>SUMIF('4_매출_거래처'!$C$39:$C$60,$A23,'4_매출_거래처'!AZ$39:AZ$60)</f>
        <v>30000000</v>
      </c>
      <c r="AF23" s="25">
        <f>SUM(AA23:AE23)</f>
        <v>38500000</v>
      </c>
    </row>
    <row r="24">
      <c r="A24" s="15" t="inlineStr">
        <is>
          <t>글로벌(삼성채널)</t>
        </is>
      </c>
      <c r="C24" s="18">
        <f>SUMIF('4_매출_거래처'!$C$39:$C$60,$A24,'4_매출_거래처'!X$39:X$60)</f>
        <v>0</v>
      </c>
      <c r="D24" s="18">
        <f>SUMIF('4_매출_거래처'!$C$39:$C$60,$A24,'4_매출_거래처'!Y$39:Y$60)</f>
        <v>0</v>
      </c>
      <c r="E24" s="18">
        <f>SUMIF('4_매출_거래처'!$C$39:$C$60,$A24,'4_매출_거래처'!Z$39:Z$60)</f>
        <v>0</v>
      </c>
      <c r="F24" s="18">
        <f>SUMIF('4_매출_거래처'!$C$39:$C$60,$A24,'4_매출_거래처'!AA$39:AA$60)</f>
        <v>0</v>
      </c>
      <c r="G24" s="18">
        <f>SUMIF('4_매출_거래처'!$C$39:$C$60,$A24,'4_매출_거래처'!AB$39:AB$60)</f>
        <v>0</v>
      </c>
      <c r="H24" s="18">
        <f>SUMIF('4_매출_거래처'!$C$39:$C$60,$A24,'4_매출_거래처'!AC$39:AC$60)</f>
        <v>0</v>
      </c>
      <c r="I24" s="18">
        <f>SUMIF('4_매출_거래처'!$C$39:$C$60,$A24,'4_매출_거래처'!AD$39:AD$60)</f>
        <v>0</v>
      </c>
      <c r="J24" s="18">
        <f>SUMIF('4_매출_거래처'!$C$39:$C$60,$A24,'4_매출_거래처'!AE$39:AE$60)</f>
        <v>0</v>
      </c>
      <c r="K24" s="18">
        <f>SUMIF('4_매출_거래처'!$C$39:$C$60,$A24,'4_매출_거래처'!AF$39:AF$60)</f>
        <v>0</v>
      </c>
      <c r="L24" s="18">
        <f>SUMIF('4_매출_거래처'!$C$39:$C$60,$A24,'4_매출_거래처'!AG$39:AG$60)</f>
        <v>0</v>
      </c>
      <c r="M24" s="18">
        <f>SUMIF('4_매출_거래처'!$C$39:$C$60,$A24,'4_매출_거래처'!AH$39:AH$60)</f>
        <v>0</v>
      </c>
      <c r="N24" s="18">
        <f>SUMIF('4_매출_거래처'!$C$39:$C$60,$A24,'4_매출_거래처'!AI$39:AI$60)</f>
        <v>0</v>
      </c>
      <c r="O24" s="18">
        <f>SUMIF('4_매출_거래처'!$C$39:$C$60,$A24,'4_매출_거래처'!AJ$39:AJ$60)</f>
        <v>0</v>
      </c>
      <c r="P24" s="18">
        <f>SUMIF('4_매출_거래처'!$C$39:$C$60,$A24,'4_매출_거래처'!AK$39:AK$60)</f>
        <v>0</v>
      </c>
      <c r="Q24" s="18">
        <f>SUMIF('4_매출_거래처'!$C$39:$C$60,$A24,'4_매출_거래처'!AL$39:AL$60)</f>
        <v>0</v>
      </c>
      <c r="R24" s="18">
        <f>SUMIF('4_매출_거래처'!$C$39:$C$60,$A24,'4_매출_거래처'!AM$39:AM$60)</f>
        <v>0</v>
      </c>
      <c r="S24" s="18">
        <f>SUMIF('4_매출_거래처'!$C$39:$C$60,$A24,'4_매출_거래처'!AN$39:AN$60)</f>
        <v>0</v>
      </c>
      <c r="T24" s="18">
        <f>SUMIF('4_매출_거래처'!$C$39:$C$60,$A24,'4_매출_거래처'!AO$39:AO$60)</f>
        <v>0</v>
      </c>
      <c r="U24" s="18">
        <f>SUMIF('4_매출_거래처'!$C$39:$C$60,$A24,'4_매출_거래처'!AP$39:AP$60)</f>
        <v>0</v>
      </c>
      <c r="V24" s="18">
        <f>SUMIF('4_매출_거래처'!$C$39:$C$60,$A24,'4_매출_거래처'!AQ$39:AQ$60)</f>
        <v>0</v>
      </c>
      <c r="W24" s="18">
        <f>SUMIF('4_매출_거래처'!$C$39:$C$60,$A24,'4_매출_거래처'!AR$39:AR$60)</f>
        <v>0</v>
      </c>
      <c r="X24" s="18">
        <f>SUMIF('4_매출_거래처'!$C$39:$C$60,$A24,'4_매출_거래처'!AS$39:AS$60)</f>
        <v>0</v>
      </c>
      <c r="Y24" s="18">
        <f>SUMIF('4_매출_거래처'!$C$39:$C$60,$A24,'4_매출_거래처'!AT$39:AT$60)</f>
        <v>0</v>
      </c>
      <c r="Z24" s="18">
        <f>SUMIF('4_매출_거래처'!$C$39:$C$60,$A24,'4_매출_거래처'!AU$39:AU$60)</f>
        <v>0</v>
      </c>
      <c r="AA24" s="23">
        <f>SUM(C24:N24)</f>
        <v>0</v>
      </c>
      <c r="AB24" s="23">
        <f>SUM(O24:Z24)</f>
        <v>0</v>
      </c>
      <c r="AC24" s="24">
        <f>SUMIF('4_매출_거래처'!$C$39:$C$60,$A24,'4_매출_거래처'!AX$39:AX$60)</f>
        <v>4066610.95978731</v>
      </c>
      <c r="AD24" s="24">
        <f>SUMIF('4_매출_거래처'!$C$39:$C$60,$A24,'4_매출_거래처'!AY$39:AY$60)</f>
        <v>9872783.70840811</v>
      </c>
      <c r="AE24" s="24">
        <f>SUMIF('4_매출_거래처'!$C$39:$C$60,$A24,'4_매출_거래처'!AZ$39:AZ$60)</f>
        <v>19365915.9966168</v>
      </c>
      <c r="AF24" s="25">
        <f>SUM(AA24:AE24)</f>
        <v>33305310.6648122</v>
      </c>
    </row>
    <row r="25">
      <c r="A25" s="15" t="inlineStr">
        <is>
          <t>기존 소액·기타</t>
        </is>
      </c>
      <c r="C25" s="18">
        <f>SUMIF('4_매출_거래처'!$C$39:$C$60,$A25,'4_매출_거래처'!X$39:X$60)</f>
        <v>8861.80746121423</v>
      </c>
      <c r="D25" s="18">
        <f>SUMIF('4_매출_거래처'!$C$39:$C$60,$A25,'4_매출_거래처'!Y$39:Y$60)</f>
        <v>8861.80746121423</v>
      </c>
      <c r="E25" s="18">
        <f>SUMIF('4_매출_거래처'!$C$39:$C$60,$A25,'4_매출_거래처'!Z$39:Z$60)</f>
        <v>8861.80746121423</v>
      </c>
      <c r="F25" s="18">
        <f>SUMIF('4_매출_거래처'!$C$39:$C$60,$A25,'4_매출_거래처'!AA$39:AA$60)</f>
        <v>8861.80746121423</v>
      </c>
      <c r="G25" s="18">
        <f>SUMIF('4_매출_거래처'!$C$39:$C$60,$A25,'4_매출_거래처'!AB$39:AB$60)</f>
        <v>8861.80746121423</v>
      </c>
      <c r="H25" s="18">
        <f>SUMIF('4_매출_거래처'!$C$39:$C$60,$A25,'4_매출_거래처'!AC$39:AC$60)</f>
        <v>8861.80746121423</v>
      </c>
      <c r="I25" s="18">
        <f>SUMIF('4_매출_거래처'!$C$39:$C$60,$A25,'4_매출_거래처'!AD$39:AD$60)</f>
        <v>8861.80746121423</v>
      </c>
      <c r="J25" s="18">
        <f>SUMIF('4_매출_거래처'!$C$39:$C$60,$A25,'4_매출_거래처'!AE$39:AE$60)</f>
        <v>8861.80746121423</v>
      </c>
      <c r="K25" s="18">
        <f>SUMIF('4_매출_거래처'!$C$39:$C$60,$A25,'4_매출_거래처'!AF$39:AF$60)</f>
        <v>8861.80746121423</v>
      </c>
      <c r="L25" s="18">
        <f>SUMIF('4_매출_거래처'!$C$39:$C$60,$A25,'4_매출_거래처'!AG$39:AG$60)</f>
        <v>8861.80746121423</v>
      </c>
      <c r="M25" s="18">
        <f>SUMIF('4_매출_거래처'!$C$39:$C$60,$A25,'4_매출_거래처'!AH$39:AH$60)</f>
        <v>8861.80746121423</v>
      </c>
      <c r="N25" s="18">
        <f>SUMIF('4_매출_거래처'!$C$39:$C$60,$A25,'4_매출_거래처'!AI$39:AI$60)</f>
        <v>8861.80746121423</v>
      </c>
      <c r="O25" s="18">
        <f>SUMIF('4_매출_거래처'!$C$39:$C$60,$A25,'4_매출_거래처'!AJ$39:AJ$60)</f>
        <v>0</v>
      </c>
      <c r="P25" s="18">
        <f>SUMIF('4_매출_거래처'!$C$39:$C$60,$A25,'4_매출_거래처'!AK$39:AK$60)</f>
        <v>0</v>
      </c>
      <c r="Q25" s="18">
        <f>SUMIF('4_매출_거래처'!$C$39:$C$60,$A25,'4_매출_거래처'!AL$39:AL$60)</f>
        <v>0</v>
      </c>
      <c r="R25" s="18">
        <f>SUMIF('4_매출_거래처'!$C$39:$C$60,$A25,'4_매출_거래처'!AM$39:AM$60)</f>
        <v>0</v>
      </c>
      <c r="S25" s="18">
        <f>SUMIF('4_매출_거래처'!$C$39:$C$60,$A25,'4_매출_거래처'!AN$39:AN$60)</f>
        <v>0</v>
      </c>
      <c r="T25" s="18">
        <f>SUMIF('4_매출_거래처'!$C$39:$C$60,$A25,'4_매출_거래처'!AO$39:AO$60)</f>
        <v>0</v>
      </c>
      <c r="U25" s="18">
        <f>SUMIF('4_매출_거래처'!$C$39:$C$60,$A25,'4_매출_거래처'!AP$39:AP$60)</f>
        <v>0</v>
      </c>
      <c r="V25" s="18">
        <f>SUMIF('4_매출_거래처'!$C$39:$C$60,$A25,'4_매출_거래처'!AQ$39:AQ$60)</f>
        <v>0</v>
      </c>
      <c r="W25" s="18">
        <f>SUMIF('4_매출_거래처'!$C$39:$C$60,$A25,'4_매출_거래처'!AR$39:AR$60)</f>
        <v>0</v>
      </c>
      <c r="X25" s="18">
        <f>SUMIF('4_매출_거래처'!$C$39:$C$60,$A25,'4_매출_거래처'!AS$39:AS$60)</f>
        <v>0</v>
      </c>
      <c r="Y25" s="18">
        <f>SUMIF('4_매출_거래처'!$C$39:$C$60,$A25,'4_매출_거래처'!AT$39:AT$60)</f>
        <v>0</v>
      </c>
      <c r="Z25" s="18">
        <f>SUMIF('4_매출_거래처'!$C$39:$C$60,$A25,'4_매출_거래처'!AU$39:AU$60)</f>
        <v>0</v>
      </c>
      <c r="AA25" s="23">
        <f>SUM(C25:N25)</f>
        <v>106341.689534571</v>
      </c>
      <c r="AB25" s="23">
        <f>SUM(O25:Z25)</f>
        <v>0</v>
      </c>
      <c r="AC25" s="24">
        <f>SUMIF('4_매출_거래처'!$C$39:$C$60,$A25,'4_매출_거래처'!AX$39:AX$60)</f>
        <v>0</v>
      </c>
      <c r="AD25" s="24">
        <f>SUMIF('4_매출_거래처'!$C$39:$C$60,$A25,'4_매출_거래처'!AY$39:AY$60)</f>
        <v>0</v>
      </c>
      <c r="AE25" s="24">
        <f>SUMIF('4_매출_거래처'!$C$39:$C$60,$A25,'4_매출_거래처'!AZ$39:AZ$60)</f>
        <v>0</v>
      </c>
      <c r="AF25" s="25">
        <f>SUM(AA25:AE25)</f>
        <v>106341.689534571</v>
      </c>
    </row>
    <row r="26">
      <c r="A26" s="12" t="inlineStr">
        <is>
          <t>지역 합계</t>
        </is>
      </c>
      <c r="C26" s="26">
        <f>SUM(C19:C25)</f>
        <v>67445.6116043404</v>
      </c>
      <c r="D26" s="26">
        <f>SUM(D19:D25)</f>
        <v>69140.5268585777</v>
      </c>
      <c r="E26" s="26">
        <f>SUM(E19:E25)</f>
        <v>70835.442112815</v>
      </c>
      <c r="F26" s="26">
        <f>SUM(F19:F25)</f>
        <v>72530.3573670523</v>
      </c>
      <c r="G26" s="26">
        <f>SUM(G19:G25)</f>
        <v>74225.2726212896</v>
      </c>
      <c r="H26" s="26">
        <f>SUM(H19:H25)</f>
        <v>75920.1878755269</v>
      </c>
      <c r="I26" s="26">
        <f>SUM(I19:I25)</f>
        <v>94726.2142408753</v>
      </c>
      <c r="J26" s="26">
        <f>SUM(J19:J25)</f>
        <v>103532.240606224</v>
      </c>
      <c r="K26" s="26">
        <f>SUM(K19:K25)</f>
        <v>112338.266971572</v>
      </c>
      <c r="L26" s="26">
        <f>SUM(L19:L25)</f>
        <v>125773.92296655</v>
      </c>
      <c r="M26" s="26">
        <f>SUM(M19:M25)</f>
        <v>147149.578961528</v>
      </c>
      <c r="N26" s="26">
        <f>SUM(N19:N25)</f>
        <v>186382.377813649</v>
      </c>
      <c r="O26" s="26">
        <f>SUM(O19:O25)</f>
        <v>286006.146982333</v>
      </c>
      <c r="P26" s="26">
        <f>SUM(P19:P25)</f>
        <v>396943.880474977</v>
      </c>
      <c r="Q26" s="26">
        <f>SUM(Q19:Q25)</f>
        <v>507881.613967621</v>
      </c>
      <c r="R26" s="26">
        <f>SUM(R19:R25)</f>
        <v>617124.432206027</v>
      </c>
      <c r="S26" s="26">
        <f>SUM(S19:S25)</f>
        <v>726367.250444434</v>
      </c>
      <c r="T26" s="26">
        <f>SUM(T19:T25)</f>
        <v>895610.06868284</v>
      </c>
      <c r="U26" s="26">
        <f>SUM(U19:U25)</f>
        <v>997741.775810136</v>
      </c>
      <c r="V26" s="26">
        <f>SUM(V19:V25)</f>
        <v>1089481.32607469</v>
      </c>
      <c r="W26" s="26">
        <f>SUM(W19:W25)</f>
        <v>1121220.87633924</v>
      </c>
      <c r="X26" s="26">
        <f>SUM(X19:X25)</f>
        <v>1121220.87633924</v>
      </c>
      <c r="Y26" s="26">
        <f>SUM(Y19:Y25)</f>
        <v>1121220.87633924</v>
      </c>
      <c r="Z26" s="26">
        <f>SUM(Z19:Z25)</f>
        <v>1121220.87633924</v>
      </c>
      <c r="AA26" s="27">
        <f>SUM(AA19:AA25)</f>
        <v>1200000</v>
      </c>
      <c r="AB26" s="27">
        <f>SUM(AB19:AB25)</f>
        <v>10002040</v>
      </c>
      <c r="AC26" s="28">
        <f>SUM(AC19:AC25)</f>
        <v>33000000</v>
      </c>
      <c r="AD26" s="28">
        <f>SUM(AD19:AD25)</f>
        <v>70000000</v>
      </c>
      <c r="AE26" s="28">
        <f>SUM(AE19:AE25)</f>
        <v>156000000</v>
      </c>
      <c r="AF26" s="26">
        <f>SUM(AF19:AF25)</f>
        <v>270202040</v>
      </c>
    </row>
    <row r="27">
      <c r="A27" s="2" t="inlineStr">
        <is>
          <t>검증: 지역 합계 − 제품 합계(0이어야 함)</t>
        </is>
      </c>
      <c r="C27" s="59">
        <f>C26-C15</f>
        <v>0</v>
      </c>
      <c r="D27" s="59">
        <f>D26-D15</f>
        <v>0</v>
      </c>
      <c r="E27" s="59">
        <f>E26-E15</f>
        <v>0</v>
      </c>
      <c r="F27" s="59">
        <f>F26-F15</f>
        <v>0</v>
      </c>
      <c r="G27" s="59">
        <f>G26-G15</f>
        <v>0</v>
      </c>
      <c r="H27" s="59">
        <f>H26-H15</f>
        <v>0</v>
      </c>
      <c r="I27" s="59">
        <f>I26-I15</f>
        <v>0</v>
      </c>
      <c r="J27" s="59">
        <f>J26-J15</f>
        <v>0</v>
      </c>
      <c r="K27" s="59">
        <f>K26-K15</f>
        <v>0</v>
      </c>
      <c r="L27" s="59">
        <f>L26-L15</f>
        <v>0</v>
      </c>
      <c r="M27" s="59">
        <f>M26-M15</f>
        <v>0</v>
      </c>
      <c r="N27" s="59">
        <f>N26-N15</f>
        <v>0</v>
      </c>
      <c r="O27" s="59">
        <f>O26-O15</f>
        <v>0</v>
      </c>
      <c r="P27" s="59">
        <f>P26-P15</f>
        <v>0</v>
      </c>
      <c r="Q27" s="59">
        <f>Q26-Q15</f>
        <v>0</v>
      </c>
      <c r="R27" s="59">
        <f>R26-R15</f>
        <v>0</v>
      </c>
      <c r="S27" s="59">
        <f>S26-S15</f>
        <v>0</v>
      </c>
      <c r="T27" s="59">
        <f>T26-T15</f>
        <v>0</v>
      </c>
      <c r="U27" s="59">
        <f>U26-U15</f>
        <v>0</v>
      </c>
      <c r="V27" s="59">
        <f>V26-V15</f>
        <v>0</v>
      </c>
      <c r="W27" s="59">
        <f>W26-W15</f>
        <v>0</v>
      </c>
      <c r="X27" s="59">
        <f>X26-X15</f>
        <v>0</v>
      </c>
      <c r="Y27" s="59">
        <f>Y26-Y15</f>
        <v>0</v>
      </c>
      <c r="Z27" s="59">
        <f>Z26-Z15</f>
        <v>0</v>
      </c>
      <c r="AA27" s="59">
        <f>AA26-AA15</f>
        <v>0</v>
      </c>
      <c r="AB27" s="59">
        <f>AB26-AB15</f>
        <v>0</v>
      </c>
      <c r="AC27" s="59">
        <f>AC26-AC15</f>
        <v>0</v>
      </c>
      <c r="AD27" s="59">
        <f>AD26-AD15</f>
        <v>0</v>
      </c>
      <c r="AE27" s="59">
        <f>AE26-AE15</f>
        <v>0</v>
      </c>
      <c r="AF27" s="59">
        <f>AF26-AF15</f>
        <v>0</v>
      </c>
    </row>
    <row r="29">
      <c r="A29" s="3" t="inlineStr">
        <is>
          <t>C. 채널(거래형태)별 매출</t>
        </is>
      </c>
    </row>
    <row r="30">
      <c r="A30" s="15" t="inlineStr">
        <is>
          <t>총판</t>
        </is>
      </c>
      <c r="C30" s="18">
        <f>SUMIF('4_매출_거래처'!$E$39:$E$60,$A30,'4_매출_거래처'!X$39:X$60)</f>
        <v>58583.8041431262</v>
      </c>
      <c r="D30" s="18">
        <f>SUMIF('4_매출_거래처'!$E$39:$E$60,$A30,'4_매출_거래처'!Y$39:Y$60)</f>
        <v>60278.7193973635</v>
      </c>
      <c r="E30" s="18">
        <f>SUMIF('4_매출_거래처'!$E$39:$E$60,$A30,'4_매출_거래처'!Z$39:Z$60)</f>
        <v>61973.6346516008</v>
      </c>
      <c r="F30" s="18">
        <f>SUMIF('4_매출_거래처'!$E$39:$E$60,$A30,'4_매출_거래처'!AA$39:AA$60)</f>
        <v>63668.549905838</v>
      </c>
      <c r="G30" s="18">
        <f>SUMIF('4_매출_거래처'!$E$39:$E$60,$A30,'4_매출_거래처'!AB$39:AB$60)</f>
        <v>65363.4651600753</v>
      </c>
      <c r="H30" s="18">
        <f>SUMIF('4_매출_거래처'!$E$39:$E$60,$A30,'4_매출_거래처'!AC$39:AC$60)</f>
        <v>67058.3804143126</v>
      </c>
      <c r="I30" s="18">
        <f>SUMIF('4_매출_거래처'!$E$39:$E$60,$A30,'4_매출_거래처'!AD$39:AD$60)</f>
        <v>75864.406779661</v>
      </c>
      <c r="J30" s="18">
        <f>SUMIF('4_매출_거래처'!$E$39:$E$60,$A30,'4_매출_거래처'!AE$39:AE$60)</f>
        <v>84670.4331450094</v>
      </c>
      <c r="K30" s="18">
        <f>SUMIF('4_매출_거래처'!$E$39:$E$60,$A30,'4_매출_거래처'!AF$39:AF$60)</f>
        <v>93476.4595103578</v>
      </c>
      <c r="L30" s="18">
        <f>SUMIF('4_매출_거래처'!$E$39:$E$60,$A30,'4_매출_거래처'!AG$39:AG$60)</f>
        <v>102282.485875706</v>
      </c>
      <c r="M30" s="18">
        <f>SUMIF('4_매출_거래처'!$E$39:$E$60,$A30,'4_매출_거래처'!AH$39:AH$60)</f>
        <v>111088.512241055</v>
      </c>
      <c r="N30" s="18">
        <f>SUMIF('4_매출_거래처'!$E$39:$E$60,$A30,'4_매출_거래처'!AI$39:AI$60)</f>
        <v>119894.538606403</v>
      </c>
      <c r="O30" s="18">
        <f>SUMIF('4_매출_거래처'!$E$39:$E$60,$A30,'4_매출_거래처'!AJ$39:AJ$60)</f>
        <v>156286.676082863</v>
      </c>
      <c r="P30" s="18">
        <f>SUMIF('4_매출_거래처'!$E$39:$E$60,$A30,'4_매출_거래처'!AK$39:AK$60)</f>
        <v>203070.970422067</v>
      </c>
      <c r="Q30" s="18">
        <f>SUMIF('4_매출_거래처'!$E$39:$E$60,$A30,'4_매출_거래처'!AL$39:AL$60)</f>
        <v>249855.264761272</v>
      </c>
      <c r="R30" s="18">
        <f>SUMIF('4_매출_거래처'!$E$39:$E$60,$A30,'4_매출_거래처'!AM$39:AM$60)</f>
        <v>294944.643846239</v>
      </c>
      <c r="S30" s="18">
        <f>SUMIF('4_매출_거래처'!$E$39:$E$60,$A30,'4_매출_거래처'!AN$39:AN$60)</f>
        <v>340034.022931206</v>
      </c>
      <c r="T30" s="18">
        <f>SUMIF('4_매출_거래처'!$E$39:$E$60,$A30,'4_매출_거래처'!AO$39:AO$60)</f>
        <v>385123.402016174</v>
      </c>
      <c r="U30" s="18">
        <f>SUMIF('4_매출_거래처'!$E$39:$E$60,$A30,'4_매출_거래처'!AP$39:AP$60)</f>
        <v>423101.66999003</v>
      </c>
      <c r="V30" s="18">
        <f>SUMIF('4_매출_거래처'!$E$39:$E$60,$A30,'4_매출_거래처'!AQ$39:AQ$60)</f>
        <v>450687.781101141</v>
      </c>
      <c r="W30" s="18">
        <f>SUMIF('4_매출_거래처'!$E$39:$E$60,$A30,'4_매출_거래처'!AR$39:AR$60)</f>
        <v>478273.892212252</v>
      </c>
      <c r="X30" s="18">
        <f>SUMIF('4_매출_거래처'!$E$39:$E$60,$A30,'4_매출_거래처'!AS$39:AS$60)</f>
        <v>478273.892212252</v>
      </c>
      <c r="Y30" s="18">
        <f>SUMIF('4_매출_거래처'!$E$39:$E$60,$A30,'4_매출_거래처'!AT$39:AT$60)</f>
        <v>478273.892212252</v>
      </c>
      <c r="Z30" s="18">
        <f>SUMIF('4_매출_거래처'!$E$39:$E$60,$A30,'4_매출_거래처'!AU$39:AU$60)</f>
        <v>478273.892212252</v>
      </c>
      <c r="AA30" s="23">
        <f>SUM(C30:N30)</f>
        <v>964203.389830509</v>
      </c>
      <c r="AB30" s="23">
        <f>SUM(O30:Z30)</f>
        <v>4416200</v>
      </c>
      <c r="AC30" s="24">
        <f>SUMIF('4_매출_거래처'!$E$39:$E$60,$A30,'4_매출_거래처'!AX$39:AX$60)</f>
        <v>9665714.37354603</v>
      </c>
      <c r="AD30" s="24">
        <f>SUMIF('4_매출_거래처'!$E$39:$E$60,$A30,'4_매출_거래처'!AY$39:AY$60)</f>
        <v>16444073.3582586</v>
      </c>
      <c r="AE30" s="24">
        <f>SUMIF('4_매출_거래처'!$E$39:$E$60,$A30,'4_매출_거래처'!AZ$39:AZ$60)</f>
        <v>24807339.1500499</v>
      </c>
      <c r="AF30" s="25">
        <f>SUM(AA30:AE30)</f>
        <v>56297530.2716849</v>
      </c>
    </row>
    <row r="31">
      <c r="A31" s="15" t="inlineStr">
        <is>
          <t>B2G·제도</t>
        </is>
      </c>
      <c r="C31" s="18">
        <f>SUMIF('4_매출_거래처'!$E$39:$E$60,$A31,'4_매출_거래처'!X$39:X$60)</f>
        <v>0</v>
      </c>
      <c r="D31" s="18">
        <f>SUMIF('4_매출_거래처'!$E$39:$E$60,$A31,'4_매출_거래처'!Y$39:Y$60)</f>
        <v>0</v>
      </c>
      <c r="E31" s="18">
        <f>SUMIF('4_매출_거래처'!$E$39:$E$60,$A31,'4_매출_거래처'!Z$39:Z$60)</f>
        <v>0</v>
      </c>
      <c r="F31" s="18">
        <f>SUMIF('4_매출_거래처'!$E$39:$E$60,$A31,'4_매출_거래처'!AA$39:AA$60)</f>
        <v>0</v>
      </c>
      <c r="G31" s="18">
        <f>SUMIF('4_매출_거래처'!$E$39:$E$60,$A31,'4_매출_거래처'!AB$39:AB$60)</f>
        <v>0</v>
      </c>
      <c r="H31" s="18">
        <f>SUMIF('4_매출_거래처'!$E$39:$E$60,$A31,'4_매출_거래처'!AC$39:AC$60)</f>
        <v>0</v>
      </c>
      <c r="I31" s="18">
        <f>SUMIF('4_매출_거래처'!$E$39:$E$60,$A31,'4_매출_거래처'!AD$39:AD$60)</f>
        <v>0</v>
      </c>
      <c r="J31" s="18">
        <f>SUMIF('4_매출_거래처'!$E$39:$E$60,$A31,'4_매출_거래처'!AE$39:AE$60)</f>
        <v>0</v>
      </c>
      <c r="K31" s="18">
        <f>SUMIF('4_매출_거래처'!$E$39:$E$60,$A31,'4_매출_거래처'!AF$39:AF$60)</f>
        <v>0</v>
      </c>
      <c r="L31" s="18">
        <f>SUMIF('4_매출_거래처'!$E$39:$E$60,$A31,'4_매출_거래처'!AG$39:AG$60)</f>
        <v>4629.62962962963</v>
      </c>
      <c r="M31" s="18">
        <f>SUMIF('4_매출_거래처'!$E$39:$E$60,$A31,'4_매출_거래처'!AH$39:AH$60)</f>
        <v>9259.25925925926</v>
      </c>
      <c r="N31" s="18">
        <f>SUMIF('4_매출_거래처'!$E$39:$E$60,$A31,'4_매출_거래처'!AI$39:AI$60)</f>
        <v>13888.8888888889</v>
      </c>
      <c r="O31" s="18">
        <f>SUMIF('4_매출_거래처'!$E$39:$E$60,$A31,'4_매출_거래처'!AJ$39:AJ$60)</f>
        <v>46296.2962962963</v>
      </c>
      <c r="P31" s="18">
        <f>SUMIF('4_매출_거래처'!$E$39:$E$60,$A31,'4_매출_거래처'!AK$39:AK$60)</f>
        <v>78703.7037037037</v>
      </c>
      <c r="Q31" s="18">
        <f>SUMIF('4_매출_거래처'!$E$39:$E$60,$A31,'4_매출_거래처'!AL$39:AL$60)</f>
        <v>111111.111111111</v>
      </c>
      <c r="R31" s="18">
        <f>SUMIF('4_매출_거래처'!$E$39:$E$60,$A31,'4_매출_거래처'!AM$39:AM$60)</f>
        <v>143518.518518519</v>
      </c>
      <c r="S31" s="18">
        <f>SUMIF('4_매출_거래처'!$E$39:$E$60,$A31,'4_매출_거래처'!AN$39:AN$60)</f>
        <v>175925.925925926</v>
      </c>
      <c r="T31" s="18">
        <f>SUMIF('4_매출_거래처'!$E$39:$E$60,$A31,'4_매출_거래처'!AO$39:AO$60)</f>
        <v>208333.333333333</v>
      </c>
      <c r="U31" s="18">
        <f>SUMIF('4_매출_거래처'!$E$39:$E$60,$A31,'4_매출_거래처'!AP$39:AP$60)</f>
        <v>240740.740740741</v>
      </c>
      <c r="V31" s="18">
        <f>SUMIF('4_매출_거래처'!$E$39:$E$60,$A31,'4_매출_거래처'!AQ$39:AQ$60)</f>
        <v>273148.148148148</v>
      </c>
      <c r="W31" s="18">
        <f>SUMIF('4_매출_거래처'!$E$39:$E$60,$A31,'4_매출_거래처'!AR$39:AR$60)</f>
        <v>305555.555555556</v>
      </c>
      <c r="X31" s="18">
        <f>SUMIF('4_매출_거래처'!$E$39:$E$60,$A31,'4_매출_거래처'!AS$39:AS$60)</f>
        <v>305555.555555556</v>
      </c>
      <c r="Y31" s="18">
        <f>SUMIF('4_매출_거래처'!$E$39:$E$60,$A31,'4_매출_거래처'!AT$39:AT$60)</f>
        <v>305555.555555556</v>
      </c>
      <c r="Z31" s="18">
        <f>SUMIF('4_매출_거래처'!$E$39:$E$60,$A31,'4_매출_거래처'!AU$39:AU$60)</f>
        <v>305555.555555556</v>
      </c>
      <c r="AA31" s="23">
        <f>SUM(C31:N31)</f>
        <v>27777.7777777778</v>
      </c>
      <c r="AB31" s="23">
        <f>SUM(O31:Z31)</f>
        <v>2500000</v>
      </c>
      <c r="AC31" s="24">
        <f>SUMIF('4_매출_거래처'!$E$39:$E$60,$A31,'4_매출_거래처'!AX$39:AX$60)</f>
        <v>5766666.66666667</v>
      </c>
      <c r="AD31" s="24">
        <f>SUMIF('4_매출_거래처'!$E$39:$E$60,$A31,'4_매출_거래처'!AY$39:AY$60)</f>
        <v>9993333.33333333</v>
      </c>
      <c r="AE31" s="24">
        <f>SUMIF('4_매출_거래처'!$E$39:$E$60,$A31,'4_매출_거래처'!AZ$39:AZ$60)</f>
        <v>15583333.3333333</v>
      </c>
      <c r="AF31" s="25">
        <f>SUM(AA31:AE31)</f>
        <v>33871111.1111111</v>
      </c>
    </row>
    <row r="32">
      <c r="A32" s="15" t="inlineStr">
        <is>
          <t>파트너</t>
        </is>
      </c>
      <c r="C32" s="18">
        <f>SUMIF('4_매출_거래처'!$E$39:$E$60,$A32,'4_매출_거래처'!X$39:X$60)</f>
        <v>0</v>
      </c>
      <c r="D32" s="18">
        <f>SUMIF('4_매출_거래처'!$E$39:$E$60,$A32,'4_매출_거래처'!Y$39:Y$60)</f>
        <v>0</v>
      </c>
      <c r="E32" s="18">
        <f>SUMIF('4_매출_거래처'!$E$39:$E$60,$A32,'4_매출_거래처'!Z$39:Z$60)</f>
        <v>0</v>
      </c>
      <c r="F32" s="18">
        <f>SUMIF('4_매출_거래처'!$E$39:$E$60,$A32,'4_매출_거래처'!AA$39:AA$60)</f>
        <v>0</v>
      </c>
      <c r="G32" s="18">
        <f>SUMIF('4_매출_거래처'!$E$39:$E$60,$A32,'4_매출_거래처'!AB$39:AB$60)</f>
        <v>0</v>
      </c>
      <c r="H32" s="18">
        <f>SUMIF('4_매출_거래처'!$E$39:$E$60,$A32,'4_매출_거래처'!AC$39:AC$60)</f>
        <v>0</v>
      </c>
      <c r="I32" s="18">
        <f>SUMIF('4_매출_거래처'!$E$39:$E$60,$A32,'4_매출_거래처'!AD$39:AD$60)</f>
        <v>0</v>
      </c>
      <c r="J32" s="18">
        <f>SUMIF('4_매출_거래처'!$E$39:$E$60,$A32,'4_매출_거래처'!AE$39:AE$60)</f>
        <v>0</v>
      </c>
      <c r="K32" s="18">
        <f>SUMIF('4_매출_거래처'!$E$39:$E$60,$A32,'4_매출_거래처'!AF$39:AF$60)</f>
        <v>0</v>
      </c>
      <c r="L32" s="18">
        <f>SUMIF('4_매출_거래처'!$E$39:$E$60,$A32,'4_매출_거래처'!AG$39:AG$60)</f>
        <v>0</v>
      </c>
      <c r="M32" s="18">
        <f>SUMIF('4_매출_거래처'!$E$39:$E$60,$A32,'4_매출_거래처'!AH$39:AH$60)</f>
        <v>0</v>
      </c>
      <c r="N32" s="18">
        <f>SUMIF('4_매출_거래처'!$E$39:$E$60,$A32,'4_매출_거래처'!AI$39:AI$60)</f>
        <v>17857.1428571429</v>
      </c>
      <c r="O32" s="18">
        <f>SUMIF('4_매출_거래처'!$E$39:$E$60,$A32,'4_매출_거래처'!AJ$39:AJ$60)</f>
        <v>49603.1746031746</v>
      </c>
      <c r="P32" s="18">
        <f>SUMIF('4_매출_거래처'!$E$39:$E$60,$A32,'4_매출_거래처'!AK$39:AK$60)</f>
        <v>81349.2063492064</v>
      </c>
      <c r="Q32" s="18">
        <f>SUMIF('4_매출_거래처'!$E$39:$E$60,$A32,'4_매출_거래처'!AL$39:AL$60)</f>
        <v>113095.238095238</v>
      </c>
      <c r="R32" s="18">
        <f>SUMIF('4_매출_거래처'!$E$39:$E$60,$A32,'4_매출_거래처'!AM$39:AM$60)</f>
        <v>144841.26984127</v>
      </c>
      <c r="S32" s="18">
        <f>SUMIF('4_매출_거래처'!$E$39:$E$60,$A32,'4_매출_거래처'!AN$39:AN$60)</f>
        <v>176587.301587302</v>
      </c>
      <c r="T32" s="18">
        <f>SUMIF('4_매출_거래처'!$E$39:$E$60,$A32,'4_매출_거래처'!AO$39:AO$60)</f>
        <v>208333.333333333</v>
      </c>
      <c r="U32" s="18">
        <f>SUMIF('4_매출_거래처'!$E$39:$E$60,$A32,'4_매출_거래처'!AP$39:AP$60)</f>
        <v>240079.365079365</v>
      </c>
      <c r="V32" s="18">
        <f>SUMIF('4_매출_거래처'!$E$39:$E$60,$A32,'4_매출_거래처'!AQ$39:AQ$60)</f>
        <v>271825.396825397</v>
      </c>
      <c r="W32" s="18">
        <f>SUMIF('4_매출_거래처'!$E$39:$E$60,$A32,'4_매출_거래처'!AR$39:AR$60)</f>
        <v>303571.428571429</v>
      </c>
      <c r="X32" s="18">
        <f>SUMIF('4_매출_거래처'!$E$39:$E$60,$A32,'4_매출_거래처'!AS$39:AS$60)</f>
        <v>303571.428571429</v>
      </c>
      <c r="Y32" s="18">
        <f>SUMIF('4_매출_거래처'!$E$39:$E$60,$A32,'4_매출_거래처'!AT$39:AT$60)</f>
        <v>303571.428571429</v>
      </c>
      <c r="Z32" s="18">
        <f>SUMIF('4_매출_거래처'!$E$39:$E$60,$A32,'4_매출_거래처'!AU$39:AU$60)</f>
        <v>303571.428571429</v>
      </c>
      <c r="AA32" s="23">
        <f>SUM(C32:N32)</f>
        <v>17857.1428571429</v>
      </c>
      <c r="AB32" s="23">
        <f>SUM(O32:Z32)</f>
        <v>2500000</v>
      </c>
      <c r="AC32" s="24">
        <f>SUMIF('4_매출_거래처'!$E$39:$E$60,$A32,'4_매출_거래처'!AX$39:AX$60)</f>
        <v>9316610.95978731</v>
      </c>
      <c r="AD32" s="24">
        <f>SUMIF('4_매출_거래처'!$E$39:$E$60,$A32,'4_매출_거래처'!AY$39:AY$60)</f>
        <v>17447783.7084081</v>
      </c>
      <c r="AE32" s="24">
        <f>SUMIF('4_매출_거래처'!$E$39:$E$60,$A32,'4_매출_거래처'!AZ$39:AZ$60)</f>
        <v>29550915.9966168</v>
      </c>
      <c r="AF32" s="25">
        <f>SUM(AA32:AE32)</f>
        <v>58833167.8076694</v>
      </c>
    </row>
    <row r="33">
      <c r="A33" s="15" t="inlineStr">
        <is>
          <t>기관(직접)</t>
        </is>
      </c>
      <c r="C33" s="18">
        <f>SUMIF('4_매출_거래처'!$E$39:$E$60,$A33,'4_매출_거래처'!X$39:X$60)</f>
        <v>0</v>
      </c>
      <c r="D33" s="18">
        <f>SUMIF('4_매출_거래처'!$E$39:$E$60,$A33,'4_매출_거래처'!Y$39:Y$60)</f>
        <v>0</v>
      </c>
      <c r="E33" s="18">
        <f>SUMIF('4_매출_거래처'!$E$39:$E$60,$A33,'4_매출_거래처'!Z$39:Z$60)</f>
        <v>0</v>
      </c>
      <c r="F33" s="18">
        <f>SUMIF('4_매출_거래처'!$E$39:$E$60,$A33,'4_매출_거래처'!AA$39:AA$60)</f>
        <v>0</v>
      </c>
      <c r="G33" s="18">
        <f>SUMIF('4_매출_거래처'!$E$39:$E$60,$A33,'4_매출_거래처'!AB$39:AB$60)</f>
        <v>0</v>
      </c>
      <c r="H33" s="18">
        <f>SUMIF('4_매출_거래처'!$E$39:$E$60,$A33,'4_매출_거래처'!AC$39:AC$60)</f>
        <v>0</v>
      </c>
      <c r="I33" s="18">
        <f>SUMIF('4_매출_거래처'!$E$39:$E$60,$A33,'4_매출_거래처'!AD$39:AD$60)</f>
        <v>10000</v>
      </c>
      <c r="J33" s="18">
        <f>SUMIF('4_매출_거래처'!$E$39:$E$60,$A33,'4_매출_거래처'!AE$39:AE$60)</f>
        <v>10000</v>
      </c>
      <c r="K33" s="18">
        <f>SUMIF('4_매출_거래처'!$E$39:$E$60,$A33,'4_매출_거래처'!AF$39:AF$60)</f>
        <v>10000</v>
      </c>
      <c r="L33" s="18">
        <f>SUMIF('4_매출_거래처'!$E$39:$E$60,$A33,'4_매출_거래처'!AG$39:AG$60)</f>
        <v>10000</v>
      </c>
      <c r="M33" s="18">
        <f>SUMIF('4_매출_거래처'!$E$39:$E$60,$A33,'4_매출_거래처'!AH$39:AH$60)</f>
        <v>17940</v>
      </c>
      <c r="N33" s="18">
        <f>SUMIF('4_매출_거래처'!$E$39:$E$60,$A33,'4_매출_거래처'!AI$39:AI$60)</f>
        <v>25880</v>
      </c>
      <c r="O33" s="18">
        <f>SUMIF('4_매출_거래처'!$E$39:$E$60,$A33,'4_매출_거래처'!AJ$39:AJ$60)</f>
        <v>33820</v>
      </c>
      <c r="P33" s="18">
        <f>SUMIF('4_매출_거래처'!$E$39:$E$60,$A33,'4_매출_거래처'!AK$39:AK$60)</f>
        <v>33820</v>
      </c>
      <c r="Q33" s="18">
        <f>SUMIF('4_매출_거래처'!$E$39:$E$60,$A33,'4_매출_거래처'!AL$39:AL$60)</f>
        <v>33820</v>
      </c>
      <c r="R33" s="18">
        <f>SUMIF('4_매출_거래처'!$E$39:$E$60,$A33,'4_매출_거래처'!AM$39:AM$60)</f>
        <v>33820</v>
      </c>
      <c r="S33" s="18">
        <f>SUMIF('4_매출_거래처'!$E$39:$E$60,$A33,'4_매출_거래처'!AN$39:AN$60)</f>
        <v>33820</v>
      </c>
      <c r="T33" s="18">
        <f>SUMIF('4_매출_거래처'!$E$39:$E$60,$A33,'4_매출_거래처'!AO$39:AO$60)</f>
        <v>93820</v>
      </c>
      <c r="U33" s="18">
        <f>SUMIF('4_매출_거래처'!$E$39:$E$60,$A33,'4_매출_거래처'!AP$39:AP$60)</f>
        <v>93820</v>
      </c>
      <c r="V33" s="18">
        <f>SUMIF('4_매출_거래처'!$E$39:$E$60,$A33,'4_매출_거래처'!AQ$39:AQ$60)</f>
        <v>93820</v>
      </c>
      <c r="W33" s="18">
        <f>SUMIF('4_매출_거래처'!$E$39:$E$60,$A33,'4_매출_거래처'!AR$39:AR$60)</f>
        <v>33820</v>
      </c>
      <c r="X33" s="18">
        <f>SUMIF('4_매출_거래처'!$E$39:$E$60,$A33,'4_매출_거래처'!AS$39:AS$60)</f>
        <v>33820</v>
      </c>
      <c r="Y33" s="18">
        <f>SUMIF('4_매출_거래처'!$E$39:$E$60,$A33,'4_매출_거래처'!AT$39:AT$60)</f>
        <v>33820</v>
      </c>
      <c r="Z33" s="18">
        <f>SUMIF('4_매출_거래처'!$E$39:$E$60,$A33,'4_매출_거래처'!AU$39:AU$60)</f>
        <v>33820</v>
      </c>
      <c r="AA33" s="23">
        <f>SUM(C33:N33)</f>
        <v>83820</v>
      </c>
      <c r="AB33" s="23">
        <f>SUM(O33:Z33)</f>
        <v>585840</v>
      </c>
      <c r="AC33" s="24">
        <f>SUMIF('4_매출_거래처'!$E$39:$E$60,$A33,'4_매출_거래처'!AX$39:AX$60)</f>
        <v>751008</v>
      </c>
      <c r="AD33" s="24">
        <f>SUMIF('4_매출_거래처'!$E$39:$E$60,$A33,'4_매출_거래처'!AY$39:AY$60)</f>
        <v>814809.6</v>
      </c>
      <c r="AE33" s="24">
        <f>SUMIF('4_매출_거래처'!$E$39:$E$60,$A33,'4_매출_거래처'!AZ$39:AZ$60)</f>
        <v>1058411.52</v>
      </c>
      <c r="AF33" s="25">
        <f>SUM(AA33:AE33)</f>
        <v>3293889.12</v>
      </c>
    </row>
    <row r="34">
      <c r="A34" s="15" t="inlineStr">
        <is>
          <t>신규 파이프라인</t>
        </is>
      </c>
      <c r="C34" s="18">
        <f>SUMIF('4_매출_거래처'!$E$39:$E$60,$A34,'4_매출_거래처'!X$39:X$60)</f>
        <v>0</v>
      </c>
      <c r="D34" s="18">
        <f>SUMIF('4_매출_거래처'!$E$39:$E$60,$A34,'4_매출_거래처'!Y$39:Y$60)</f>
        <v>0</v>
      </c>
      <c r="E34" s="18">
        <f>SUMIF('4_매출_거래처'!$E$39:$E$60,$A34,'4_매출_거래처'!Z$39:Z$60)</f>
        <v>0</v>
      </c>
      <c r="F34" s="18">
        <f>SUMIF('4_매출_거래처'!$E$39:$E$60,$A34,'4_매출_거래처'!AA$39:AA$60)</f>
        <v>0</v>
      </c>
      <c r="G34" s="18">
        <f>SUMIF('4_매출_거래처'!$E$39:$E$60,$A34,'4_매출_거래처'!AB$39:AB$60)</f>
        <v>0</v>
      </c>
      <c r="H34" s="18">
        <f>SUMIF('4_매출_거래처'!$E$39:$E$60,$A34,'4_매출_거래처'!AC$39:AC$60)</f>
        <v>0</v>
      </c>
      <c r="I34" s="18">
        <f>SUMIF('4_매출_거래처'!$E$39:$E$60,$A34,'4_매출_거래처'!AD$39:AD$60)</f>
        <v>0</v>
      </c>
      <c r="J34" s="18">
        <f>SUMIF('4_매출_거래처'!$E$39:$E$60,$A34,'4_매출_거래처'!AE$39:AE$60)</f>
        <v>0</v>
      </c>
      <c r="K34" s="18">
        <f>SUMIF('4_매출_거래처'!$E$39:$E$60,$A34,'4_매출_거래처'!AF$39:AF$60)</f>
        <v>0</v>
      </c>
      <c r="L34" s="18">
        <f>SUMIF('4_매출_거래처'!$E$39:$E$60,$A34,'4_매출_거래처'!AG$39:AG$60)</f>
        <v>0</v>
      </c>
      <c r="M34" s="18">
        <f>SUMIF('4_매출_거래처'!$E$39:$E$60,$A34,'4_매출_거래처'!AH$39:AH$60)</f>
        <v>0</v>
      </c>
      <c r="N34" s="18">
        <f>SUMIF('4_매출_거래처'!$E$39:$E$60,$A34,'4_매출_거래처'!AI$39:AI$60)</f>
        <v>0</v>
      </c>
      <c r="O34" s="18">
        <f>SUMIF('4_매출_거래처'!$E$39:$E$60,$A34,'4_매출_거래처'!AJ$39:AJ$60)</f>
        <v>0</v>
      </c>
      <c r="P34" s="18">
        <f>SUMIF('4_매출_거래처'!$E$39:$E$60,$A34,'4_매출_거래처'!AK$39:AK$60)</f>
        <v>0</v>
      </c>
      <c r="Q34" s="18">
        <f>SUMIF('4_매출_거래처'!$E$39:$E$60,$A34,'4_매출_거래처'!AL$39:AL$60)</f>
        <v>0</v>
      </c>
      <c r="R34" s="18">
        <f>SUMIF('4_매출_거래처'!$E$39:$E$60,$A34,'4_매출_거래처'!AM$39:AM$60)</f>
        <v>0</v>
      </c>
      <c r="S34" s="18">
        <f>SUMIF('4_매출_거래처'!$E$39:$E$60,$A34,'4_매출_거래처'!AN$39:AN$60)</f>
        <v>0</v>
      </c>
      <c r="T34" s="18">
        <f>SUMIF('4_매출_거래처'!$E$39:$E$60,$A34,'4_매출_거래처'!AO$39:AO$60)</f>
        <v>0</v>
      </c>
      <c r="U34" s="18">
        <f>SUMIF('4_매출_거래처'!$E$39:$E$60,$A34,'4_매출_거래처'!AP$39:AP$60)</f>
        <v>0</v>
      </c>
      <c r="V34" s="18">
        <f>SUMIF('4_매출_거래처'!$E$39:$E$60,$A34,'4_매출_거래처'!AQ$39:AQ$60)</f>
        <v>0</v>
      </c>
      <c r="W34" s="18">
        <f>SUMIF('4_매출_거래처'!$E$39:$E$60,$A34,'4_매출_거래처'!AR$39:AR$60)</f>
        <v>0</v>
      </c>
      <c r="X34" s="18">
        <f>SUMIF('4_매출_거래처'!$E$39:$E$60,$A34,'4_매출_거래처'!AS$39:AS$60)</f>
        <v>0</v>
      </c>
      <c r="Y34" s="18">
        <f>SUMIF('4_매출_거래처'!$E$39:$E$60,$A34,'4_매출_거래처'!AT$39:AT$60)</f>
        <v>0</v>
      </c>
      <c r="Z34" s="18">
        <f>SUMIF('4_매출_거래처'!$E$39:$E$60,$A34,'4_매출_거래처'!AU$39:AU$60)</f>
        <v>0</v>
      </c>
      <c r="AA34" s="23">
        <f>SUM(C34:N34)</f>
        <v>0</v>
      </c>
      <c r="AB34" s="23">
        <f>SUM(O34:Z34)</f>
        <v>0</v>
      </c>
      <c r="AC34" s="24">
        <f>SUMIF('4_매출_거래처'!$E$39:$E$60,$A34,'4_매출_거래처'!AX$39:AX$60)</f>
        <v>7500000</v>
      </c>
      <c r="AD34" s="24">
        <f>SUMIF('4_매출_거래처'!$E$39:$E$60,$A34,'4_매출_거래처'!AY$39:AY$60)</f>
        <v>25300000</v>
      </c>
      <c r="AE34" s="24">
        <f>SUMIF('4_매출_거래처'!$E$39:$E$60,$A34,'4_매출_거래처'!AZ$39:AZ$60)</f>
        <v>85000000</v>
      </c>
      <c r="AF34" s="25">
        <f>SUM(AA34:AE34)</f>
        <v>117800000</v>
      </c>
    </row>
    <row r="35">
      <c r="A35" s="15" t="inlineStr">
        <is>
          <t>기타</t>
        </is>
      </c>
      <c r="C35" s="18">
        <f>SUMIF('4_매출_거래처'!$E$39:$E$60,$A35,'4_매출_거래처'!X$39:X$60)</f>
        <v>8861.80746121423</v>
      </c>
      <c r="D35" s="18">
        <f>SUMIF('4_매출_거래처'!$E$39:$E$60,$A35,'4_매출_거래처'!Y$39:Y$60)</f>
        <v>8861.80746121423</v>
      </c>
      <c r="E35" s="18">
        <f>SUMIF('4_매출_거래처'!$E$39:$E$60,$A35,'4_매출_거래처'!Z$39:Z$60)</f>
        <v>8861.80746121423</v>
      </c>
      <c r="F35" s="18">
        <f>SUMIF('4_매출_거래처'!$E$39:$E$60,$A35,'4_매출_거래처'!AA$39:AA$60)</f>
        <v>8861.80746121423</v>
      </c>
      <c r="G35" s="18">
        <f>SUMIF('4_매출_거래처'!$E$39:$E$60,$A35,'4_매출_거래처'!AB$39:AB$60)</f>
        <v>8861.80746121423</v>
      </c>
      <c r="H35" s="18">
        <f>SUMIF('4_매출_거래처'!$E$39:$E$60,$A35,'4_매출_거래처'!AC$39:AC$60)</f>
        <v>8861.80746121423</v>
      </c>
      <c r="I35" s="18">
        <f>SUMIF('4_매출_거래처'!$E$39:$E$60,$A35,'4_매출_거래처'!AD$39:AD$60)</f>
        <v>8861.80746121423</v>
      </c>
      <c r="J35" s="18">
        <f>SUMIF('4_매출_거래처'!$E$39:$E$60,$A35,'4_매출_거래처'!AE$39:AE$60)</f>
        <v>8861.80746121423</v>
      </c>
      <c r="K35" s="18">
        <f>SUMIF('4_매출_거래처'!$E$39:$E$60,$A35,'4_매출_거래처'!AF$39:AF$60)</f>
        <v>8861.80746121423</v>
      </c>
      <c r="L35" s="18">
        <f>SUMIF('4_매출_거래처'!$E$39:$E$60,$A35,'4_매출_거래처'!AG$39:AG$60)</f>
        <v>8861.80746121423</v>
      </c>
      <c r="M35" s="18">
        <f>SUMIF('4_매출_거래처'!$E$39:$E$60,$A35,'4_매출_거래처'!AH$39:AH$60)</f>
        <v>8861.80746121423</v>
      </c>
      <c r="N35" s="18">
        <f>SUMIF('4_매출_거래처'!$E$39:$E$60,$A35,'4_매출_거래처'!AI$39:AI$60)</f>
        <v>8861.80746121423</v>
      </c>
      <c r="O35" s="18">
        <f>SUMIF('4_매출_거래처'!$E$39:$E$60,$A35,'4_매출_거래처'!AJ$39:AJ$60)</f>
        <v>0</v>
      </c>
      <c r="P35" s="18">
        <f>SUMIF('4_매출_거래처'!$E$39:$E$60,$A35,'4_매출_거래처'!AK$39:AK$60)</f>
        <v>0</v>
      </c>
      <c r="Q35" s="18">
        <f>SUMIF('4_매출_거래처'!$E$39:$E$60,$A35,'4_매출_거래처'!AL$39:AL$60)</f>
        <v>0</v>
      </c>
      <c r="R35" s="18">
        <f>SUMIF('4_매출_거래처'!$E$39:$E$60,$A35,'4_매출_거래처'!AM$39:AM$60)</f>
        <v>0</v>
      </c>
      <c r="S35" s="18">
        <f>SUMIF('4_매출_거래처'!$E$39:$E$60,$A35,'4_매출_거래처'!AN$39:AN$60)</f>
        <v>0</v>
      </c>
      <c r="T35" s="18">
        <f>SUMIF('4_매출_거래처'!$E$39:$E$60,$A35,'4_매출_거래처'!AO$39:AO$60)</f>
        <v>0</v>
      </c>
      <c r="U35" s="18">
        <f>SUMIF('4_매출_거래처'!$E$39:$E$60,$A35,'4_매출_거래처'!AP$39:AP$60)</f>
        <v>0</v>
      </c>
      <c r="V35" s="18">
        <f>SUMIF('4_매출_거래처'!$E$39:$E$60,$A35,'4_매출_거래처'!AQ$39:AQ$60)</f>
        <v>0</v>
      </c>
      <c r="W35" s="18">
        <f>SUMIF('4_매출_거래처'!$E$39:$E$60,$A35,'4_매출_거래처'!AR$39:AR$60)</f>
        <v>0</v>
      </c>
      <c r="X35" s="18">
        <f>SUMIF('4_매출_거래처'!$E$39:$E$60,$A35,'4_매출_거래처'!AS$39:AS$60)</f>
        <v>0</v>
      </c>
      <c r="Y35" s="18">
        <f>SUMIF('4_매출_거래처'!$E$39:$E$60,$A35,'4_매출_거래처'!AT$39:AT$60)</f>
        <v>0</v>
      </c>
      <c r="Z35" s="18">
        <f>SUMIF('4_매출_거래처'!$E$39:$E$60,$A35,'4_매출_거래처'!AU$39:AU$60)</f>
        <v>0</v>
      </c>
      <c r="AA35" s="23">
        <f>SUM(C35:N35)</f>
        <v>106341.689534571</v>
      </c>
      <c r="AB35" s="23">
        <f>SUM(O35:Z35)</f>
        <v>0</v>
      </c>
      <c r="AC35" s="24">
        <f>SUMIF('4_매출_거래처'!$E$39:$E$60,$A35,'4_매출_거래처'!AX$39:AX$60)</f>
        <v>0</v>
      </c>
      <c r="AD35" s="24">
        <f>SUMIF('4_매출_거래처'!$E$39:$E$60,$A35,'4_매출_거래처'!AY$39:AY$60)</f>
        <v>0</v>
      </c>
      <c r="AE35" s="24">
        <f>SUMIF('4_매출_거래처'!$E$39:$E$60,$A35,'4_매출_거래처'!AZ$39:AZ$60)</f>
        <v>0</v>
      </c>
      <c r="AF35" s="25">
        <f>SUM(AA35:AE35)</f>
        <v>106341.689534571</v>
      </c>
    </row>
    <row r="36">
      <c r="A36" s="12" t="inlineStr">
        <is>
          <t>채널 합계</t>
        </is>
      </c>
      <c r="C36" s="26">
        <f>SUM(C30:C35)</f>
        <v>67445.6116043404</v>
      </c>
      <c r="D36" s="26">
        <f>SUM(D30:D35)</f>
        <v>69140.5268585777</v>
      </c>
      <c r="E36" s="26">
        <f>SUM(E30:E35)</f>
        <v>70835.442112815</v>
      </c>
      <c r="F36" s="26">
        <f>SUM(F30:F35)</f>
        <v>72530.3573670523</v>
      </c>
      <c r="G36" s="26">
        <f>SUM(G30:G35)</f>
        <v>74225.2726212896</v>
      </c>
      <c r="H36" s="26">
        <f>SUM(H30:H35)</f>
        <v>75920.1878755269</v>
      </c>
      <c r="I36" s="26">
        <f>SUM(I30:I35)</f>
        <v>94726.2142408753</v>
      </c>
      <c r="J36" s="26">
        <f>SUM(J30:J35)</f>
        <v>103532.240606224</v>
      </c>
      <c r="K36" s="26">
        <f>SUM(K30:K35)</f>
        <v>112338.266971572</v>
      </c>
      <c r="L36" s="26">
        <f>SUM(L30:L35)</f>
        <v>125773.92296655</v>
      </c>
      <c r="M36" s="26">
        <f>SUM(M30:M35)</f>
        <v>147149.578961528</v>
      </c>
      <c r="N36" s="26">
        <f>SUM(N30:N35)</f>
        <v>186382.377813649</v>
      </c>
      <c r="O36" s="26">
        <f>SUM(O30:O35)</f>
        <v>286006.146982333</v>
      </c>
      <c r="P36" s="26">
        <f>SUM(P30:P35)</f>
        <v>396943.880474977</v>
      </c>
      <c r="Q36" s="26">
        <f>SUM(Q30:Q35)</f>
        <v>507881.613967621</v>
      </c>
      <c r="R36" s="26">
        <f>SUM(R30:R35)</f>
        <v>617124.432206027</v>
      </c>
      <c r="S36" s="26">
        <f>SUM(S30:S35)</f>
        <v>726367.250444434</v>
      </c>
      <c r="T36" s="26">
        <f>SUM(T30:T35)</f>
        <v>895610.06868284</v>
      </c>
      <c r="U36" s="26">
        <f>SUM(U30:U35)</f>
        <v>997741.775810136</v>
      </c>
      <c r="V36" s="26">
        <f>SUM(V30:V35)</f>
        <v>1089481.32607469</v>
      </c>
      <c r="W36" s="26">
        <f>SUM(W30:W35)</f>
        <v>1121220.87633924</v>
      </c>
      <c r="X36" s="26">
        <f>SUM(X30:X35)</f>
        <v>1121220.87633924</v>
      </c>
      <c r="Y36" s="26">
        <f>SUM(Y30:Y35)</f>
        <v>1121220.87633924</v>
      </c>
      <c r="Z36" s="26">
        <f>SUM(Z30:Z35)</f>
        <v>1121220.87633924</v>
      </c>
      <c r="AA36" s="27">
        <f>SUM(AA30:AA35)</f>
        <v>1200000</v>
      </c>
      <c r="AB36" s="27">
        <f>SUM(AB30:AB35)</f>
        <v>10002040</v>
      </c>
      <c r="AC36" s="28">
        <f>SUM(AC30:AC35)</f>
        <v>33000000</v>
      </c>
      <c r="AD36" s="28">
        <f>SUM(AD30:AD35)</f>
        <v>70000000</v>
      </c>
      <c r="AE36" s="28">
        <f>SUM(AE30:AE35)</f>
        <v>156000000</v>
      </c>
      <c r="AF36" s="26">
        <f>SUM(AF30:AF35)</f>
        <v>270202040</v>
      </c>
    </row>
    <row r="38">
      <c r="A38" s="3" t="inlineStr">
        <is>
          <t>D. 근거수준별 매출</t>
        </is>
      </c>
    </row>
    <row r="39">
      <c r="A39" s="15" t="inlineStr">
        <is>
          <t>A 계약·기존 거래</t>
        </is>
      </c>
      <c r="C39" s="18">
        <f>SUMIF('4_매출_거래처'!$H$39:$H$60,$A39,'4_매출_거래처'!X$39:X$60)</f>
        <v>67445.6116043404</v>
      </c>
      <c r="D39" s="18">
        <f>SUMIF('4_매출_거래처'!$H$39:$H$60,$A39,'4_매출_거래처'!Y$39:Y$60)</f>
        <v>69140.5268585777</v>
      </c>
      <c r="E39" s="18">
        <f>SUMIF('4_매출_거래처'!$H$39:$H$60,$A39,'4_매출_거래처'!Z$39:Z$60)</f>
        <v>70835.442112815</v>
      </c>
      <c r="F39" s="18">
        <f>SUMIF('4_매출_거래처'!$H$39:$H$60,$A39,'4_매출_거래처'!AA$39:AA$60)</f>
        <v>72530.3573670523</v>
      </c>
      <c r="G39" s="18">
        <f>SUMIF('4_매출_거래처'!$H$39:$H$60,$A39,'4_매출_거래처'!AB$39:AB$60)</f>
        <v>74225.2726212896</v>
      </c>
      <c r="H39" s="18">
        <f>SUMIF('4_매출_거래처'!$H$39:$H$60,$A39,'4_매출_거래처'!AC$39:AC$60)</f>
        <v>75920.1878755269</v>
      </c>
      <c r="I39" s="18">
        <f>SUMIF('4_매출_거래처'!$H$39:$H$60,$A39,'4_매출_거래처'!AD$39:AD$60)</f>
        <v>94726.2142408753</v>
      </c>
      <c r="J39" s="18">
        <f>SUMIF('4_매출_거래처'!$H$39:$H$60,$A39,'4_매출_거래처'!AE$39:AE$60)</f>
        <v>103532.240606224</v>
      </c>
      <c r="K39" s="18">
        <f>SUMIF('4_매출_거래처'!$H$39:$H$60,$A39,'4_매출_거래처'!AF$39:AF$60)</f>
        <v>112338.266971572</v>
      </c>
      <c r="L39" s="18">
        <f>SUMIF('4_매출_거래처'!$H$39:$H$60,$A39,'4_매출_거래처'!AG$39:AG$60)</f>
        <v>121144.29333692</v>
      </c>
      <c r="M39" s="18">
        <f>SUMIF('4_매출_거래처'!$H$39:$H$60,$A39,'4_매출_거래처'!AH$39:AH$60)</f>
        <v>137890.319702269</v>
      </c>
      <c r="N39" s="18">
        <f>SUMIF('4_매출_거래처'!$H$39:$H$60,$A39,'4_매출_거래처'!AI$39:AI$60)</f>
        <v>172493.48892476</v>
      </c>
      <c r="O39" s="18">
        <f>SUMIF('4_매출_거래처'!$H$39:$H$60,$A39,'4_매출_거래처'!AJ$39:AJ$60)</f>
        <v>212123.739574926</v>
      </c>
      <c r="P39" s="18">
        <f>SUMIF('4_매출_거래처'!$H$39:$H$60,$A39,'4_매출_거래처'!AK$39:AK$60)</f>
        <v>261107.170235326</v>
      </c>
      <c r="Q39" s="18">
        <f>SUMIF('4_매출_거래처'!$H$39:$H$60,$A39,'4_매출_거래처'!AL$39:AL$60)</f>
        <v>310090.600895726</v>
      </c>
      <c r="R39" s="18">
        <f>SUMIF('4_매출_거래처'!$H$39:$H$60,$A39,'4_매출_거래처'!AM$39:AM$60)</f>
        <v>357379.116301888</v>
      </c>
      <c r="S39" s="18">
        <f>SUMIF('4_매출_거래처'!$H$39:$H$60,$A39,'4_매출_거래처'!AN$39:AN$60)</f>
        <v>404667.63170805</v>
      </c>
      <c r="T39" s="18">
        <f>SUMIF('4_매출_거래처'!$H$39:$H$60,$A39,'4_매출_거래처'!AO$39:AO$60)</f>
        <v>451956.147114213</v>
      </c>
      <c r="U39" s="18">
        <f>SUMIF('4_매출_거래처'!$H$39:$H$60,$A39,'4_매출_거래처'!AP$39:AP$60)</f>
        <v>492133.551409264</v>
      </c>
      <c r="V39" s="18">
        <f>SUMIF('4_매출_거래처'!$H$39:$H$60,$A39,'4_매출_거래처'!AQ$39:AQ$60)</f>
        <v>523879.583155296</v>
      </c>
      <c r="W39" s="18">
        <f>SUMIF('4_매출_거래처'!$H$39:$H$60,$A39,'4_매출_거래처'!AR$39:AR$60)</f>
        <v>555625.614901328</v>
      </c>
      <c r="X39" s="18">
        <f>SUMIF('4_매출_거래처'!$H$39:$H$60,$A39,'4_매출_거래처'!AS$39:AS$60)</f>
        <v>555625.614901328</v>
      </c>
      <c r="Y39" s="18">
        <f>SUMIF('4_매출_거래처'!$H$39:$H$60,$A39,'4_매출_거래처'!AT$39:AT$60)</f>
        <v>555625.614901328</v>
      </c>
      <c r="Z39" s="18">
        <f>SUMIF('4_매출_거래처'!$H$39:$H$60,$A39,'4_매출_거래처'!AU$39:AU$60)</f>
        <v>555625.614901328</v>
      </c>
      <c r="AA39" s="23">
        <f>SUM(C39:N39)</f>
        <v>1172222.22222222</v>
      </c>
      <c r="AB39" s="23">
        <f>SUM(O39:Z39)</f>
        <v>5235840</v>
      </c>
      <c r="AC39" s="24">
        <f>SUMIF('4_매출_거래처'!$H$39:$H$60,$A39,'4_매출_거래처'!AX$39:AX$60)</f>
        <v>10627419.4323696</v>
      </c>
      <c r="AD39" s="24">
        <f>SUMIF('4_매출_거래처'!$H$39:$H$60,$A39,'4_매출_거래처'!AY$39:AY$60)</f>
        <v>16325232.6641409</v>
      </c>
      <c r="AE39" s="24">
        <f>SUMIF('4_매출_거래처'!$H$39:$H$60,$A39,'4_매출_거래처'!AZ$39:AZ$60)</f>
        <v>23277271.6994616</v>
      </c>
      <c r="AF39" s="25">
        <f>SUM(AA39:AE39)</f>
        <v>56637986.0181943</v>
      </c>
    </row>
    <row r="40">
      <c r="A40" s="15" t="inlineStr">
        <is>
          <t>B 등록·입찰·협의 단계</t>
        </is>
      </c>
      <c r="C40" s="18">
        <f>SUMIF('4_매출_거래처'!$H$39:$H$60,$A40,'4_매출_거래처'!X$39:X$60)</f>
        <v>0</v>
      </c>
      <c r="D40" s="18">
        <f>SUMIF('4_매출_거래처'!$H$39:$H$60,$A40,'4_매출_거래처'!Y$39:Y$60)</f>
        <v>0</v>
      </c>
      <c r="E40" s="18">
        <f>SUMIF('4_매출_거래처'!$H$39:$H$60,$A40,'4_매출_거래처'!Z$39:Z$60)</f>
        <v>0</v>
      </c>
      <c r="F40" s="18">
        <f>SUMIF('4_매출_거래처'!$H$39:$H$60,$A40,'4_매출_거래처'!AA$39:AA$60)</f>
        <v>0</v>
      </c>
      <c r="G40" s="18">
        <f>SUMIF('4_매출_거래처'!$H$39:$H$60,$A40,'4_매출_거래처'!AB$39:AB$60)</f>
        <v>0</v>
      </c>
      <c r="H40" s="18">
        <f>SUMIF('4_매출_거래처'!$H$39:$H$60,$A40,'4_매출_거래처'!AC$39:AC$60)</f>
        <v>0</v>
      </c>
      <c r="I40" s="18">
        <f>SUMIF('4_매출_거래처'!$H$39:$H$60,$A40,'4_매출_거래처'!AD$39:AD$60)</f>
        <v>0</v>
      </c>
      <c r="J40" s="18">
        <f>SUMIF('4_매출_거래처'!$H$39:$H$60,$A40,'4_매출_거래처'!AE$39:AE$60)</f>
        <v>0</v>
      </c>
      <c r="K40" s="18">
        <f>SUMIF('4_매출_거래처'!$H$39:$H$60,$A40,'4_매출_거래처'!AF$39:AF$60)</f>
        <v>0</v>
      </c>
      <c r="L40" s="18">
        <f>SUMIF('4_매출_거래처'!$H$39:$H$60,$A40,'4_매출_거래처'!AG$39:AG$60)</f>
        <v>4629.62962962963</v>
      </c>
      <c r="M40" s="18">
        <f>SUMIF('4_매출_거래처'!$H$39:$H$60,$A40,'4_매출_거래처'!AH$39:AH$60)</f>
        <v>9259.25925925926</v>
      </c>
      <c r="N40" s="18">
        <f>SUMIF('4_매출_거래처'!$H$39:$H$60,$A40,'4_매출_거래처'!AI$39:AI$60)</f>
        <v>13888.8888888889</v>
      </c>
      <c r="O40" s="18">
        <f>SUMIF('4_매출_거래처'!$H$39:$H$60,$A40,'4_매출_거래처'!AJ$39:AJ$60)</f>
        <v>73882.4074074074</v>
      </c>
      <c r="P40" s="18">
        <f>SUMIF('4_매출_거래처'!$H$39:$H$60,$A40,'4_매출_거래처'!AK$39:AK$60)</f>
        <v>135836.710239651</v>
      </c>
      <c r="Q40" s="18">
        <f>SUMIF('4_매출_거래처'!$H$39:$H$60,$A40,'4_매출_거래처'!AL$39:AL$60)</f>
        <v>197791.013071895</v>
      </c>
      <c r="R40" s="18">
        <f>SUMIF('4_매출_거래처'!$H$39:$H$60,$A40,'4_매출_거래처'!AM$39:AM$60)</f>
        <v>259745.315904139</v>
      </c>
      <c r="S40" s="18">
        <f>SUMIF('4_매출_거래처'!$H$39:$H$60,$A40,'4_매출_거래처'!AN$39:AN$60)</f>
        <v>321699.618736383</v>
      </c>
      <c r="T40" s="18">
        <f>SUMIF('4_매출_거래처'!$H$39:$H$60,$A40,'4_매출_거래처'!AO$39:AO$60)</f>
        <v>443653.921568627</v>
      </c>
      <c r="U40" s="18">
        <f>SUMIF('4_매출_거래처'!$H$39:$H$60,$A40,'4_매출_거래처'!AP$39:AP$60)</f>
        <v>505608.224400871</v>
      </c>
      <c r="V40" s="18">
        <f>SUMIF('4_매출_거래처'!$H$39:$H$60,$A40,'4_매출_거래처'!AQ$39:AQ$60)</f>
        <v>565601.74291939</v>
      </c>
      <c r="W40" s="18">
        <f>SUMIF('4_매출_거래처'!$H$39:$H$60,$A40,'4_매출_거래처'!AR$39:AR$60)</f>
        <v>565595.261437909</v>
      </c>
      <c r="X40" s="18">
        <f>SUMIF('4_매출_거래처'!$H$39:$H$60,$A40,'4_매출_거래처'!AS$39:AS$60)</f>
        <v>565595.261437909</v>
      </c>
      <c r="Y40" s="18">
        <f>SUMIF('4_매출_거래처'!$H$39:$H$60,$A40,'4_매출_거래처'!AT$39:AT$60)</f>
        <v>565595.261437909</v>
      </c>
      <c r="Z40" s="18">
        <f>SUMIF('4_매출_거래처'!$H$39:$H$60,$A40,'4_매출_거래처'!AU$39:AU$60)</f>
        <v>565595.261437909</v>
      </c>
      <c r="AA40" s="23">
        <f>SUM(C40:N40)</f>
        <v>27777.7777777778</v>
      </c>
      <c r="AB40" s="23">
        <f>SUM(O40:Z40)</f>
        <v>4766200</v>
      </c>
      <c r="AC40" s="24">
        <f>SUMIF('4_매출_거래처'!$H$39:$H$60,$A40,'4_매출_거래처'!AX$39:AX$60)</f>
        <v>10805969.6078431</v>
      </c>
      <c r="AD40" s="24">
        <f>SUMIF('4_매출_거래처'!$H$39:$H$60,$A40,'4_매출_거래처'!AY$39:AY$60)</f>
        <v>18501983.627451</v>
      </c>
      <c r="AE40" s="24">
        <f>SUMIF('4_매출_거래처'!$H$39:$H$60,$A40,'4_매출_거래처'!AZ$39:AZ$60)</f>
        <v>28356812.3039216</v>
      </c>
      <c r="AF40" s="25">
        <f>SUM(AA40:AE40)</f>
        <v>62458743.3169935</v>
      </c>
    </row>
    <row r="41">
      <c r="A41" s="15" t="inlineStr">
        <is>
          <t>C 신규 파이프라인(미확정)</t>
        </is>
      </c>
      <c r="C41" s="18">
        <f>SUMIF('4_매출_거래처'!$H$39:$H$60,$A41,'4_매출_거래처'!X$39:X$60)</f>
        <v>0</v>
      </c>
      <c r="D41" s="18">
        <f>SUMIF('4_매출_거래처'!$H$39:$H$60,$A41,'4_매출_거래처'!Y$39:Y$60)</f>
        <v>0</v>
      </c>
      <c r="E41" s="18">
        <f>SUMIF('4_매출_거래처'!$H$39:$H$60,$A41,'4_매출_거래처'!Z$39:Z$60)</f>
        <v>0</v>
      </c>
      <c r="F41" s="18">
        <f>SUMIF('4_매출_거래처'!$H$39:$H$60,$A41,'4_매출_거래처'!AA$39:AA$60)</f>
        <v>0</v>
      </c>
      <c r="G41" s="18">
        <f>SUMIF('4_매출_거래처'!$H$39:$H$60,$A41,'4_매출_거래처'!AB$39:AB$60)</f>
        <v>0</v>
      </c>
      <c r="H41" s="18">
        <f>SUMIF('4_매출_거래처'!$H$39:$H$60,$A41,'4_매출_거래처'!AC$39:AC$60)</f>
        <v>0</v>
      </c>
      <c r="I41" s="18">
        <f>SUMIF('4_매출_거래처'!$H$39:$H$60,$A41,'4_매출_거래처'!AD$39:AD$60)</f>
        <v>0</v>
      </c>
      <c r="J41" s="18">
        <f>SUMIF('4_매출_거래처'!$H$39:$H$60,$A41,'4_매출_거래처'!AE$39:AE$60)</f>
        <v>0</v>
      </c>
      <c r="K41" s="18">
        <f>SUMIF('4_매출_거래처'!$H$39:$H$60,$A41,'4_매출_거래처'!AF$39:AF$60)</f>
        <v>0</v>
      </c>
      <c r="L41" s="18">
        <f>SUMIF('4_매출_거래처'!$H$39:$H$60,$A41,'4_매출_거래처'!AG$39:AG$60)</f>
        <v>0</v>
      </c>
      <c r="M41" s="18">
        <f>SUMIF('4_매출_거래처'!$H$39:$H$60,$A41,'4_매출_거래처'!AH$39:AH$60)</f>
        <v>0</v>
      </c>
      <c r="N41" s="18">
        <f>SUMIF('4_매출_거래처'!$H$39:$H$60,$A41,'4_매출_거래처'!AI$39:AI$60)</f>
        <v>0</v>
      </c>
      <c r="O41" s="18">
        <f>SUMIF('4_매출_거래처'!$H$39:$H$60,$A41,'4_매출_거래처'!AJ$39:AJ$60)</f>
        <v>0</v>
      </c>
      <c r="P41" s="18">
        <f>SUMIF('4_매출_거래처'!$H$39:$H$60,$A41,'4_매출_거래처'!AK$39:AK$60)</f>
        <v>0</v>
      </c>
      <c r="Q41" s="18">
        <f>SUMIF('4_매출_거래처'!$H$39:$H$60,$A41,'4_매출_거래처'!AL$39:AL$60)</f>
        <v>0</v>
      </c>
      <c r="R41" s="18">
        <f>SUMIF('4_매출_거래처'!$H$39:$H$60,$A41,'4_매출_거래처'!AM$39:AM$60)</f>
        <v>0</v>
      </c>
      <c r="S41" s="18">
        <f>SUMIF('4_매출_거래처'!$H$39:$H$60,$A41,'4_매출_거래처'!AN$39:AN$60)</f>
        <v>0</v>
      </c>
      <c r="T41" s="18">
        <f>SUMIF('4_매출_거래처'!$H$39:$H$60,$A41,'4_매출_거래처'!AO$39:AO$60)</f>
        <v>0</v>
      </c>
      <c r="U41" s="18">
        <f>SUMIF('4_매출_거래처'!$H$39:$H$60,$A41,'4_매출_거래처'!AP$39:AP$60)</f>
        <v>0</v>
      </c>
      <c r="V41" s="18">
        <f>SUMIF('4_매출_거래처'!$H$39:$H$60,$A41,'4_매출_거래처'!AQ$39:AQ$60)</f>
        <v>0</v>
      </c>
      <c r="W41" s="18">
        <f>SUMIF('4_매출_거래처'!$H$39:$H$60,$A41,'4_매출_거래처'!AR$39:AR$60)</f>
        <v>0</v>
      </c>
      <c r="X41" s="18">
        <f>SUMIF('4_매출_거래처'!$H$39:$H$60,$A41,'4_매출_거래처'!AS$39:AS$60)</f>
        <v>0</v>
      </c>
      <c r="Y41" s="18">
        <f>SUMIF('4_매출_거래처'!$H$39:$H$60,$A41,'4_매출_거래처'!AT$39:AT$60)</f>
        <v>0</v>
      </c>
      <c r="Z41" s="18">
        <f>SUMIF('4_매출_거래처'!$H$39:$H$60,$A41,'4_매출_거래처'!AU$39:AU$60)</f>
        <v>0</v>
      </c>
      <c r="AA41" s="23">
        <f>SUM(C41:N41)</f>
        <v>0</v>
      </c>
      <c r="AB41" s="23">
        <f>SUM(O41:Z41)</f>
        <v>0</v>
      </c>
      <c r="AC41" s="24">
        <f>SUMIF('4_매출_거래처'!$H$39:$H$60,$A41,'4_매출_거래처'!AX$39:AX$60)</f>
        <v>11566610.9597873</v>
      </c>
      <c r="AD41" s="24">
        <f>SUMIF('4_매출_거래처'!$H$39:$H$60,$A41,'4_매출_거래처'!AY$39:AY$60)</f>
        <v>35172783.7084081</v>
      </c>
      <c r="AE41" s="24">
        <f>SUMIF('4_매출_거래처'!$H$39:$H$60,$A41,'4_매출_거래처'!AZ$39:AZ$60)</f>
        <v>104365915.996617</v>
      </c>
      <c r="AF41" s="25">
        <f>SUM(AA41:AE41)</f>
        <v>151105310.664812</v>
      </c>
    </row>
    <row r="42">
      <c r="A42" s="12" t="inlineStr">
        <is>
          <t>근거수준 합계</t>
        </is>
      </c>
      <c r="C42" s="26">
        <f>SUM(C39:C41)</f>
        <v>67445.6116043404</v>
      </c>
      <c r="D42" s="26">
        <f>SUM(D39:D41)</f>
        <v>69140.5268585777</v>
      </c>
      <c r="E42" s="26">
        <f>SUM(E39:E41)</f>
        <v>70835.442112815</v>
      </c>
      <c r="F42" s="26">
        <f>SUM(F39:F41)</f>
        <v>72530.3573670523</v>
      </c>
      <c r="G42" s="26">
        <f>SUM(G39:G41)</f>
        <v>74225.2726212896</v>
      </c>
      <c r="H42" s="26">
        <f>SUM(H39:H41)</f>
        <v>75920.1878755269</v>
      </c>
      <c r="I42" s="26">
        <f>SUM(I39:I41)</f>
        <v>94726.2142408753</v>
      </c>
      <c r="J42" s="26">
        <f>SUM(J39:J41)</f>
        <v>103532.240606224</v>
      </c>
      <c r="K42" s="26">
        <f>SUM(K39:K41)</f>
        <v>112338.266971572</v>
      </c>
      <c r="L42" s="26">
        <f>SUM(L39:L41)</f>
        <v>125773.92296655</v>
      </c>
      <c r="M42" s="26">
        <f>SUM(M39:M41)</f>
        <v>147149.578961528</v>
      </c>
      <c r="N42" s="26">
        <f>SUM(N39:N41)</f>
        <v>186382.377813649</v>
      </c>
      <c r="O42" s="26">
        <f>SUM(O39:O41)</f>
        <v>286006.146982333</v>
      </c>
      <c r="P42" s="26">
        <f>SUM(P39:P41)</f>
        <v>396943.880474977</v>
      </c>
      <c r="Q42" s="26">
        <f>SUM(Q39:Q41)</f>
        <v>507881.613967621</v>
      </c>
      <c r="R42" s="26">
        <f>SUM(R39:R41)</f>
        <v>617124.432206027</v>
      </c>
      <c r="S42" s="26">
        <f>SUM(S39:S41)</f>
        <v>726367.250444434</v>
      </c>
      <c r="T42" s="26">
        <f>SUM(T39:T41)</f>
        <v>895610.06868284</v>
      </c>
      <c r="U42" s="26">
        <f>SUM(U39:U41)</f>
        <v>997741.775810136</v>
      </c>
      <c r="V42" s="26">
        <f>SUM(V39:V41)</f>
        <v>1089481.32607469</v>
      </c>
      <c r="W42" s="26">
        <f>SUM(W39:W41)</f>
        <v>1121220.87633924</v>
      </c>
      <c r="X42" s="26">
        <f>SUM(X39:X41)</f>
        <v>1121220.87633924</v>
      </c>
      <c r="Y42" s="26">
        <f>SUM(Y39:Y41)</f>
        <v>1121220.87633924</v>
      </c>
      <c r="Z42" s="26">
        <f>SUM(Z39:Z41)</f>
        <v>1121220.87633924</v>
      </c>
      <c r="AA42" s="27">
        <f>SUM(AA39:AA41)</f>
        <v>1200000</v>
      </c>
      <c r="AB42" s="27">
        <f>SUM(AB39:AB41)</f>
        <v>10002040</v>
      </c>
      <c r="AC42" s="28">
        <f>SUM(AC39:AC41)</f>
        <v>33000000</v>
      </c>
      <c r="AD42" s="28">
        <f>SUM(AD39:AD41)</f>
        <v>70000000</v>
      </c>
      <c r="AE42" s="28">
        <f>SUM(AE39:AE41)</f>
        <v>156000000</v>
      </c>
      <c r="AF42" s="26">
        <f>SUM(AF39:AF41)</f>
        <v>270202040</v>
      </c>
    </row>
    <row r="43">
      <c r="A43" s="52" t="inlineStr">
        <is>
          <t xml:space="preserve">  비중 — A 계약·기존 거래</t>
        </is>
      </c>
      <c r="C43" s="72">
        <f>IFERROR(C39/C42,0)</f>
        <v>1</v>
      </c>
      <c r="D43" s="72">
        <f>IFERROR(D39/D42,0)</f>
        <v>1</v>
      </c>
      <c r="E43" s="72">
        <f>IFERROR(E39/E42,0)</f>
        <v>1</v>
      </c>
      <c r="F43" s="72">
        <f>IFERROR(F39/F42,0)</f>
        <v>1</v>
      </c>
      <c r="G43" s="72">
        <f>IFERROR(G39/G42,0)</f>
        <v>1</v>
      </c>
      <c r="H43" s="72">
        <f>IFERROR(H39/H42,0)</f>
        <v>1</v>
      </c>
      <c r="I43" s="72">
        <f>IFERROR(I39/I42,0)</f>
        <v>1</v>
      </c>
      <c r="J43" s="72">
        <f>IFERROR(J39/J42,0)</f>
        <v>1</v>
      </c>
      <c r="K43" s="72">
        <f>IFERROR(K39/K42,0)</f>
        <v>1</v>
      </c>
      <c r="L43" s="72">
        <f>IFERROR(L39/L42,0)</f>
        <v>0.963190862458342</v>
      </c>
      <c r="M43" s="72">
        <f>IFERROR(M39/M42,0)</f>
        <v>0.937075869842074</v>
      </c>
      <c r="N43" s="72">
        <f>IFERROR(N39/N42,0)</f>
        <v>0.9254817485869</v>
      </c>
      <c r="O43" s="72">
        <f>IFERROR(O39/O42,0)</f>
        <v>0.741675456325171</v>
      </c>
      <c r="P43" s="72">
        <f>IFERROR(P39/P42,0)</f>
        <v>0.657793665751664</v>
      </c>
      <c r="Q43" s="72">
        <f>IFERROR(Q39/Q42,0)</f>
        <v>0.610556854919924</v>
      </c>
      <c r="R43" s="72">
        <f>IFERROR(R39/R42,0)</f>
        <v>0.579103820317677</v>
      </c>
      <c r="S43" s="72">
        <f>IFERROR(S39/S42,0)</f>
        <v>0.55711161462807</v>
      </c>
      <c r="T43" s="72">
        <f>IFERROR(T39/T42,0)</f>
        <v>0.504634955454328</v>
      </c>
      <c r="U43" s="72">
        <f>IFERROR(U39/U42,0)</f>
        <v>0.493247414652621</v>
      </c>
      <c r="V43" s="72">
        <f>IFERROR(V39/V42,0)</f>
        <v>0.48085228320782</v>
      </c>
      <c r="W43" s="72">
        <f>IFERROR(W39/W42,0)</f>
        <v>0.495554111260784</v>
      </c>
      <c r="X43" s="72">
        <f>IFERROR(X39/X42,0)</f>
        <v>0.495554111260784</v>
      </c>
      <c r="Y43" s="72">
        <f>IFERROR(Y39/Y42,0)</f>
        <v>0.495554111260784</v>
      </c>
      <c r="Z43" s="72">
        <f>IFERROR(Z39/Z42,0)</f>
        <v>0.495554111260784</v>
      </c>
      <c r="AA43" s="72">
        <f>IFERROR(AA39/AA42,0)</f>
        <v>0.976851851851852</v>
      </c>
      <c r="AB43" s="72">
        <f>IFERROR(AB39/AB42,0)</f>
        <v>0.523477210649028</v>
      </c>
      <c r="AC43" s="72">
        <f>IFERROR(AC39/AC42,0)</f>
        <v>0.322043013102108</v>
      </c>
      <c r="AD43" s="72">
        <f>IFERROR(AD39/AD42,0)</f>
        <v>0.233217609487727</v>
      </c>
      <c r="AE43" s="72">
        <f>IFERROR(AE39/AE42,0)</f>
        <v>0.149213280124754</v>
      </c>
      <c r="AF43" s="72">
        <f>IFERROR(AF39/AF42,0)</f>
        <v>0.209613465605938</v>
      </c>
    </row>
    <row r="44">
      <c r="A44" s="52" t="inlineStr">
        <is>
          <t xml:space="preserve">  비중 — B 등록·입찰·협의 단계</t>
        </is>
      </c>
      <c r="C44" s="72">
        <f>IFERROR(C40/C42,0)</f>
        <v>0</v>
      </c>
      <c r="D44" s="72">
        <f>IFERROR(D40/D42,0)</f>
        <v>0</v>
      </c>
      <c r="E44" s="72">
        <f>IFERROR(E40/E42,0)</f>
        <v>0</v>
      </c>
      <c r="F44" s="72">
        <f>IFERROR(F40/F42,0)</f>
        <v>0</v>
      </c>
      <c r="G44" s="72">
        <f>IFERROR(G40/G42,0)</f>
        <v>0</v>
      </c>
      <c r="H44" s="72">
        <f>IFERROR(H40/H42,0)</f>
        <v>0</v>
      </c>
      <c r="I44" s="72">
        <f>IFERROR(I40/I42,0)</f>
        <v>0</v>
      </c>
      <c r="J44" s="72">
        <f>IFERROR(J40/J42,0)</f>
        <v>0</v>
      </c>
      <c r="K44" s="72">
        <f>IFERROR(K40/K42,0)</f>
        <v>0</v>
      </c>
      <c r="L44" s="72">
        <f>IFERROR(L40/L42,0)</f>
        <v>0.0368091375416579</v>
      </c>
      <c r="M44" s="72">
        <f>IFERROR(M40/M42,0)</f>
        <v>0.0629241301579264</v>
      </c>
      <c r="N44" s="72">
        <f>IFERROR(N40/N42,0)</f>
        <v>0.0745182514131</v>
      </c>
      <c r="O44" s="72">
        <f>IFERROR(O40/O42,0)</f>
        <v>0.258324543674829</v>
      </c>
      <c r="P44" s="72">
        <f>IFERROR(P40/P42,0)</f>
        <v>0.342206334248336</v>
      </c>
      <c r="Q44" s="72">
        <f>IFERROR(Q40/Q42,0)</f>
        <v>0.389443145080076</v>
      </c>
      <c r="R44" s="72">
        <f>IFERROR(R40/R42,0)</f>
        <v>0.420896179682323</v>
      </c>
      <c r="S44" s="72">
        <f>IFERROR(S40/S42,0)</f>
        <v>0.44288838537193</v>
      </c>
      <c r="T44" s="72">
        <f>IFERROR(T40/T42,0)</f>
        <v>0.495365044545672</v>
      </c>
      <c r="U44" s="72">
        <f>IFERROR(U40/U42,0)</f>
        <v>0.506752585347379</v>
      </c>
      <c r="V44" s="72">
        <f>IFERROR(V40/V42,0)</f>
        <v>0.51914771679218</v>
      </c>
      <c r="W44" s="72">
        <f>IFERROR(W40/W42,0)</f>
        <v>0.504445888739216</v>
      </c>
      <c r="X44" s="72">
        <f>IFERROR(X40/X42,0)</f>
        <v>0.504445888739216</v>
      </c>
      <c r="Y44" s="72">
        <f>IFERROR(Y40/Y42,0)</f>
        <v>0.504445888739216</v>
      </c>
      <c r="Z44" s="72">
        <f>IFERROR(Z40/Z42,0)</f>
        <v>0.504445888739216</v>
      </c>
      <c r="AA44" s="72">
        <f>IFERROR(AA40/AA42,0)</f>
        <v>0.0231481481481482</v>
      </c>
      <c r="AB44" s="72">
        <f>IFERROR(AB40/AB42,0)</f>
        <v>0.476522789350972</v>
      </c>
      <c r="AC44" s="72">
        <f>IFERROR(AC40/AC42,0)</f>
        <v>0.327453624480095</v>
      </c>
      <c r="AD44" s="72">
        <f>IFERROR(AD40/AD42,0)</f>
        <v>0.264314051820728</v>
      </c>
      <c r="AE44" s="72">
        <f>IFERROR(AE40/AE42,0)</f>
        <v>0.181774437845651</v>
      </c>
      <c r="AF44" s="72">
        <f>IFERROR(AF40/AF42,0)</f>
        <v>0.231155705993165</v>
      </c>
    </row>
    <row r="45">
      <c r="A45" s="52" t="inlineStr">
        <is>
          <t xml:space="preserve">  비중 — C 신규 파이프라인(미확정)</t>
        </is>
      </c>
      <c r="C45" s="72">
        <f>IFERROR(C41/C42,0)</f>
        <v>0</v>
      </c>
      <c r="D45" s="72">
        <f>IFERROR(D41/D42,0)</f>
        <v>0</v>
      </c>
      <c r="E45" s="72">
        <f>IFERROR(E41/E42,0)</f>
        <v>0</v>
      </c>
      <c r="F45" s="72">
        <f>IFERROR(F41/F42,0)</f>
        <v>0</v>
      </c>
      <c r="G45" s="72">
        <f>IFERROR(G41/G42,0)</f>
        <v>0</v>
      </c>
      <c r="H45" s="72">
        <f>IFERROR(H41/H42,0)</f>
        <v>0</v>
      </c>
      <c r="I45" s="72">
        <f>IFERROR(I41/I42,0)</f>
        <v>0</v>
      </c>
      <c r="J45" s="72">
        <f>IFERROR(J41/J42,0)</f>
        <v>0</v>
      </c>
      <c r="K45" s="72">
        <f>IFERROR(K41/K42,0)</f>
        <v>0</v>
      </c>
      <c r="L45" s="72">
        <f>IFERROR(L41/L42,0)</f>
        <v>0</v>
      </c>
      <c r="M45" s="72">
        <f>IFERROR(M41/M42,0)</f>
        <v>0</v>
      </c>
      <c r="N45" s="72">
        <f>IFERROR(N41/N42,0)</f>
        <v>0</v>
      </c>
      <c r="O45" s="72">
        <f>IFERROR(O41/O42,0)</f>
        <v>0</v>
      </c>
      <c r="P45" s="72">
        <f>IFERROR(P41/P42,0)</f>
        <v>0</v>
      </c>
      <c r="Q45" s="72">
        <f>IFERROR(Q41/Q42,0)</f>
        <v>0</v>
      </c>
      <c r="R45" s="72">
        <f>IFERROR(R41/R42,0)</f>
        <v>0</v>
      </c>
      <c r="S45" s="72">
        <f>IFERROR(S41/S42,0)</f>
        <v>0</v>
      </c>
      <c r="T45" s="72">
        <f>IFERROR(T41/T42,0)</f>
        <v>0</v>
      </c>
      <c r="U45" s="72">
        <f>IFERROR(U41/U42,0)</f>
        <v>0</v>
      </c>
      <c r="V45" s="72">
        <f>IFERROR(V41/V42,0)</f>
        <v>0</v>
      </c>
      <c r="W45" s="72">
        <f>IFERROR(W41/W42,0)</f>
        <v>0</v>
      </c>
      <c r="X45" s="72">
        <f>IFERROR(X41/X42,0)</f>
        <v>0</v>
      </c>
      <c r="Y45" s="72">
        <f>IFERROR(Y41/Y42,0)</f>
        <v>0</v>
      </c>
      <c r="Z45" s="72">
        <f>IFERROR(Z41/Z42,0)</f>
        <v>0</v>
      </c>
      <c r="AA45" s="72">
        <f>IFERROR(AA41/AA42,0)</f>
        <v>0</v>
      </c>
      <c r="AB45" s="72">
        <f>IFERROR(AB41/AB42,0)</f>
        <v>0</v>
      </c>
      <c r="AC45" s="72">
        <f>IFERROR(AC41/AC42,0)</f>
        <v>0.350503362417797</v>
      </c>
      <c r="AD45" s="72">
        <f>IFERROR(AD41/AD42,0)</f>
        <v>0.502468338691544</v>
      </c>
      <c r="AE45" s="72">
        <f>IFERROR(AE41/AE42,0)</f>
        <v>0.669012282029595</v>
      </c>
      <c r="AF45" s="72">
        <f>IFERROR(AF41/AF42,0)</f>
        <v>0.559230828400897</v>
      </c>
    </row>
    <row r="47">
      <c r="A47" s="3" t="inlineStr">
        <is>
          <t>E. 구독형 KPI(추정)</t>
        </is>
      </c>
    </row>
    <row r="48">
      <c r="A48" s="15" t="inlineStr">
        <is>
          <t>구독형 매출(P1+P2+P3)</t>
        </is>
      </c>
      <c r="C48" s="43">
        <f>SUM(C9:C11)</f>
        <v>67445.6116043404</v>
      </c>
      <c r="D48" s="43">
        <f>SUM(D9:D11)</f>
        <v>69140.5268585777</v>
      </c>
      <c r="E48" s="43">
        <f>SUM(E9:E11)</f>
        <v>70835.442112815</v>
      </c>
      <c r="F48" s="43">
        <f>SUM(F9:F11)</f>
        <v>72530.3573670523</v>
      </c>
      <c r="G48" s="43">
        <f>SUM(G9:G11)</f>
        <v>74225.2726212896</v>
      </c>
      <c r="H48" s="43">
        <f>SUM(H9:H11)</f>
        <v>75920.1878755269</v>
      </c>
      <c r="I48" s="43">
        <f>SUM(I9:I11)</f>
        <v>84726.2142408752</v>
      </c>
      <c r="J48" s="43">
        <f>SUM(J9:J11)</f>
        <v>93532.2406062236</v>
      </c>
      <c r="K48" s="43">
        <f>SUM(K9:K11)</f>
        <v>102338.266971572</v>
      </c>
      <c r="L48" s="43">
        <f>SUM(L9:L11)</f>
        <v>115773.92296655</v>
      </c>
      <c r="M48" s="43">
        <f>SUM(M9:M11)</f>
        <v>137149.578961528</v>
      </c>
      <c r="N48" s="43">
        <f>SUM(N9:N11)</f>
        <v>176382.377813649</v>
      </c>
      <c r="O48" s="43">
        <f>SUM(O9:O11)</f>
        <v>268698.184795086</v>
      </c>
      <c r="P48" s="43">
        <f>SUM(P9:P11)</f>
        <v>376986.87125027</v>
      </c>
      <c r="Q48" s="43">
        <f>SUM(Q9:Q11)</f>
        <v>485275.557705455</v>
      </c>
      <c r="R48" s="43">
        <f>SUM(R9:R11)</f>
        <v>591920.17636403</v>
      </c>
      <c r="S48" s="43">
        <f>SUM(S9:S11)</f>
        <v>698564.795022604</v>
      </c>
      <c r="T48" s="43">
        <f>SUM(T9:T11)</f>
        <v>856209.413681179</v>
      </c>
      <c r="U48" s="43">
        <f>SUM(U9:U11)</f>
        <v>955956.254561976</v>
      </c>
      <c r="V48" s="43">
        <f>SUM(V9:V11)</f>
        <v>1045499.17387414</v>
      </c>
      <c r="W48" s="43">
        <f>SUM(W9:W11)</f>
        <v>1084042.09318631</v>
      </c>
      <c r="X48" s="43">
        <f>SUM(X9:X11)</f>
        <v>1084042.09318631</v>
      </c>
      <c r="Y48" s="43">
        <f>SUM(Y9:Y11)</f>
        <v>1084042.09318631</v>
      </c>
      <c r="Z48" s="43">
        <f>SUM(Z9:Z11)</f>
        <v>1084042.09318631</v>
      </c>
      <c r="AA48" s="44">
        <f>SUM(AA9:AA11)</f>
        <v>1140000</v>
      </c>
      <c r="AB48" s="44">
        <f>SUM(AB9:AB11)</f>
        <v>9615278.8</v>
      </c>
      <c r="AC48" s="45">
        <f>SUM(AC9:AC11)</f>
        <v>30377193.1463343</v>
      </c>
      <c r="AD48" s="45">
        <f>SUM(AD9:AD11)</f>
        <v>60989041.2188428</v>
      </c>
      <c r="AE48" s="45">
        <f>SUM(AE9:AE11)</f>
        <v>128131425.836123</v>
      </c>
      <c r="AF48" s="43">
        <f>SUM(AF9:AF11)</f>
        <v>230252939.0013</v>
      </c>
    </row>
    <row r="49">
      <c r="A49" s="15" t="inlineStr">
        <is>
          <t>추정 유료 이용자(명, 평균) = 구독형 매출 ÷ ARPU</t>
        </is>
      </c>
      <c r="C49" s="18">
        <f>C48*12/'8_가정'!$C$11</f>
        <v>674.456116043404</v>
      </c>
      <c r="D49" s="18">
        <f>D48*12/'8_가정'!$C$11</f>
        <v>691.405268585777</v>
      </c>
      <c r="E49" s="18">
        <f>E48*12/'8_가정'!$C$11</f>
        <v>708.35442112815</v>
      </c>
      <c r="F49" s="18">
        <f>F48*12/'8_가정'!$C$11</f>
        <v>725.303573670523</v>
      </c>
      <c r="G49" s="18">
        <f>G48*12/'8_가정'!$C$11</f>
        <v>742.252726212896</v>
      </c>
      <c r="H49" s="18">
        <f>H48*12/'8_가정'!$C$11</f>
        <v>759.201878755269</v>
      </c>
      <c r="I49" s="18">
        <f>I48*12/'8_가정'!$C$11</f>
        <v>847.262142408752</v>
      </c>
      <c r="J49" s="18">
        <f>J48*12/'8_가정'!$C$11</f>
        <v>935.322406062236</v>
      </c>
      <c r="K49" s="18">
        <f>K48*12/'8_가정'!$C$11</f>
        <v>1023.38266971572</v>
      </c>
      <c r="L49" s="18">
        <f>L48*12/'8_가정'!$C$11</f>
        <v>1157.7392296655</v>
      </c>
      <c r="M49" s="18">
        <f>M48*12/'8_가정'!$C$11</f>
        <v>1371.49578961528</v>
      </c>
      <c r="N49" s="18">
        <f>N48*12/'8_가정'!$C$11</f>
        <v>1763.82377813649</v>
      </c>
      <c r="O49" s="18">
        <f>O48*12/'8_가정'!$C$11</f>
        <v>2686.98184795086</v>
      </c>
      <c r="P49" s="18">
        <f>P48*12/'8_가정'!$C$11</f>
        <v>3769.8687125027</v>
      </c>
      <c r="Q49" s="18">
        <f>Q48*12/'8_가정'!$C$11</f>
        <v>4852.75557705455</v>
      </c>
      <c r="R49" s="18">
        <f>R48*12/'8_가정'!$C$11</f>
        <v>5919.2017636403</v>
      </c>
      <c r="S49" s="18">
        <f>S48*12/'8_가정'!$C$11</f>
        <v>6985.64795022604</v>
      </c>
      <c r="T49" s="18">
        <f>T48*12/'8_가정'!$C$11</f>
        <v>8562.09413681179</v>
      </c>
      <c r="U49" s="18">
        <f>U48*12/'8_가정'!$C$11</f>
        <v>9559.56254561975</v>
      </c>
      <c r="V49" s="18">
        <f>V48*12/'8_가정'!$C$11</f>
        <v>10454.9917387414</v>
      </c>
      <c r="W49" s="18">
        <f>W48*12/'8_가정'!$C$11</f>
        <v>10840.4209318631</v>
      </c>
      <c r="X49" s="18">
        <f>X48*12/'8_가정'!$C$11</f>
        <v>10840.4209318631</v>
      </c>
      <c r="Y49" s="18">
        <f>Y48*12/'8_가정'!$C$11</f>
        <v>10840.4209318631</v>
      </c>
      <c r="Z49" s="18">
        <f>Z48*12/'8_가정'!$C$11</f>
        <v>10840.4209318631</v>
      </c>
      <c r="AA49" s="48">
        <f>AA48/'8_가정'!$C$11</f>
        <v>950</v>
      </c>
      <c r="AB49" s="48">
        <f>AB48/'8_가정'!$C$11</f>
        <v>8012.73233333333</v>
      </c>
      <c r="AC49" s="24">
        <f>AC48/'8_가정'!$C$11</f>
        <v>25314.3276219453</v>
      </c>
      <c r="AD49" s="24">
        <f>AD48/'8_가정'!$C$11</f>
        <v>50824.2010157023</v>
      </c>
      <c r="AE49" s="24">
        <f>AE48/'8_가정'!$C$11</f>
        <v>106776.188196769</v>
      </c>
    </row>
    <row r="55">
      <c r="A55" s="3" t="inlineStr">
        <is>
          <t>F. 믹스 매트릭스(계산용) — 거래처 행 × (제품 × 연도) 비중 = 8_가정 프로파일 조회</t>
        </is>
      </c>
    </row>
    <row r="56">
      <c r="C56" s="22" t="inlineStr">
        <is>
          <t>P1</t>
        </is>
      </c>
      <c r="D56" s="22" t="inlineStr">
        <is>
          <t>P1</t>
        </is>
      </c>
      <c r="E56" s="22" t="inlineStr">
        <is>
          <t>P1</t>
        </is>
      </c>
      <c r="F56" s="22" t="inlineStr">
        <is>
          <t>P1</t>
        </is>
      </c>
      <c r="G56" s="22" t="inlineStr">
        <is>
          <t>P1</t>
        </is>
      </c>
      <c r="H56" s="22" t="inlineStr">
        <is>
          <t>P2</t>
        </is>
      </c>
      <c r="I56" s="22" t="inlineStr">
        <is>
          <t>P2</t>
        </is>
      </c>
      <c r="J56" s="22" t="inlineStr">
        <is>
          <t>P2</t>
        </is>
      </c>
      <c r="K56" s="22" t="inlineStr">
        <is>
          <t>P2</t>
        </is>
      </c>
      <c r="L56" s="22" t="inlineStr">
        <is>
          <t>P2</t>
        </is>
      </c>
      <c r="M56" s="22" t="inlineStr">
        <is>
          <t>P3</t>
        </is>
      </c>
      <c r="N56" s="22" t="inlineStr">
        <is>
          <t>P3</t>
        </is>
      </c>
      <c r="O56" s="22" t="inlineStr">
        <is>
          <t>P3</t>
        </is>
      </c>
      <c r="P56" s="22" t="inlineStr">
        <is>
          <t>P3</t>
        </is>
      </c>
      <c r="Q56" s="22" t="inlineStr">
        <is>
          <t>P3</t>
        </is>
      </c>
      <c r="R56" s="22" t="inlineStr">
        <is>
          <t>P4</t>
        </is>
      </c>
      <c r="S56" s="22" t="inlineStr">
        <is>
          <t>P4</t>
        </is>
      </c>
      <c r="T56" s="22" t="inlineStr">
        <is>
          <t>P4</t>
        </is>
      </c>
      <c r="U56" s="22" t="inlineStr">
        <is>
          <t>P4</t>
        </is>
      </c>
      <c r="V56" s="22" t="inlineStr">
        <is>
          <t>P4</t>
        </is>
      </c>
      <c r="W56" s="22" t="inlineStr">
        <is>
          <t>P5</t>
        </is>
      </c>
      <c r="X56" s="22" t="inlineStr">
        <is>
          <t>P5</t>
        </is>
      </c>
      <c r="Y56" s="22" t="inlineStr">
        <is>
          <t>P5</t>
        </is>
      </c>
      <c r="Z56" s="22" t="inlineStr">
        <is>
          <t>P5</t>
        </is>
      </c>
      <c r="AA56" s="22" t="inlineStr">
        <is>
          <t>P5</t>
        </is>
      </c>
      <c r="AB56" s="22" t="inlineStr">
        <is>
          <t>P6</t>
        </is>
      </c>
      <c r="AC56" s="22" t="inlineStr">
        <is>
          <t>P6</t>
        </is>
      </c>
      <c r="AD56" s="22" t="inlineStr">
        <is>
          <t>P6</t>
        </is>
      </c>
      <c r="AE56" s="22" t="inlineStr">
        <is>
          <t>P6</t>
        </is>
      </c>
      <c r="AF56" s="22" t="inlineStr">
        <is>
          <t>P6</t>
        </is>
      </c>
    </row>
    <row r="57">
      <c r="C57" s="22" t="n">
        <v>2026</v>
      </c>
      <c r="D57" s="22" t="n">
        <v>2027</v>
      </c>
      <c r="E57" s="22" t="n">
        <v>2028</v>
      </c>
      <c r="F57" s="22" t="n">
        <v>2029</v>
      </c>
      <c r="G57" s="22" t="n">
        <v>2030</v>
      </c>
      <c r="H57" s="22" t="n">
        <v>2026</v>
      </c>
      <c r="I57" s="22" t="n">
        <v>2027</v>
      </c>
      <c r="J57" s="22" t="n">
        <v>2028</v>
      </c>
      <c r="K57" s="22" t="n">
        <v>2029</v>
      </c>
      <c r="L57" s="22" t="n">
        <v>2030</v>
      </c>
      <c r="M57" s="22" t="n">
        <v>2026</v>
      </c>
      <c r="N57" s="22" t="n">
        <v>2027</v>
      </c>
      <c r="O57" s="22" t="n">
        <v>2028</v>
      </c>
      <c r="P57" s="22" t="n">
        <v>2029</v>
      </c>
      <c r="Q57" s="22" t="n">
        <v>2030</v>
      </c>
      <c r="R57" s="22" t="n">
        <v>2026</v>
      </c>
      <c r="S57" s="22" t="n">
        <v>2027</v>
      </c>
      <c r="T57" s="22" t="n">
        <v>2028</v>
      </c>
      <c r="U57" s="22" t="n">
        <v>2029</v>
      </c>
      <c r="V57" s="22" t="n">
        <v>2030</v>
      </c>
      <c r="W57" s="22" t="n">
        <v>2026</v>
      </c>
      <c r="X57" s="22" t="n">
        <v>2027</v>
      </c>
      <c r="Y57" s="22" t="n">
        <v>2028</v>
      </c>
      <c r="Z57" s="22" t="n">
        <v>2029</v>
      </c>
      <c r="AA57" s="22" t="n">
        <v>2030</v>
      </c>
      <c r="AB57" s="22" t="n">
        <v>2026</v>
      </c>
      <c r="AC57" s="22" t="n">
        <v>2027</v>
      </c>
      <c r="AD57" s="22" t="n">
        <v>2028</v>
      </c>
      <c r="AE57" s="22" t="n">
        <v>2029</v>
      </c>
      <c r="AF57" s="22" t="n">
        <v>2030</v>
      </c>
    </row>
    <row r="58">
      <c r="A58" s="73" t="str">
        <f>'4_매출_거래처'!D10</f>
        <v>국민건강보험공단 혁신 복지용구(NHIS)</v>
      </c>
      <c r="B58" s="73" t="str">
        <f>'4_매출_거래처'!I10</f>
        <v>NHIS</v>
      </c>
      <c r="C58" s="74">
        <f>INDEX('8_가정'!$C$45:$C$86,MATCH($B58&amp;"|P1",'8_가정'!$A$45:$A$86,0))</f>
        <v>0.35</v>
      </c>
      <c r="D58" s="74">
        <f>INDEX('8_가정'!$D$45:$D$86,MATCH($B58&amp;"|P1",'8_가정'!$A$45:$A$86,0))</f>
        <v>0.35</v>
      </c>
      <c r="E58" s="74">
        <f>INDEX('8_가정'!$E$45:$E$86,MATCH($B58&amp;"|P1",'8_가정'!$A$45:$A$86,0))</f>
        <v>0.33</v>
      </c>
      <c r="F58" s="74">
        <f>INDEX('8_가정'!$F$45:$F$86,MATCH($B58&amp;"|P1",'8_가정'!$A$45:$A$86,0))</f>
        <v>0.31</v>
      </c>
      <c r="G58" s="74">
        <f>INDEX('8_가정'!$G$45:$G$86,MATCH($B58&amp;"|P1",'8_가정'!$A$45:$A$86,0))</f>
        <v>0.3</v>
      </c>
      <c r="H58" s="74">
        <f>INDEX('8_가정'!$C$45:$C$86,MATCH($B58&amp;"|P2",'8_가정'!$A$45:$A$86,0))</f>
        <v>0.5</v>
      </c>
      <c r="I58" s="74">
        <f>INDEX('8_가정'!$D$45:$D$86,MATCH($B58&amp;"|P2",'8_가정'!$A$45:$A$86,0))</f>
        <v>0.5</v>
      </c>
      <c r="J58" s="74">
        <f>INDEX('8_가정'!$E$45:$E$86,MATCH($B58&amp;"|P2",'8_가정'!$A$45:$A$86,0))</f>
        <v>0.48</v>
      </c>
      <c r="K58" s="74">
        <f>INDEX('8_가정'!$F$45:$F$86,MATCH($B58&amp;"|P2",'8_가정'!$A$45:$A$86,0))</f>
        <v>0.46</v>
      </c>
      <c r="L58" s="74">
        <f>INDEX('8_가정'!$G$45:$G$86,MATCH($B58&amp;"|P2",'8_가정'!$A$45:$A$86,0))</f>
        <v>0.45</v>
      </c>
      <c r="M58" s="74">
        <f>INDEX('8_가정'!$C$45:$C$86,MATCH($B58&amp;"|P3",'8_가정'!$A$45:$A$86,0))</f>
        <v>0.15</v>
      </c>
      <c r="N58" s="74">
        <f>INDEX('8_가정'!$D$45:$D$86,MATCH($B58&amp;"|P3",'8_가정'!$A$45:$A$86,0))</f>
        <v>0.15</v>
      </c>
      <c r="O58" s="74">
        <f>INDEX('8_가정'!$E$45:$E$86,MATCH($B58&amp;"|P3",'8_가정'!$A$45:$A$86,0))</f>
        <v>0.15</v>
      </c>
      <c r="P58" s="74">
        <f>INDEX('8_가정'!$F$45:$F$86,MATCH($B58&amp;"|P3",'8_가정'!$A$45:$A$86,0))</f>
        <v>0.15</v>
      </c>
      <c r="Q58" s="74">
        <f>INDEX('8_가정'!$G$45:$G$86,MATCH($B58&amp;"|P3",'8_가정'!$A$45:$A$86,0))</f>
        <v>0.15</v>
      </c>
      <c r="R58" s="74">
        <f>INDEX('8_가정'!$C$45:$C$86,MATCH($B58&amp;"|P4",'8_가정'!$A$45:$A$86,0))</f>
        <v>0</v>
      </c>
      <c r="S58" s="74">
        <f>INDEX('8_가정'!$D$45:$D$86,MATCH($B58&amp;"|P4",'8_가정'!$A$45:$A$86,0))</f>
        <v>0</v>
      </c>
      <c r="T58" s="74">
        <f>INDEX('8_가정'!$E$45:$E$86,MATCH($B58&amp;"|P4",'8_가정'!$A$45:$A$86,0))</f>
        <v>0.02</v>
      </c>
      <c r="U58" s="74">
        <f>INDEX('8_가정'!$F$45:$F$86,MATCH($B58&amp;"|P4",'8_가정'!$A$45:$A$86,0))</f>
        <v>0.04</v>
      </c>
      <c r="V58" s="74">
        <f>INDEX('8_가정'!$G$45:$G$86,MATCH($B58&amp;"|P4",'8_가정'!$A$45:$A$86,0))</f>
        <v>0.05</v>
      </c>
      <c r="W58" s="74">
        <f>INDEX('8_가정'!$C$45:$C$86,MATCH($B58&amp;"|P5",'8_가정'!$A$45:$A$86,0))</f>
        <v>0</v>
      </c>
      <c r="X58" s="74">
        <f>INDEX('8_가정'!$D$45:$D$86,MATCH($B58&amp;"|P5",'8_가정'!$A$45:$A$86,0))</f>
        <v>0</v>
      </c>
      <c r="Y58" s="74">
        <f>INDEX('8_가정'!$E$45:$E$86,MATCH($B58&amp;"|P5",'8_가정'!$A$45:$A$86,0))</f>
        <v>0.02</v>
      </c>
      <c r="Z58" s="74">
        <f>INDEX('8_가정'!$F$45:$F$86,MATCH($B58&amp;"|P5",'8_가정'!$A$45:$A$86,0))</f>
        <v>0.04</v>
      </c>
      <c r="AA58" s="74">
        <f>INDEX('8_가정'!$G$45:$G$86,MATCH($B58&amp;"|P5",'8_가정'!$A$45:$A$86,0))</f>
        <v>0.05</v>
      </c>
      <c r="AB58" s="74">
        <f>INDEX('8_가정'!$C$45:$C$86,MATCH($B58&amp;"|P6",'8_가정'!$A$45:$A$86,0))</f>
        <v>0</v>
      </c>
      <c r="AC58" s="74">
        <f>INDEX('8_가정'!$D$45:$D$86,MATCH($B58&amp;"|P6",'8_가정'!$A$45:$A$86,0))</f>
        <v>0</v>
      </c>
      <c r="AD58" s="74">
        <f>INDEX('8_가정'!$E$45:$E$86,MATCH($B58&amp;"|P6",'8_가정'!$A$45:$A$86,0))</f>
        <v>0</v>
      </c>
      <c r="AE58" s="74">
        <f>INDEX('8_가정'!$F$45:$F$86,MATCH($B58&amp;"|P6",'8_가정'!$A$45:$A$86,0))</f>
        <v>0</v>
      </c>
      <c r="AF58" s="74">
        <f>INDEX('8_가정'!$G$45:$G$86,MATCH($B58&amp;"|P6",'8_가정'!$A$45:$A$86,0))</f>
        <v>0</v>
      </c>
    </row>
    <row r="59">
      <c r="A59" s="73" t="str">
        <f>'4_매출_거래처'!D11</f>
        <v>노인요양병원·시설(프리미엄 요양, 요양시설 기저귀 1위 유통사 경유)</v>
      </c>
      <c r="B59" s="73" t="str">
        <f>'4_매출_거래처'!I11</f>
        <v>SUB</v>
      </c>
      <c r="C59" s="74">
        <f>INDEX('8_가정'!$C$45:$C$86,MATCH($B59&amp;"|P1",'8_가정'!$A$45:$A$86,0))</f>
        <v>0.8</v>
      </c>
      <c r="D59" s="74">
        <f>INDEX('8_가정'!$D$45:$D$86,MATCH($B59&amp;"|P1",'8_가정'!$A$45:$A$86,0))</f>
        <v>0.78</v>
      </c>
      <c r="E59" s="74">
        <f>INDEX('8_가정'!$E$45:$E$86,MATCH($B59&amp;"|P1",'8_가정'!$A$45:$A$86,0))</f>
        <v>0.74</v>
      </c>
      <c r="F59" s="74">
        <f>INDEX('8_가정'!$F$45:$F$86,MATCH($B59&amp;"|P1",'8_가정'!$A$45:$A$86,0))</f>
        <v>0.7</v>
      </c>
      <c r="G59" s="74">
        <f>INDEX('8_가정'!$G$45:$G$86,MATCH($B59&amp;"|P1",'8_가정'!$A$45:$A$86,0))</f>
        <v>0.67</v>
      </c>
      <c r="H59" s="74">
        <f>INDEX('8_가정'!$C$45:$C$86,MATCH($B59&amp;"|P2",'8_가정'!$A$45:$A$86,0))</f>
        <v>0.08</v>
      </c>
      <c r="I59" s="74">
        <f>INDEX('8_가정'!$D$45:$D$86,MATCH($B59&amp;"|P2",'8_가정'!$A$45:$A$86,0))</f>
        <v>0.08</v>
      </c>
      <c r="J59" s="74">
        <f>INDEX('8_가정'!$E$45:$E$86,MATCH($B59&amp;"|P2",'8_가정'!$A$45:$A$86,0))</f>
        <v>0.08</v>
      </c>
      <c r="K59" s="74">
        <f>INDEX('8_가정'!$F$45:$F$86,MATCH($B59&amp;"|P2",'8_가정'!$A$45:$A$86,0))</f>
        <v>0.08</v>
      </c>
      <c r="L59" s="74">
        <f>INDEX('8_가정'!$G$45:$G$86,MATCH($B59&amp;"|P2",'8_가정'!$A$45:$A$86,0))</f>
        <v>0.08</v>
      </c>
      <c r="M59" s="74">
        <f>INDEX('8_가정'!$C$45:$C$86,MATCH($B59&amp;"|P3",'8_가정'!$A$45:$A$86,0))</f>
        <v>0.12</v>
      </c>
      <c r="N59" s="74">
        <f>INDEX('8_가정'!$D$45:$D$86,MATCH($B59&amp;"|P3",'8_가정'!$A$45:$A$86,0))</f>
        <v>0.11</v>
      </c>
      <c r="O59" s="74">
        <f>INDEX('8_가정'!$E$45:$E$86,MATCH($B59&amp;"|P3",'8_가정'!$A$45:$A$86,0))</f>
        <v>0.12</v>
      </c>
      <c r="P59" s="74">
        <f>INDEX('8_가정'!$F$45:$F$86,MATCH($B59&amp;"|P3",'8_가정'!$A$45:$A$86,0))</f>
        <v>0.12</v>
      </c>
      <c r="Q59" s="74">
        <f>INDEX('8_가정'!$G$45:$G$86,MATCH($B59&amp;"|P3",'8_가정'!$A$45:$A$86,0))</f>
        <v>0.12</v>
      </c>
      <c r="R59" s="74">
        <f>INDEX('8_가정'!$C$45:$C$86,MATCH($B59&amp;"|P4",'8_가정'!$A$45:$A$86,0))</f>
        <v>0</v>
      </c>
      <c r="S59" s="74">
        <f>INDEX('8_가정'!$D$45:$D$86,MATCH($B59&amp;"|P4",'8_가정'!$A$45:$A$86,0))</f>
        <v>0.03</v>
      </c>
      <c r="T59" s="74">
        <f>INDEX('8_가정'!$E$45:$E$86,MATCH($B59&amp;"|P4",'8_가정'!$A$45:$A$86,0))</f>
        <v>0.05</v>
      </c>
      <c r="U59" s="74">
        <f>INDEX('8_가정'!$F$45:$F$86,MATCH($B59&amp;"|P4",'8_가정'!$A$45:$A$86,0))</f>
        <v>0.07</v>
      </c>
      <c r="V59" s="74">
        <f>INDEX('8_가정'!$G$45:$G$86,MATCH($B59&amp;"|P4",'8_가정'!$A$45:$A$86,0))</f>
        <v>0.09</v>
      </c>
      <c r="W59" s="74">
        <f>INDEX('8_가정'!$C$45:$C$86,MATCH($B59&amp;"|P5",'8_가정'!$A$45:$A$86,0))</f>
        <v>0</v>
      </c>
      <c r="X59" s="74">
        <f>INDEX('8_가정'!$D$45:$D$86,MATCH($B59&amp;"|P5",'8_가정'!$A$45:$A$86,0))</f>
        <v>0</v>
      </c>
      <c r="Y59" s="74">
        <f>INDEX('8_가정'!$E$45:$E$86,MATCH($B59&amp;"|P5",'8_가정'!$A$45:$A$86,0))</f>
        <v>0.01</v>
      </c>
      <c r="Z59" s="74">
        <f>INDEX('8_가정'!$F$45:$F$86,MATCH($B59&amp;"|P5",'8_가정'!$A$45:$A$86,0))</f>
        <v>0.03</v>
      </c>
      <c r="AA59" s="74">
        <f>INDEX('8_가정'!$G$45:$G$86,MATCH($B59&amp;"|P5",'8_가정'!$A$45:$A$86,0))</f>
        <v>0.04</v>
      </c>
      <c r="AB59" s="74">
        <f>INDEX('8_가정'!$C$45:$C$86,MATCH($B59&amp;"|P6",'8_가정'!$A$45:$A$86,0))</f>
        <v>0</v>
      </c>
      <c r="AC59" s="74">
        <f>INDEX('8_가정'!$D$45:$D$86,MATCH($B59&amp;"|P6",'8_가정'!$A$45:$A$86,0))</f>
        <v>0</v>
      </c>
      <c r="AD59" s="74">
        <f>INDEX('8_가정'!$E$45:$E$86,MATCH($B59&amp;"|P6",'8_가정'!$A$45:$A$86,0))</f>
        <v>0</v>
      </c>
      <c r="AE59" s="74">
        <f>INDEX('8_가정'!$F$45:$F$86,MATCH($B59&amp;"|P6",'8_가정'!$A$45:$A$86,0))</f>
        <v>0</v>
      </c>
      <c r="AF59" s="74">
        <f>INDEX('8_가정'!$G$45:$G$86,MATCH($B59&amp;"|P6",'8_가정'!$A$45:$A$86,0))</f>
        <v>0</v>
      </c>
    </row>
    <row r="60">
      <c r="A60" s="73" t="str">
        <f>'4_매출_거래처'!D12</f>
        <v>APP 파트너십(키퍼스 시니어 팬티형 구독)</v>
      </c>
      <c r="B60" s="73" t="str">
        <f>'4_매출_거래처'!I12</f>
        <v>SUB</v>
      </c>
      <c r="C60" s="74">
        <f>INDEX('8_가정'!$C$45:$C$86,MATCH($B60&amp;"|P1",'8_가정'!$A$45:$A$86,0))</f>
        <v>0.8</v>
      </c>
      <c r="D60" s="74">
        <f>INDEX('8_가정'!$D$45:$D$86,MATCH($B60&amp;"|P1",'8_가정'!$A$45:$A$86,0))</f>
        <v>0.78</v>
      </c>
      <c r="E60" s="74">
        <f>INDEX('8_가정'!$E$45:$E$86,MATCH($B60&amp;"|P1",'8_가정'!$A$45:$A$86,0))</f>
        <v>0.74</v>
      </c>
      <c r="F60" s="74">
        <f>INDEX('8_가정'!$F$45:$F$86,MATCH($B60&amp;"|P1",'8_가정'!$A$45:$A$86,0))</f>
        <v>0.7</v>
      </c>
      <c r="G60" s="74">
        <f>INDEX('8_가정'!$G$45:$G$86,MATCH($B60&amp;"|P1",'8_가정'!$A$45:$A$86,0))</f>
        <v>0.67</v>
      </c>
      <c r="H60" s="74">
        <f>INDEX('8_가정'!$C$45:$C$86,MATCH($B60&amp;"|P2",'8_가정'!$A$45:$A$86,0))</f>
        <v>0.08</v>
      </c>
      <c r="I60" s="74">
        <f>INDEX('8_가정'!$D$45:$D$86,MATCH($B60&amp;"|P2",'8_가정'!$A$45:$A$86,0))</f>
        <v>0.08</v>
      </c>
      <c r="J60" s="74">
        <f>INDEX('8_가정'!$E$45:$E$86,MATCH($B60&amp;"|P2",'8_가정'!$A$45:$A$86,0))</f>
        <v>0.08</v>
      </c>
      <c r="K60" s="74">
        <f>INDEX('8_가정'!$F$45:$F$86,MATCH($B60&amp;"|P2",'8_가정'!$A$45:$A$86,0))</f>
        <v>0.08</v>
      </c>
      <c r="L60" s="74">
        <f>INDEX('8_가정'!$G$45:$G$86,MATCH($B60&amp;"|P2",'8_가정'!$A$45:$A$86,0))</f>
        <v>0.08</v>
      </c>
      <c r="M60" s="74">
        <f>INDEX('8_가정'!$C$45:$C$86,MATCH($B60&amp;"|P3",'8_가정'!$A$45:$A$86,0))</f>
        <v>0.12</v>
      </c>
      <c r="N60" s="74">
        <f>INDEX('8_가정'!$D$45:$D$86,MATCH($B60&amp;"|P3",'8_가정'!$A$45:$A$86,0))</f>
        <v>0.11</v>
      </c>
      <c r="O60" s="74">
        <f>INDEX('8_가정'!$E$45:$E$86,MATCH($B60&amp;"|P3",'8_가정'!$A$45:$A$86,0))</f>
        <v>0.12</v>
      </c>
      <c r="P60" s="74">
        <f>INDEX('8_가정'!$F$45:$F$86,MATCH($B60&amp;"|P3",'8_가정'!$A$45:$A$86,0))</f>
        <v>0.12</v>
      </c>
      <c r="Q60" s="74">
        <f>INDEX('8_가정'!$G$45:$G$86,MATCH($B60&amp;"|P3",'8_가정'!$A$45:$A$86,0))</f>
        <v>0.12</v>
      </c>
      <c r="R60" s="74">
        <f>INDEX('8_가정'!$C$45:$C$86,MATCH($B60&amp;"|P4",'8_가정'!$A$45:$A$86,0))</f>
        <v>0</v>
      </c>
      <c r="S60" s="74">
        <f>INDEX('8_가정'!$D$45:$D$86,MATCH($B60&amp;"|P4",'8_가정'!$A$45:$A$86,0))</f>
        <v>0.03</v>
      </c>
      <c r="T60" s="74">
        <f>INDEX('8_가정'!$E$45:$E$86,MATCH($B60&amp;"|P4",'8_가정'!$A$45:$A$86,0))</f>
        <v>0.05</v>
      </c>
      <c r="U60" s="74">
        <f>INDEX('8_가정'!$F$45:$F$86,MATCH($B60&amp;"|P4",'8_가정'!$A$45:$A$86,0))</f>
        <v>0.07</v>
      </c>
      <c r="V60" s="74">
        <f>INDEX('8_가정'!$G$45:$G$86,MATCH($B60&amp;"|P4",'8_가정'!$A$45:$A$86,0))</f>
        <v>0.09</v>
      </c>
      <c r="W60" s="74">
        <f>INDEX('8_가정'!$C$45:$C$86,MATCH($B60&amp;"|P5",'8_가정'!$A$45:$A$86,0))</f>
        <v>0</v>
      </c>
      <c r="X60" s="74">
        <f>INDEX('8_가정'!$D$45:$D$86,MATCH($B60&amp;"|P5",'8_가정'!$A$45:$A$86,0))</f>
        <v>0</v>
      </c>
      <c r="Y60" s="74">
        <f>INDEX('8_가정'!$E$45:$E$86,MATCH($B60&amp;"|P5",'8_가정'!$A$45:$A$86,0))</f>
        <v>0.01</v>
      </c>
      <c r="Z60" s="74">
        <f>INDEX('8_가정'!$F$45:$F$86,MATCH($B60&amp;"|P5",'8_가정'!$A$45:$A$86,0))</f>
        <v>0.03</v>
      </c>
      <c r="AA60" s="74">
        <f>INDEX('8_가정'!$G$45:$G$86,MATCH($B60&amp;"|P5",'8_가정'!$A$45:$A$86,0))</f>
        <v>0.04</v>
      </c>
      <c r="AB60" s="74">
        <f>INDEX('8_가정'!$C$45:$C$86,MATCH($B60&amp;"|P6",'8_가정'!$A$45:$A$86,0))</f>
        <v>0</v>
      </c>
      <c r="AC60" s="74">
        <f>INDEX('8_가정'!$D$45:$D$86,MATCH($B60&amp;"|P6",'8_가정'!$A$45:$A$86,0))</f>
        <v>0</v>
      </c>
      <c r="AD60" s="74">
        <f>INDEX('8_가정'!$E$45:$E$86,MATCH($B60&amp;"|P6",'8_가정'!$A$45:$A$86,0))</f>
        <v>0</v>
      </c>
      <c r="AE60" s="74">
        <f>INDEX('8_가정'!$F$45:$F$86,MATCH($B60&amp;"|P6",'8_가정'!$A$45:$A$86,0))</f>
        <v>0</v>
      </c>
      <c r="AF60" s="74">
        <f>INDEX('8_가정'!$G$45:$G$86,MATCH($B60&amp;"|P6",'8_가정'!$A$45:$A$86,0))</f>
        <v>0</v>
      </c>
    </row>
    <row r="61">
      <c r="A61" s="73" t="str">
        <f>'4_매출_거래처'!D13</f>
        <v>APP B2C(스마트 베이비·시니어 기저귀 구독)</v>
      </c>
      <c r="B61" s="73" t="str">
        <f>'4_매출_거래처'!I13</f>
        <v>BABY</v>
      </c>
      <c r="C61" s="74">
        <f>INDEX('8_가정'!$C$45:$C$86,MATCH($B61&amp;"|P1",'8_가정'!$A$45:$A$86,0))</f>
        <v>0.85</v>
      </c>
      <c r="D61" s="74">
        <f>INDEX('8_가정'!$D$45:$D$86,MATCH($B61&amp;"|P1",'8_가정'!$A$45:$A$86,0))</f>
        <v>0.85</v>
      </c>
      <c r="E61" s="74">
        <f>INDEX('8_가정'!$E$45:$E$86,MATCH($B61&amp;"|P1",'8_가정'!$A$45:$A$86,0))</f>
        <v>0.85</v>
      </c>
      <c r="F61" s="74">
        <f>INDEX('8_가정'!$F$45:$F$86,MATCH($B61&amp;"|P1",'8_가정'!$A$45:$A$86,0))</f>
        <v>0.85</v>
      </c>
      <c r="G61" s="74">
        <f>INDEX('8_가정'!$G$45:$G$86,MATCH($B61&amp;"|P1",'8_가정'!$A$45:$A$86,0))</f>
        <v>0.85</v>
      </c>
      <c r="H61" s="74">
        <f>INDEX('8_가정'!$C$45:$C$86,MATCH($B61&amp;"|P2",'8_가정'!$A$45:$A$86,0))</f>
        <v>0.05</v>
      </c>
      <c r="I61" s="74">
        <f>INDEX('8_가정'!$D$45:$D$86,MATCH($B61&amp;"|P2",'8_가정'!$A$45:$A$86,0))</f>
        <v>0.05</v>
      </c>
      <c r="J61" s="74">
        <f>INDEX('8_가정'!$E$45:$E$86,MATCH($B61&amp;"|P2",'8_가정'!$A$45:$A$86,0))</f>
        <v>0.05</v>
      </c>
      <c r="K61" s="74">
        <f>INDEX('8_가정'!$F$45:$F$86,MATCH($B61&amp;"|P2",'8_가정'!$A$45:$A$86,0))</f>
        <v>0.05</v>
      </c>
      <c r="L61" s="74">
        <f>INDEX('8_가정'!$G$45:$G$86,MATCH($B61&amp;"|P2",'8_가정'!$A$45:$A$86,0))</f>
        <v>0.05</v>
      </c>
      <c r="M61" s="74">
        <f>INDEX('8_가정'!$C$45:$C$86,MATCH($B61&amp;"|P3",'8_가정'!$A$45:$A$86,0))</f>
        <v>0.1</v>
      </c>
      <c r="N61" s="74">
        <f>INDEX('8_가정'!$D$45:$D$86,MATCH($B61&amp;"|P3",'8_가정'!$A$45:$A$86,0))</f>
        <v>0.1</v>
      </c>
      <c r="O61" s="74">
        <f>INDEX('8_가정'!$E$45:$E$86,MATCH($B61&amp;"|P3",'8_가정'!$A$45:$A$86,0))</f>
        <v>0.1</v>
      </c>
      <c r="P61" s="74">
        <f>INDEX('8_가정'!$F$45:$F$86,MATCH($B61&amp;"|P3",'8_가정'!$A$45:$A$86,0))</f>
        <v>0.1</v>
      </c>
      <c r="Q61" s="74">
        <f>INDEX('8_가정'!$G$45:$G$86,MATCH($B61&amp;"|P3",'8_가정'!$A$45:$A$86,0))</f>
        <v>0.1</v>
      </c>
      <c r="R61" s="74">
        <f>INDEX('8_가정'!$C$45:$C$86,MATCH($B61&amp;"|P4",'8_가정'!$A$45:$A$86,0))</f>
        <v>0</v>
      </c>
      <c r="S61" s="74">
        <f>INDEX('8_가정'!$D$45:$D$86,MATCH($B61&amp;"|P4",'8_가정'!$A$45:$A$86,0))</f>
        <v>0</v>
      </c>
      <c r="T61" s="74">
        <f>INDEX('8_가정'!$E$45:$E$86,MATCH($B61&amp;"|P4",'8_가정'!$A$45:$A$86,0))</f>
        <v>0</v>
      </c>
      <c r="U61" s="74">
        <f>INDEX('8_가정'!$F$45:$F$86,MATCH($B61&amp;"|P4",'8_가정'!$A$45:$A$86,0))</f>
        <v>0</v>
      </c>
      <c r="V61" s="74">
        <f>INDEX('8_가정'!$G$45:$G$86,MATCH($B61&amp;"|P4",'8_가정'!$A$45:$A$86,0))</f>
        <v>0</v>
      </c>
      <c r="W61" s="74">
        <f>INDEX('8_가정'!$C$45:$C$86,MATCH($B61&amp;"|P5",'8_가정'!$A$45:$A$86,0))</f>
        <v>0</v>
      </c>
      <c r="X61" s="74">
        <f>INDEX('8_가정'!$D$45:$D$86,MATCH($B61&amp;"|P5",'8_가정'!$A$45:$A$86,0))</f>
        <v>0</v>
      </c>
      <c r="Y61" s="74">
        <f>INDEX('8_가정'!$E$45:$E$86,MATCH($B61&amp;"|P5",'8_가정'!$A$45:$A$86,0))</f>
        <v>0</v>
      </c>
      <c r="Z61" s="74">
        <f>INDEX('8_가정'!$F$45:$F$86,MATCH($B61&amp;"|P5",'8_가정'!$A$45:$A$86,0))</f>
        <v>0</v>
      </c>
      <c r="AA61" s="74">
        <f>INDEX('8_가정'!$G$45:$G$86,MATCH($B61&amp;"|P5",'8_가정'!$A$45:$A$86,0))</f>
        <v>0</v>
      </c>
      <c r="AB61" s="74">
        <f>INDEX('8_가정'!$C$45:$C$86,MATCH($B61&amp;"|P6",'8_가정'!$A$45:$A$86,0))</f>
        <v>0</v>
      </c>
      <c r="AC61" s="74">
        <f>INDEX('8_가정'!$D$45:$D$86,MATCH($B61&amp;"|P6",'8_가정'!$A$45:$A$86,0))</f>
        <v>0</v>
      </c>
      <c r="AD61" s="74">
        <f>INDEX('8_가정'!$E$45:$E$86,MATCH($B61&amp;"|P6",'8_가정'!$A$45:$A$86,0))</f>
        <v>0</v>
      </c>
      <c r="AE61" s="74">
        <f>INDEX('8_가정'!$F$45:$F$86,MATCH($B61&amp;"|P6",'8_가정'!$A$45:$A$86,0))</f>
        <v>0</v>
      </c>
      <c r="AF61" s="74">
        <f>INDEX('8_가정'!$G$45:$G$86,MATCH($B61&amp;"|P6",'8_가정'!$A$45:$A$86,0))</f>
        <v>0</v>
      </c>
    </row>
    <row r="62">
      <c r="A62" s="73" t="str">
        <f>'4_매출_거래처'!D14</f>
        <v>HeartKium 총판(HEARTCARE 오사카 요양시설 23곳 포함)</v>
      </c>
      <c r="B62" s="73" t="str">
        <f>'4_매출_거래처'!I14</f>
        <v>DIST</v>
      </c>
      <c r="C62" s="74">
        <f>INDEX('8_가정'!$C$45:$C$86,MATCH($B62&amp;"|P1",'8_가정'!$A$45:$A$86,0))</f>
        <v>0.62</v>
      </c>
      <c r="D62" s="74">
        <f>INDEX('8_가정'!$D$45:$D$86,MATCH($B62&amp;"|P1",'8_가정'!$A$45:$A$86,0))</f>
        <v>0.62</v>
      </c>
      <c r="E62" s="74">
        <f>INDEX('8_가정'!$E$45:$E$86,MATCH($B62&amp;"|P1",'8_가정'!$A$45:$A$86,0))</f>
        <v>0.6</v>
      </c>
      <c r="F62" s="74">
        <f>INDEX('8_가정'!$F$45:$F$86,MATCH($B62&amp;"|P1",'8_가정'!$A$45:$A$86,0))</f>
        <v>0.58</v>
      </c>
      <c r="G62" s="74">
        <f>INDEX('8_가정'!$G$45:$G$86,MATCH($B62&amp;"|P1",'8_가정'!$A$45:$A$86,0))</f>
        <v>0.56</v>
      </c>
      <c r="H62" s="74">
        <f>INDEX('8_가정'!$C$45:$C$86,MATCH($B62&amp;"|P2",'8_가정'!$A$45:$A$86,0))</f>
        <v>0.28</v>
      </c>
      <c r="I62" s="74">
        <f>INDEX('8_가정'!$D$45:$D$86,MATCH($B62&amp;"|P2",'8_가정'!$A$45:$A$86,0))</f>
        <v>0.26</v>
      </c>
      <c r="J62" s="74">
        <f>INDEX('8_가정'!$E$45:$E$86,MATCH($B62&amp;"|P2",'8_가정'!$A$45:$A$86,0))</f>
        <v>0.24</v>
      </c>
      <c r="K62" s="74">
        <f>INDEX('8_가정'!$F$45:$F$86,MATCH($B62&amp;"|P2",'8_가정'!$A$45:$A$86,0))</f>
        <v>0.22</v>
      </c>
      <c r="L62" s="74">
        <f>INDEX('8_가정'!$G$45:$G$86,MATCH($B62&amp;"|P2",'8_가정'!$A$45:$A$86,0))</f>
        <v>0.2</v>
      </c>
      <c r="M62" s="74">
        <f>INDEX('8_가정'!$C$45:$C$86,MATCH($B62&amp;"|P3",'8_가정'!$A$45:$A$86,0))</f>
        <v>0.1</v>
      </c>
      <c r="N62" s="74">
        <f>INDEX('8_가정'!$D$45:$D$86,MATCH($B62&amp;"|P3",'8_가정'!$A$45:$A$86,0))</f>
        <v>0.09</v>
      </c>
      <c r="O62" s="74">
        <f>INDEX('8_가정'!$E$45:$E$86,MATCH($B62&amp;"|P3",'8_가정'!$A$45:$A$86,0))</f>
        <v>0.1</v>
      </c>
      <c r="P62" s="74">
        <f>INDEX('8_가정'!$F$45:$F$86,MATCH($B62&amp;"|P3",'8_가정'!$A$45:$A$86,0))</f>
        <v>0.1</v>
      </c>
      <c r="Q62" s="74">
        <f>INDEX('8_가정'!$G$45:$G$86,MATCH($B62&amp;"|P3",'8_가정'!$A$45:$A$86,0))</f>
        <v>0.1</v>
      </c>
      <c r="R62" s="74">
        <f>INDEX('8_가정'!$C$45:$C$86,MATCH($B62&amp;"|P4",'8_가정'!$A$45:$A$86,0))</f>
        <v>0</v>
      </c>
      <c r="S62" s="74">
        <f>INDEX('8_가정'!$D$45:$D$86,MATCH($B62&amp;"|P4",'8_가정'!$A$45:$A$86,0))</f>
        <v>0.03</v>
      </c>
      <c r="T62" s="74">
        <f>INDEX('8_가정'!$E$45:$E$86,MATCH($B62&amp;"|P4",'8_가정'!$A$45:$A$86,0))</f>
        <v>0.05</v>
      </c>
      <c r="U62" s="74">
        <f>INDEX('8_가정'!$F$45:$F$86,MATCH($B62&amp;"|P4",'8_가정'!$A$45:$A$86,0))</f>
        <v>0.07</v>
      </c>
      <c r="V62" s="74">
        <f>INDEX('8_가정'!$G$45:$G$86,MATCH($B62&amp;"|P4",'8_가정'!$A$45:$A$86,0))</f>
        <v>0.09</v>
      </c>
      <c r="W62" s="74">
        <f>INDEX('8_가정'!$C$45:$C$86,MATCH($B62&amp;"|P5",'8_가정'!$A$45:$A$86,0))</f>
        <v>0</v>
      </c>
      <c r="X62" s="74">
        <f>INDEX('8_가정'!$D$45:$D$86,MATCH($B62&amp;"|P5",'8_가정'!$A$45:$A$86,0))</f>
        <v>0</v>
      </c>
      <c r="Y62" s="74">
        <f>INDEX('8_가정'!$E$45:$E$86,MATCH($B62&amp;"|P5",'8_가정'!$A$45:$A$86,0))</f>
        <v>0.01</v>
      </c>
      <c r="Z62" s="74">
        <f>INDEX('8_가정'!$F$45:$F$86,MATCH($B62&amp;"|P5",'8_가정'!$A$45:$A$86,0))</f>
        <v>0.03</v>
      </c>
      <c r="AA62" s="74">
        <f>INDEX('8_가정'!$G$45:$G$86,MATCH($B62&amp;"|P5",'8_가정'!$A$45:$A$86,0))</f>
        <v>0.05</v>
      </c>
      <c r="AB62" s="74">
        <f>INDEX('8_가정'!$C$45:$C$86,MATCH($B62&amp;"|P6",'8_가정'!$A$45:$A$86,0))</f>
        <v>0</v>
      </c>
      <c r="AC62" s="74">
        <f>INDEX('8_가정'!$D$45:$D$86,MATCH($B62&amp;"|P6",'8_가정'!$A$45:$A$86,0))</f>
        <v>0</v>
      </c>
      <c r="AD62" s="74">
        <f>INDEX('8_가정'!$E$45:$E$86,MATCH($B62&amp;"|P6",'8_가정'!$A$45:$A$86,0))</f>
        <v>0</v>
      </c>
      <c r="AE62" s="74">
        <f>INDEX('8_가정'!$F$45:$F$86,MATCH($B62&amp;"|P6",'8_가정'!$A$45:$A$86,0))</f>
        <v>0</v>
      </c>
      <c r="AF62" s="74">
        <f>INDEX('8_가정'!$G$45:$G$86,MATCH($B62&amp;"|P6",'8_가정'!$A$45:$A$86,0))</f>
        <v>0</v>
      </c>
    </row>
    <row r="63">
      <c r="A63" s="73" t="str">
        <f>'4_매출_거래처'!D15</f>
        <v>일본 TAIS 등록 기반 복지용구 채널(JAIS)</v>
      </c>
      <c r="B63" s="73" t="str">
        <f>'4_매출_거래처'!I15</f>
        <v>SUB</v>
      </c>
      <c r="C63" s="74">
        <f>INDEX('8_가정'!$C$45:$C$86,MATCH($B63&amp;"|P1",'8_가정'!$A$45:$A$86,0))</f>
        <v>0.8</v>
      </c>
      <c r="D63" s="74">
        <f>INDEX('8_가정'!$D$45:$D$86,MATCH($B63&amp;"|P1",'8_가정'!$A$45:$A$86,0))</f>
        <v>0.78</v>
      </c>
      <c r="E63" s="74">
        <f>INDEX('8_가정'!$E$45:$E$86,MATCH($B63&amp;"|P1",'8_가정'!$A$45:$A$86,0))</f>
        <v>0.74</v>
      </c>
      <c r="F63" s="74">
        <f>INDEX('8_가정'!$F$45:$F$86,MATCH($B63&amp;"|P1",'8_가정'!$A$45:$A$86,0))</f>
        <v>0.7</v>
      </c>
      <c r="G63" s="74">
        <f>INDEX('8_가정'!$G$45:$G$86,MATCH($B63&amp;"|P1",'8_가정'!$A$45:$A$86,0))</f>
        <v>0.67</v>
      </c>
      <c r="H63" s="74">
        <f>INDEX('8_가정'!$C$45:$C$86,MATCH($B63&amp;"|P2",'8_가정'!$A$45:$A$86,0))</f>
        <v>0.08</v>
      </c>
      <c r="I63" s="74">
        <f>INDEX('8_가정'!$D$45:$D$86,MATCH($B63&amp;"|P2",'8_가정'!$A$45:$A$86,0))</f>
        <v>0.08</v>
      </c>
      <c r="J63" s="74">
        <f>INDEX('8_가정'!$E$45:$E$86,MATCH($B63&amp;"|P2",'8_가정'!$A$45:$A$86,0))</f>
        <v>0.08</v>
      </c>
      <c r="K63" s="74">
        <f>INDEX('8_가정'!$F$45:$F$86,MATCH($B63&amp;"|P2",'8_가정'!$A$45:$A$86,0))</f>
        <v>0.08</v>
      </c>
      <c r="L63" s="74">
        <f>INDEX('8_가정'!$G$45:$G$86,MATCH($B63&amp;"|P2",'8_가정'!$A$45:$A$86,0))</f>
        <v>0.08</v>
      </c>
      <c r="M63" s="74">
        <f>INDEX('8_가정'!$C$45:$C$86,MATCH($B63&amp;"|P3",'8_가정'!$A$45:$A$86,0))</f>
        <v>0.12</v>
      </c>
      <c r="N63" s="74">
        <f>INDEX('8_가정'!$D$45:$D$86,MATCH($B63&amp;"|P3",'8_가정'!$A$45:$A$86,0))</f>
        <v>0.11</v>
      </c>
      <c r="O63" s="74">
        <f>INDEX('8_가정'!$E$45:$E$86,MATCH($B63&amp;"|P3",'8_가정'!$A$45:$A$86,0))</f>
        <v>0.12</v>
      </c>
      <c r="P63" s="74">
        <f>INDEX('8_가정'!$F$45:$F$86,MATCH($B63&amp;"|P3",'8_가정'!$A$45:$A$86,0))</f>
        <v>0.12</v>
      </c>
      <c r="Q63" s="74">
        <f>INDEX('8_가정'!$G$45:$G$86,MATCH($B63&amp;"|P3",'8_가정'!$A$45:$A$86,0))</f>
        <v>0.12</v>
      </c>
      <c r="R63" s="74">
        <f>INDEX('8_가정'!$C$45:$C$86,MATCH($B63&amp;"|P4",'8_가정'!$A$45:$A$86,0))</f>
        <v>0</v>
      </c>
      <c r="S63" s="74">
        <f>INDEX('8_가정'!$D$45:$D$86,MATCH($B63&amp;"|P4",'8_가정'!$A$45:$A$86,0))</f>
        <v>0.03</v>
      </c>
      <c r="T63" s="74">
        <f>INDEX('8_가정'!$E$45:$E$86,MATCH($B63&amp;"|P4",'8_가정'!$A$45:$A$86,0))</f>
        <v>0.05</v>
      </c>
      <c r="U63" s="74">
        <f>INDEX('8_가정'!$F$45:$F$86,MATCH($B63&amp;"|P4",'8_가정'!$A$45:$A$86,0))</f>
        <v>0.07</v>
      </c>
      <c r="V63" s="74">
        <f>INDEX('8_가정'!$G$45:$G$86,MATCH($B63&amp;"|P4",'8_가정'!$A$45:$A$86,0))</f>
        <v>0.09</v>
      </c>
      <c r="W63" s="74">
        <f>INDEX('8_가정'!$C$45:$C$86,MATCH($B63&amp;"|P5",'8_가정'!$A$45:$A$86,0))</f>
        <v>0</v>
      </c>
      <c r="X63" s="74">
        <f>INDEX('8_가정'!$D$45:$D$86,MATCH($B63&amp;"|P5",'8_가정'!$A$45:$A$86,0))</f>
        <v>0</v>
      </c>
      <c r="Y63" s="74">
        <f>INDEX('8_가정'!$E$45:$E$86,MATCH($B63&amp;"|P5",'8_가정'!$A$45:$A$86,0))</f>
        <v>0.01</v>
      </c>
      <c r="Z63" s="74">
        <f>INDEX('8_가정'!$F$45:$F$86,MATCH($B63&amp;"|P5",'8_가정'!$A$45:$A$86,0))</f>
        <v>0.03</v>
      </c>
      <c r="AA63" s="74">
        <f>INDEX('8_가정'!$G$45:$G$86,MATCH($B63&amp;"|P5",'8_가정'!$A$45:$A$86,0))</f>
        <v>0.04</v>
      </c>
      <c r="AB63" s="74">
        <f>INDEX('8_가정'!$C$45:$C$86,MATCH($B63&amp;"|P6",'8_가정'!$A$45:$A$86,0))</f>
        <v>0</v>
      </c>
      <c r="AC63" s="74">
        <f>INDEX('8_가정'!$D$45:$D$86,MATCH($B63&amp;"|P6",'8_가정'!$A$45:$A$86,0))</f>
        <v>0</v>
      </c>
      <c r="AD63" s="74">
        <f>INDEX('8_가정'!$E$45:$E$86,MATCH($B63&amp;"|P6",'8_가정'!$A$45:$A$86,0))</f>
        <v>0</v>
      </c>
      <c r="AE63" s="74">
        <f>INDEX('8_가정'!$F$45:$F$86,MATCH($B63&amp;"|P6",'8_가정'!$A$45:$A$86,0))</f>
        <v>0</v>
      </c>
      <c r="AF63" s="74">
        <f>INDEX('8_가정'!$G$45:$G$86,MATCH($B63&amp;"|P6",'8_가정'!$A$45:$A$86,0))</f>
        <v>0</v>
      </c>
    </row>
    <row r="64">
      <c r="A64" s="73" t="str">
        <f>'4_매출_거래처'!D16</f>
        <v>NHG(KTPH·TTSH·Woodlands) 스마트 병동</v>
      </c>
      <c r="B64" s="73" t="str">
        <f>'4_매출_거래처'!I16</f>
        <v>HWPROJ</v>
      </c>
      <c r="C64" s="74">
        <f>INDEX('8_가정'!$C$45:$C$86,MATCH($B64&amp;"|P1",'8_가정'!$A$45:$A$86,0))</f>
        <v>0</v>
      </c>
      <c r="D64" s="74">
        <f>INDEX('8_가정'!$D$45:$D$86,MATCH($B64&amp;"|P1",'8_가정'!$A$45:$A$86,0))</f>
        <v>0</v>
      </c>
      <c r="E64" s="74">
        <f>INDEX('8_가정'!$E$45:$E$86,MATCH($B64&amp;"|P1",'8_가정'!$A$45:$A$86,0))</f>
        <v>0</v>
      </c>
      <c r="F64" s="74">
        <f>INDEX('8_가정'!$F$45:$F$86,MATCH($B64&amp;"|P1",'8_가정'!$A$45:$A$86,0))</f>
        <v>0</v>
      </c>
      <c r="G64" s="74">
        <f>INDEX('8_가정'!$G$45:$G$86,MATCH($B64&amp;"|P1",'8_가정'!$A$45:$A$86,0))</f>
        <v>0</v>
      </c>
      <c r="H64" s="74">
        <f>INDEX('8_가정'!$C$45:$C$86,MATCH($B64&amp;"|P2",'8_가정'!$A$45:$A$86,0))</f>
        <v>0.7</v>
      </c>
      <c r="I64" s="74">
        <f>INDEX('8_가정'!$D$45:$D$86,MATCH($B64&amp;"|P2",'8_가정'!$A$45:$A$86,0))</f>
        <v>0.7</v>
      </c>
      <c r="J64" s="74">
        <f>INDEX('8_가정'!$E$45:$E$86,MATCH($B64&amp;"|P2",'8_가정'!$A$45:$A$86,0))</f>
        <v>0.7</v>
      </c>
      <c r="K64" s="74">
        <f>INDEX('8_가정'!$F$45:$F$86,MATCH($B64&amp;"|P2",'8_가정'!$A$45:$A$86,0))</f>
        <v>0.7</v>
      </c>
      <c r="L64" s="74">
        <f>INDEX('8_가정'!$G$45:$G$86,MATCH($B64&amp;"|P2",'8_가정'!$A$45:$A$86,0))</f>
        <v>0.7</v>
      </c>
      <c r="M64" s="74">
        <f>INDEX('8_가정'!$C$45:$C$86,MATCH($B64&amp;"|P3",'8_가정'!$A$45:$A$86,0))</f>
        <v>0.15</v>
      </c>
      <c r="N64" s="74">
        <f>INDEX('8_가정'!$D$45:$D$86,MATCH($B64&amp;"|P3",'8_가정'!$A$45:$A$86,0))</f>
        <v>0.15</v>
      </c>
      <c r="O64" s="74">
        <f>INDEX('8_가정'!$E$45:$E$86,MATCH($B64&amp;"|P3",'8_가정'!$A$45:$A$86,0))</f>
        <v>0.15</v>
      </c>
      <c r="P64" s="74">
        <f>INDEX('8_가정'!$F$45:$F$86,MATCH($B64&amp;"|P3",'8_가정'!$A$45:$A$86,0))</f>
        <v>0.15</v>
      </c>
      <c r="Q64" s="74">
        <f>INDEX('8_가정'!$G$45:$G$86,MATCH($B64&amp;"|P3",'8_가정'!$A$45:$A$86,0))</f>
        <v>0.15</v>
      </c>
      <c r="R64" s="74">
        <f>INDEX('8_가정'!$C$45:$C$86,MATCH($B64&amp;"|P4",'8_가정'!$A$45:$A$86,0))</f>
        <v>0</v>
      </c>
      <c r="S64" s="74">
        <f>INDEX('8_가정'!$D$45:$D$86,MATCH($B64&amp;"|P4",'8_가정'!$A$45:$A$86,0))</f>
        <v>0</v>
      </c>
      <c r="T64" s="74">
        <f>INDEX('8_가정'!$E$45:$E$86,MATCH($B64&amp;"|P4",'8_가정'!$A$45:$A$86,0))</f>
        <v>0</v>
      </c>
      <c r="U64" s="74">
        <f>INDEX('8_가정'!$F$45:$F$86,MATCH($B64&amp;"|P4",'8_가정'!$A$45:$A$86,0))</f>
        <v>0</v>
      </c>
      <c r="V64" s="74">
        <f>INDEX('8_가정'!$G$45:$G$86,MATCH($B64&amp;"|P4",'8_가정'!$A$45:$A$86,0))</f>
        <v>0</v>
      </c>
      <c r="W64" s="74">
        <f>INDEX('8_가정'!$C$45:$C$86,MATCH($B64&amp;"|P5",'8_가정'!$A$45:$A$86,0))</f>
        <v>0</v>
      </c>
      <c r="X64" s="74">
        <f>INDEX('8_가정'!$D$45:$D$86,MATCH($B64&amp;"|P5",'8_가정'!$A$45:$A$86,0))</f>
        <v>0</v>
      </c>
      <c r="Y64" s="74">
        <f>INDEX('8_가정'!$E$45:$E$86,MATCH($B64&amp;"|P5",'8_가정'!$A$45:$A$86,0))</f>
        <v>0</v>
      </c>
      <c r="Z64" s="74">
        <f>INDEX('8_가정'!$F$45:$F$86,MATCH($B64&amp;"|P5",'8_가정'!$A$45:$A$86,0))</f>
        <v>0</v>
      </c>
      <c r="AA64" s="74">
        <f>INDEX('8_가정'!$G$45:$G$86,MATCH($B64&amp;"|P5",'8_가정'!$A$45:$A$86,0))</f>
        <v>0</v>
      </c>
      <c r="AB64" s="74">
        <f>INDEX('8_가정'!$C$45:$C$86,MATCH($B64&amp;"|P6",'8_가정'!$A$45:$A$86,0))</f>
        <v>0.15</v>
      </c>
      <c r="AC64" s="74">
        <f>INDEX('8_가정'!$D$45:$D$86,MATCH($B64&amp;"|P6",'8_가정'!$A$45:$A$86,0))</f>
        <v>0.15</v>
      </c>
      <c r="AD64" s="74">
        <f>INDEX('8_가정'!$E$45:$E$86,MATCH($B64&amp;"|P6",'8_가정'!$A$45:$A$86,0))</f>
        <v>0.15</v>
      </c>
      <c r="AE64" s="74">
        <f>INDEX('8_가정'!$F$45:$F$86,MATCH($B64&amp;"|P6",'8_가정'!$A$45:$A$86,0))</f>
        <v>0.15</v>
      </c>
      <c r="AF64" s="74">
        <f>INDEX('8_가정'!$G$45:$G$86,MATCH($B64&amp;"|P6",'8_가정'!$A$45:$A$86,0))</f>
        <v>0.15</v>
      </c>
    </row>
    <row r="65">
      <c r="A65" s="73" t="str">
        <f>'4_매출_거래처'!D17</f>
        <v>IMH 스마트 욕창 케어 R&amp;D(연 SGD 120,000)</v>
      </c>
      <c r="B65" s="73" t="str">
        <f>'4_매출_거래처'!I17</f>
        <v>RND</v>
      </c>
      <c r="C65" s="74">
        <f>INDEX('8_가정'!$C$45:$C$86,MATCH($B65&amp;"|P1",'8_가정'!$A$45:$A$86,0))</f>
        <v>0</v>
      </c>
      <c r="D65" s="74">
        <f>INDEX('8_가정'!$D$45:$D$86,MATCH($B65&amp;"|P1",'8_가정'!$A$45:$A$86,0))</f>
        <v>0</v>
      </c>
      <c r="E65" s="74">
        <f>INDEX('8_가정'!$E$45:$E$86,MATCH($B65&amp;"|P1",'8_가정'!$A$45:$A$86,0))</f>
        <v>0</v>
      </c>
      <c r="F65" s="74">
        <f>INDEX('8_가정'!$F$45:$F$86,MATCH($B65&amp;"|P1",'8_가정'!$A$45:$A$86,0))</f>
        <v>0</v>
      </c>
      <c r="G65" s="74">
        <f>INDEX('8_가정'!$G$45:$G$86,MATCH($B65&amp;"|P1",'8_가정'!$A$45:$A$86,0))</f>
        <v>0</v>
      </c>
      <c r="H65" s="74">
        <f>INDEX('8_가정'!$C$45:$C$86,MATCH($B65&amp;"|P2",'8_가정'!$A$45:$A$86,0))</f>
        <v>0</v>
      </c>
      <c r="I65" s="74">
        <f>INDEX('8_가정'!$D$45:$D$86,MATCH($B65&amp;"|P2",'8_가정'!$A$45:$A$86,0))</f>
        <v>0</v>
      </c>
      <c r="J65" s="74">
        <f>INDEX('8_가정'!$E$45:$E$86,MATCH($B65&amp;"|P2",'8_가정'!$A$45:$A$86,0))</f>
        <v>0</v>
      </c>
      <c r="K65" s="74">
        <f>INDEX('8_가정'!$F$45:$F$86,MATCH($B65&amp;"|P2",'8_가정'!$A$45:$A$86,0))</f>
        <v>0</v>
      </c>
      <c r="L65" s="74">
        <f>INDEX('8_가정'!$G$45:$G$86,MATCH($B65&amp;"|P2",'8_가정'!$A$45:$A$86,0))</f>
        <v>0</v>
      </c>
      <c r="M65" s="74">
        <f>INDEX('8_가정'!$C$45:$C$86,MATCH($B65&amp;"|P3",'8_가정'!$A$45:$A$86,0))</f>
        <v>0</v>
      </c>
      <c r="N65" s="74">
        <f>INDEX('8_가정'!$D$45:$D$86,MATCH($B65&amp;"|P3",'8_가정'!$A$45:$A$86,0))</f>
        <v>0</v>
      </c>
      <c r="O65" s="74">
        <f>INDEX('8_가정'!$E$45:$E$86,MATCH($B65&amp;"|P3",'8_가정'!$A$45:$A$86,0))</f>
        <v>0</v>
      </c>
      <c r="P65" s="74">
        <f>INDEX('8_가정'!$F$45:$F$86,MATCH($B65&amp;"|P3",'8_가정'!$A$45:$A$86,0))</f>
        <v>0</v>
      </c>
      <c r="Q65" s="74">
        <f>INDEX('8_가정'!$G$45:$G$86,MATCH($B65&amp;"|P3",'8_가정'!$A$45:$A$86,0))</f>
        <v>0</v>
      </c>
      <c r="R65" s="74">
        <f>INDEX('8_가정'!$C$45:$C$86,MATCH($B65&amp;"|P4",'8_가정'!$A$45:$A$86,0))</f>
        <v>0</v>
      </c>
      <c r="S65" s="74">
        <f>INDEX('8_가정'!$D$45:$D$86,MATCH($B65&amp;"|P4",'8_가정'!$A$45:$A$86,0))</f>
        <v>0</v>
      </c>
      <c r="T65" s="74">
        <f>INDEX('8_가정'!$E$45:$E$86,MATCH($B65&amp;"|P4",'8_가정'!$A$45:$A$86,0))</f>
        <v>0</v>
      </c>
      <c r="U65" s="74">
        <f>INDEX('8_가정'!$F$45:$F$86,MATCH($B65&amp;"|P4",'8_가정'!$A$45:$A$86,0))</f>
        <v>0</v>
      </c>
      <c r="V65" s="74">
        <f>INDEX('8_가정'!$G$45:$G$86,MATCH($B65&amp;"|P4",'8_가정'!$A$45:$A$86,0))</f>
        <v>0</v>
      </c>
      <c r="W65" s="74">
        <f>INDEX('8_가정'!$C$45:$C$86,MATCH($B65&amp;"|P5",'8_가정'!$A$45:$A$86,0))</f>
        <v>0</v>
      </c>
      <c r="X65" s="74">
        <f>INDEX('8_가정'!$D$45:$D$86,MATCH($B65&amp;"|P5",'8_가정'!$A$45:$A$86,0))</f>
        <v>0</v>
      </c>
      <c r="Y65" s="74">
        <f>INDEX('8_가정'!$E$45:$E$86,MATCH($B65&amp;"|P5",'8_가정'!$A$45:$A$86,0))</f>
        <v>0</v>
      </c>
      <c r="Z65" s="74">
        <f>INDEX('8_가정'!$F$45:$F$86,MATCH($B65&amp;"|P5",'8_가정'!$A$45:$A$86,0))</f>
        <v>0</v>
      </c>
      <c r="AA65" s="74">
        <f>INDEX('8_가정'!$G$45:$G$86,MATCH($B65&amp;"|P5",'8_가정'!$A$45:$A$86,0))</f>
        <v>0</v>
      </c>
      <c r="AB65" s="74">
        <f>INDEX('8_가정'!$C$45:$C$86,MATCH($B65&amp;"|P6",'8_가정'!$A$45:$A$86,0))</f>
        <v>1</v>
      </c>
      <c r="AC65" s="74">
        <f>INDEX('8_가정'!$D$45:$D$86,MATCH($B65&amp;"|P6",'8_가정'!$A$45:$A$86,0))</f>
        <v>1</v>
      </c>
      <c r="AD65" s="74">
        <f>INDEX('8_가정'!$E$45:$E$86,MATCH($B65&amp;"|P6",'8_가정'!$A$45:$A$86,0))</f>
        <v>1</v>
      </c>
      <c r="AE65" s="74">
        <f>INDEX('8_가정'!$F$45:$F$86,MATCH($B65&amp;"|P6",'8_가정'!$A$45:$A$86,0))</f>
        <v>1</v>
      </c>
      <c r="AF65" s="74">
        <f>INDEX('8_가정'!$G$45:$G$86,MATCH($B65&amp;"|P6",'8_가정'!$A$45:$A$86,0))</f>
        <v>1</v>
      </c>
    </row>
    <row r="66">
      <c r="A66" s="73" t="str">
        <f>'4_매출_거래처'!D18</f>
        <v>Vanguard Healthcare(요양원 5곳, 입소자 300명 구독)</v>
      </c>
      <c r="B66" s="73" t="str">
        <f>'4_매출_거래처'!I18</f>
        <v>SUB</v>
      </c>
      <c r="C66" s="74">
        <f>INDEX('8_가정'!$C$45:$C$86,MATCH($B66&amp;"|P1",'8_가정'!$A$45:$A$86,0))</f>
        <v>0.8</v>
      </c>
      <c r="D66" s="74">
        <f>INDEX('8_가정'!$D$45:$D$86,MATCH($B66&amp;"|P1",'8_가정'!$A$45:$A$86,0))</f>
        <v>0.78</v>
      </c>
      <c r="E66" s="74">
        <f>INDEX('8_가정'!$E$45:$E$86,MATCH($B66&amp;"|P1",'8_가정'!$A$45:$A$86,0))</f>
        <v>0.74</v>
      </c>
      <c r="F66" s="74">
        <f>INDEX('8_가정'!$F$45:$F$86,MATCH($B66&amp;"|P1",'8_가정'!$A$45:$A$86,0))</f>
        <v>0.7</v>
      </c>
      <c r="G66" s="74">
        <f>INDEX('8_가정'!$G$45:$G$86,MATCH($B66&amp;"|P1",'8_가정'!$A$45:$A$86,0))</f>
        <v>0.67</v>
      </c>
      <c r="H66" s="74">
        <f>INDEX('8_가정'!$C$45:$C$86,MATCH($B66&amp;"|P2",'8_가정'!$A$45:$A$86,0))</f>
        <v>0.08</v>
      </c>
      <c r="I66" s="74">
        <f>INDEX('8_가정'!$D$45:$D$86,MATCH($B66&amp;"|P2",'8_가정'!$A$45:$A$86,0))</f>
        <v>0.08</v>
      </c>
      <c r="J66" s="74">
        <f>INDEX('8_가정'!$E$45:$E$86,MATCH($B66&amp;"|P2",'8_가정'!$A$45:$A$86,0))</f>
        <v>0.08</v>
      </c>
      <c r="K66" s="74">
        <f>INDEX('8_가정'!$F$45:$F$86,MATCH($B66&amp;"|P2",'8_가정'!$A$45:$A$86,0))</f>
        <v>0.08</v>
      </c>
      <c r="L66" s="74">
        <f>INDEX('8_가정'!$G$45:$G$86,MATCH($B66&amp;"|P2",'8_가정'!$A$45:$A$86,0))</f>
        <v>0.08</v>
      </c>
      <c r="M66" s="74">
        <f>INDEX('8_가정'!$C$45:$C$86,MATCH($B66&amp;"|P3",'8_가정'!$A$45:$A$86,0))</f>
        <v>0.12</v>
      </c>
      <c r="N66" s="74">
        <f>INDEX('8_가정'!$D$45:$D$86,MATCH($B66&amp;"|P3",'8_가정'!$A$45:$A$86,0))</f>
        <v>0.11</v>
      </c>
      <c r="O66" s="74">
        <f>INDEX('8_가정'!$E$45:$E$86,MATCH($B66&amp;"|P3",'8_가정'!$A$45:$A$86,0))</f>
        <v>0.12</v>
      </c>
      <c r="P66" s="74">
        <f>INDEX('8_가정'!$F$45:$F$86,MATCH($B66&amp;"|P3",'8_가정'!$A$45:$A$86,0))</f>
        <v>0.12</v>
      </c>
      <c r="Q66" s="74">
        <f>INDEX('8_가정'!$G$45:$G$86,MATCH($B66&amp;"|P3",'8_가정'!$A$45:$A$86,0))</f>
        <v>0.12</v>
      </c>
      <c r="R66" s="74">
        <f>INDEX('8_가정'!$C$45:$C$86,MATCH($B66&amp;"|P4",'8_가정'!$A$45:$A$86,0))</f>
        <v>0</v>
      </c>
      <c r="S66" s="74">
        <f>INDEX('8_가정'!$D$45:$D$86,MATCH($B66&amp;"|P4",'8_가정'!$A$45:$A$86,0))</f>
        <v>0.03</v>
      </c>
      <c r="T66" s="74">
        <f>INDEX('8_가정'!$E$45:$E$86,MATCH($B66&amp;"|P4",'8_가정'!$A$45:$A$86,0))</f>
        <v>0.05</v>
      </c>
      <c r="U66" s="74">
        <f>INDEX('8_가정'!$F$45:$F$86,MATCH($B66&amp;"|P4",'8_가정'!$A$45:$A$86,0))</f>
        <v>0.07</v>
      </c>
      <c r="V66" s="74">
        <f>INDEX('8_가정'!$G$45:$G$86,MATCH($B66&amp;"|P4",'8_가정'!$A$45:$A$86,0))</f>
        <v>0.09</v>
      </c>
      <c r="W66" s="74">
        <f>INDEX('8_가정'!$C$45:$C$86,MATCH($B66&amp;"|P5",'8_가정'!$A$45:$A$86,0))</f>
        <v>0</v>
      </c>
      <c r="X66" s="74">
        <f>INDEX('8_가정'!$D$45:$D$86,MATCH($B66&amp;"|P5",'8_가정'!$A$45:$A$86,0))</f>
        <v>0</v>
      </c>
      <c r="Y66" s="74">
        <f>INDEX('8_가정'!$E$45:$E$86,MATCH($B66&amp;"|P5",'8_가정'!$A$45:$A$86,0))</f>
        <v>0.01</v>
      </c>
      <c r="Z66" s="74">
        <f>INDEX('8_가정'!$F$45:$F$86,MATCH($B66&amp;"|P5",'8_가정'!$A$45:$A$86,0))</f>
        <v>0.03</v>
      </c>
      <c r="AA66" s="74">
        <f>INDEX('8_가정'!$G$45:$G$86,MATCH($B66&amp;"|P5",'8_가정'!$A$45:$A$86,0))</f>
        <v>0.04</v>
      </c>
      <c r="AB66" s="74">
        <f>INDEX('8_가정'!$C$45:$C$86,MATCH($B66&amp;"|P6",'8_가정'!$A$45:$A$86,0))</f>
        <v>0</v>
      </c>
      <c r="AC66" s="74">
        <f>INDEX('8_가정'!$D$45:$D$86,MATCH($B66&amp;"|P6",'8_가정'!$A$45:$A$86,0))</f>
        <v>0</v>
      </c>
      <c r="AD66" s="74">
        <f>INDEX('8_가정'!$E$45:$E$86,MATCH($B66&amp;"|P6",'8_가정'!$A$45:$A$86,0))</f>
        <v>0</v>
      </c>
      <c r="AE66" s="74">
        <f>INDEX('8_가정'!$F$45:$F$86,MATCH($B66&amp;"|P6",'8_가정'!$A$45:$A$86,0))</f>
        <v>0</v>
      </c>
      <c r="AF66" s="74">
        <f>INDEX('8_가정'!$G$45:$G$86,MATCH($B66&amp;"|P6",'8_가정'!$A$45:$A$86,0))</f>
        <v>0</v>
      </c>
    </row>
    <row r="67">
      <c r="A67" s="73" t="str">
        <f>'4_매출_거래처'!D19</f>
        <v>Intega Healthcare(싱가포르 총판)</v>
      </c>
      <c r="B67" s="73" t="str">
        <f>'4_매출_거래처'!I19</f>
        <v>DIST</v>
      </c>
      <c r="C67" s="74">
        <f>INDEX('8_가정'!$C$45:$C$86,MATCH($B67&amp;"|P1",'8_가정'!$A$45:$A$86,0))</f>
        <v>0.62</v>
      </c>
      <c r="D67" s="74">
        <f>INDEX('8_가정'!$D$45:$D$86,MATCH($B67&amp;"|P1",'8_가정'!$A$45:$A$86,0))</f>
        <v>0.62</v>
      </c>
      <c r="E67" s="74">
        <f>INDEX('8_가정'!$E$45:$E$86,MATCH($B67&amp;"|P1",'8_가정'!$A$45:$A$86,0))</f>
        <v>0.6</v>
      </c>
      <c r="F67" s="74">
        <f>INDEX('8_가정'!$F$45:$F$86,MATCH($B67&amp;"|P1",'8_가정'!$A$45:$A$86,0))</f>
        <v>0.58</v>
      </c>
      <c r="G67" s="74">
        <f>INDEX('8_가정'!$G$45:$G$86,MATCH($B67&amp;"|P1",'8_가정'!$A$45:$A$86,0))</f>
        <v>0.56</v>
      </c>
      <c r="H67" s="74">
        <f>INDEX('8_가정'!$C$45:$C$86,MATCH($B67&amp;"|P2",'8_가정'!$A$45:$A$86,0))</f>
        <v>0.28</v>
      </c>
      <c r="I67" s="74">
        <f>INDEX('8_가정'!$D$45:$D$86,MATCH($B67&amp;"|P2",'8_가정'!$A$45:$A$86,0))</f>
        <v>0.26</v>
      </c>
      <c r="J67" s="74">
        <f>INDEX('8_가정'!$E$45:$E$86,MATCH($B67&amp;"|P2",'8_가정'!$A$45:$A$86,0))</f>
        <v>0.24</v>
      </c>
      <c r="K67" s="74">
        <f>INDEX('8_가정'!$F$45:$F$86,MATCH($B67&amp;"|P2",'8_가정'!$A$45:$A$86,0))</f>
        <v>0.22</v>
      </c>
      <c r="L67" s="74">
        <f>INDEX('8_가정'!$G$45:$G$86,MATCH($B67&amp;"|P2",'8_가정'!$A$45:$A$86,0))</f>
        <v>0.2</v>
      </c>
      <c r="M67" s="74">
        <f>INDEX('8_가정'!$C$45:$C$86,MATCH($B67&amp;"|P3",'8_가정'!$A$45:$A$86,0))</f>
        <v>0.1</v>
      </c>
      <c r="N67" s="74">
        <f>INDEX('8_가정'!$D$45:$D$86,MATCH($B67&amp;"|P3",'8_가정'!$A$45:$A$86,0))</f>
        <v>0.09</v>
      </c>
      <c r="O67" s="74">
        <f>INDEX('8_가정'!$E$45:$E$86,MATCH($B67&amp;"|P3",'8_가정'!$A$45:$A$86,0))</f>
        <v>0.1</v>
      </c>
      <c r="P67" s="74">
        <f>INDEX('8_가정'!$F$45:$F$86,MATCH($B67&amp;"|P3",'8_가정'!$A$45:$A$86,0))</f>
        <v>0.1</v>
      </c>
      <c r="Q67" s="74">
        <f>INDEX('8_가정'!$G$45:$G$86,MATCH($B67&amp;"|P3",'8_가정'!$A$45:$A$86,0))</f>
        <v>0.1</v>
      </c>
      <c r="R67" s="74">
        <f>INDEX('8_가정'!$C$45:$C$86,MATCH($B67&amp;"|P4",'8_가정'!$A$45:$A$86,0))</f>
        <v>0</v>
      </c>
      <c r="S67" s="74">
        <f>INDEX('8_가정'!$D$45:$D$86,MATCH($B67&amp;"|P4",'8_가정'!$A$45:$A$86,0))</f>
        <v>0.03</v>
      </c>
      <c r="T67" s="74">
        <f>INDEX('8_가정'!$E$45:$E$86,MATCH($B67&amp;"|P4",'8_가정'!$A$45:$A$86,0))</f>
        <v>0.05</v>
      </c>
      <c r="U67" s="74">
        <f>INDEX('8_가정'!$F$45:$F$86,MATCH($B67&amp;"|P4",'8_가정'!$A$45:$A$86,0))</f>
        <v>0.07</v>
      </c>
      <c r="V67" s="74">
        <f>INDEX('8_가정'!$G$45:$G$86,MATCH($B67&amp;"|P4",'8_가정'!$A$45:$A$86,0))</f>
        <v>0.09</v>
      </c>
      <c r="W67" s="74">
        <f>INDEX('8_가정'!$C$45:$C$86,MATCH($B67&amp;"|P5",'8_가정'!$A$45:$A$86,0))</f>
        <v>0</v>
      </c>
      <c r="X67" s="74">
        <f>INDEX('8_가정'!$D$45:$D$86,MATCH($B67&amp;"|P5",'8_가정'!$A$45:$A$86,0))</f>
        <v>0</v>
      </c>
      <c r="Y67" s="74">
        <f>INDEX('8_가정'!$E$45:$E$86,MATCH($B67&amp;"|P5",'8_가정'!$A$45:$A$86,0))</f>
        <v>0.01</v>
      </c>
      <c r="Z67" s="74">
        <f>INDEX('8_가정'!$F$45:$F$86,MATCH($B67&amp;"|P5",'8_가정'!$A$45:$A$86,0))</f>
        <v>0.03</v>
      </c>
      <c r="AA67" s="74">
        <f>INDEX('8_가정'!$G$45:$G$86,MATCH($B67&amp;"|P5",'8_가정'!$A$45:$A$86,0))</f>
        <v>0.05</v>
      </c>
      <c r="AB67" s="74">
        <f>INDEX('8_가정'!$C$45:$C$86,MATCH($B67&amp;"|P6",'8_가정'!$A$45:$A$86,0))</f>
        <v>0</v>
      </c>
      <c r="AC67" s="74">
        <f>INDEX('8_가정'!$D$45:$D$86,MATCH($B67&amp;"|P6",'8_가정'!$A$45:$A$86,0))</f>
        <v>0</v>
      </c>
      <c r="AD67" s="74">
        <f>INDEX('8_가정'!$E$45:$E$86,MATCH($B67&amp;"|P6",'8_가정'!$A$45:$A$86,0))</f>
        <v>0</v>
      </c>
      <c r="AE67" s="74">
        <f>INDEX('8_가정'!$F$45:$F$86,MATCH($B67&amp;"|P6",'8_가정'!$A$45:$A$86,0))</f>
        <v>0</v>
      </c>
      <c r="AF67" s="74">
        <f>INDEX('8_가정'!$G$45:$G$86,MATCH($B67&amp;"|P6",'8_가정'!$A$45:$A$86,0))</f>
        <v>0</v>
      </c>
    </row>
    <row r="68">
      <c r="A68" s="73" t="str">
        <f>'4_매출_거래처'!D20</f>
        <v>Sunway Sanctuary(PoC / R&amp;D)</v>
      </c>
      <c r="B68" s="73" t="str">
        <f>'4_매출_거래처'!I20</f>
        <v>RND</v>
      </c>
      <c r="C68" s="74">
        <f>INDEX('8_가정'!$C$45:$C$86,MATCH($B68&amp;"|P1",'8_가정'!$A$45:$A$86,0))</f>
        <v>0</v>
      </c>
      <c r="D68" s="74">
        <f>INDEX('8_가정'!$D$45:$D$86,MATCH($B68&amp;"|P1",'8_가정'!$A$45:$A$86,0))</f>
        <v>0</v>
      </c>
      <c r="E68" s="74">
        <f>INDEX('8_가정'!$E$45:$E$86,MATCH($B68&amp;"|P1",'8_가정'!$A$45:$A$86,0))</f>
        <v>0</v>
      </c>
      <c r="F68" s="74">
        <f>INDEX('8_가정'!$F$45:$F$86,MATCH($B68&amp;"|P1",'8_가정'!$A$45:$A$86,0))</f>
        <v>0</v>
      </c>
      <c r="G68" s="74">
        <f>INDEX('8_가정'!$G$45:$G$86,MATCH($B68&amp;"|P1",'8_가정'!$A$45:$A$86,0))</f>
        <v>0</v>
      </c>
      <c r="H68" s="74">
        <f>INDEX('8_가정'!$C$45:$C$86,MATCH($B68&amp;"|P2",'8_가정'!$A$45:$A$86,0))</f>
        <v>0</v>
      </c>
      <c r="I68" s="74">
        <f>INDEX('8_가정'!$D$45:$D$86,MATCH($B68&amp;"|P2",'8_가정'!$A$45:$A$86,0))</f>
        <v>0</v>
      </c>
      <c r="J68" s="74">
        <f>INDEX('8_가정'!$E$45:$E$86,MATCH($B68&amp;"|P2",'8_가정'!$A$45:$A$86,0))</f>
        <v>0</v>
      </c>
      <c r="K68" s="74">
        <f>INDEX('8_가정'!$F$45:$F$86,MATCH($B68&amp;"|P2",'8_가정'!$A$45:$A$86,0))</f>
        <v>0</v>
      </c>
      <c r="L68" s="74">
        <f>INDEX('8_가정'!$G$45:$G$86,MATCH($B68&amp;"|P2",'8_가정'!$A$45:$A$86,0))</f>
        <v>0</v>
      </c>
      <c r="M68" s="74">
        <f>INDEX('8_가정'!$C$45:$C$86,MATCH($B68&amp;"|P3",'8_가정'!$A$45:$A$86,0))</f>
        <v>0</v>
      </c>
      <c r="N68" s="74">
        <f>INDEX('8_가정'!$D$45:$D$86,MATCH($B68&amp;"|P3",'8_가정'!$A$45:$A$86,0))</f>
        <v>0</v>
      </c>
      <c r="O68" s="74">
        <f>INDEX('8_가정'!$E$45:$E$86,MATCH($B68&amp;"|P3",'8_가정'!$A$45:$A$86,0))</f>
        <v>0</v>
      </c>
      <c r="P68" s="74">
        <f>INDEX('8_가정'!$F$45:$F$86,MATCH($B68&amp;"|P3",'8_가정'!$A$45:$A$86,0))</f>
        <v>0</v>
      </c>
      <c r="Q68" s="74">
        <f>INDEX('8_가정'!$G$45:$G$86,MATCH($B68&amp;"|P3",'8_가정'!$A$45:$A$86,0))</f>
        <v>0</v>
      </c>
      <c r="R68" s="74">
        <f>INDEX('8_가정'!$C$45:$C$86,MATCH($B68&amp;"|P4",'8_가정'!$A$45:$A$86,0))</f>
        <v>0</v>
      </c>
      <c r="S68" s="74">
        <f>INDEX('8_가정'!$D$45:$D$86,MATCH($B68&amp;"|P4",'8_가정'!$A$45:$A$86,0))</f>
        <v>0</v>
      </c>
      <c r="T68" s="74">
        <f>INDEX('8_가정'!$E$45:$E$86,MATCH($B68&amp;"|P4",'8_가정'!$A$45:$A$86,0))</f>
        <v>0</v>
      </c>
      <c r="U68" s="74">
        <f>INDEX('8_가정'!$F$45:$F$86,MATCH($B68&amp;"|P4",'8_가정'!$A$45:$A$86,0))</f>
        <v>0</v>
      </c>
      <c r="V68" s="74">
        <f>INDEX('8_가정'!$G$45:$G$86,MATCH($B68&amp;"|P4",'8_가정'!$A$45:$A$86,0))</f>
        <v>0</v>
      </c>
      <c r="W68" s="74">
        <f>INDEX('8_가정'!$C$45:$C$86,MATCH($B68&amp;"|P5",'8_가정'!$A$45:$A$86,0))</f>
        <v>0</v>
      </c>
      <c r="X68" s="74">
        <f>INDEX('8_가정'!$D$45:$D$86,MATCH($B68&amp;"|P5",'8_가정'!$A$45:$A$86,0))</f>
        <v>0</v>
      </c>
      <c r="Y68" s="74">
        <f>INDEX('8_가정'!$E$45:$E$86,MATCH($B68&amp;"|P5",'8_가정'!$A$45:$A$86,0))</f>
        <v>0</v>
      </c>
      <c r="Z68" s="74">
        <f>INDEX('8_가정'!$F$45:$F$86,MATCH($B68&amp;"|P5",'8_가정'!$A$45:$A$86,0))</f>
        <v>0</v>
      </c>
      <c r="AA68" s="74">
        <f>INDEX('8_가정'!$G$45:$G$86,MATCH($B68&amp;"|P5",'8_가정'!$A$45:$A$86,0))</f>
        <v>0</v>
      </c>
      <c r="AB68" s="74">
        <f>INDEX('8_가정'!$C$45:$C$86,MATCH($B68&amp;"|P6",'8_가정'!$A$45:$A$86,0))</f>
        <v>1</v>
      </c>
      <c r="AC68" s="74">
        <f>INDEX('8_가정'!$D$45:$D$86,MATCH($B68&amp;"|P6",'8_가정'!$A$45:$A$86,0))</f>
        <v>1</v>
      </c>
      <c r="AD68" s="74">
        <f>INDEX('8_가정'!$E$45:$E$86,MATCH($B68&amp;"|P6",'8_가정'!$A$45:$A$86,0))</f>
        <v>1</v>
      </c>
      <c r="AE68" s="74">
        <f>INDEX('8_가정'!$F$45:$F$86,MATCH($B68&amp;"|P6",'8_가정'!$A$45:$A$86,0))</f>
        <v>1</v>
      </c>
      <c r="AF68" s="74">
        <f>INDEX('8_가정'!$G$45:$G$86,MATCH($B68&amp;"|P6",'8_가정'!$A$45:$A$86,0))</f>
        <v>1</v>
      </c>
    </row>
    <row r="69">
      <c r="A69" s="73" t="str">
        <f>'4_매출_거래처'!D21</f>
        <v>Punnita(태국, 베이비)</v>
      </c>
      <c r="B69" s="73" t="str">
        <f>'4_매출_거래처'!I21</f>
        <v>BABY</v>
      </c>
      <c r="C69" s="74">
        <f>INDEX('8_가정'!$C$45:$C$86,MATCH($B69&amp;"|P1",'8_가정'!$A$45:$A$86,0))</f>
        <v>0.85</v>
      </c>
      <c r="D69" s="74">
        <f>INDEX('8_가정'!$D$45:$D$86,MATCH($B69&amp;"|P1",'8_가정'!$A$45:$A$86,0))</f>
        <v>0.85</v>
      </c>
      <c r="E69" s="74">
        <f>INDEX('8_가정'!$E$45:$E$86,MATCH($B69&amp;"|P1",'8_가정'!$A$45:$A$86,0))</f>
        <v>0.85</v>
      </c>
      <c r="F69" s="74">
        <f>INDEX('8_가정'!$F$45:$F$86,MATCH($B69&amp;"|P1",'8_가정'!$A$45:$A$86,0))</f>
        <v>0.85</v>
      </c>
      <c r="G69" s="74">
        <f>INDEX('8_가정'!$G$45:$G$86,MATCH($B69&amp;"|P1",'8_가정'!$A$45:$A$86,0))</f>
        <v>0.85</v>
      </c>
      <c r="H69" s="74">
        <f>INDEX('8_가정'!$C$45:$C$86,MATCH($B69&amp;"|P2",'8_가정'!$A$45:$A$86,0))</f>
        <v>0.05</v>
      </c>
      <c r="I69" s="74">
        <f>INDEX('8_가정'!$D$45:$D$86,MATCH($B69&amp;"|P2",'8_가정'!$A$45:$A$86,0))</f>
        <v>0.05</v>
      </c>
      <c r="J69" s="74">
        <f>INDEX('8_가정'!$E$45:$E$86,MATCH($B69&amp;"|P2",'8_가정'!$A$45:$A$86,0))</f>
        <v>0.05</v>
      </c>
      <c r="K69" s="74">
        <f>INDEX('8_가정'!$F$45:$F$86,MATCH($B69&amp;"|P2",'8_가정'!$A$45:$A$86,0))</f>
        <v>0.05</v>
      </c>
      <c r="L69" s="74">
        <f>INDEX('8_가정'!$G$45:$G$86,MATCH($B69&amp;"|P2",'8_가정'!$A$45:$A$86,0))</f>
        <v>0.05</v>
      </c>
      <c r="M69" s="74">
        <f>INDEX('8_가정'!$C$45:$C$86,MATCH($B69&amp;"|P3",'8_가정'!$A$45:$A$86,0))</f>
        <v>0.1</v>
      </c>
      <c r="N69" s="74">
        <f>INDEX('8_가정'!$D$45:$D$86,MATCH($B69&amp;"|P3",'8_가정'!$A$45:$A$86,0))</f>
        <v>0.1</v>
      </c>
      <c r="O69" s="74">
        <f>INDEX('8_가정'!$E$45:$E$86,MATCH($B69&amp;"|P3",'8_가정'!$A$45:$A$86,0))</f>
        <v>0.1</v>
      </c>
      <c r="P69" s="74">
        <f>INDEX('8_가정'!$F$45:$F$86,MATCH($B69&amp;"|P3",'8_가정'!$A$45:$A$86,0))</f>
        <v>0.1</v>
      </c>
      <c r="Q69" s="74">
        <f>INDEX('8_가정'!$G$45:$G$86,MATCH($B69&amp;"|P3",'8_가정'!$A$45:$A$86,0))</f>
        <v>0.1</v>
      </c>
      <c r="R69" s="74">
        <f>INDEX('8_가정'!$C$45:$C$86,MATCH($B69&amp;"|P4",'8_가정'!$A$45:$A$86,0))</f>
        <v>0</v>
      </c>
      <c r="S69" s="74">
        <f>INDEX('8_가정'!$D$45:$D$86,MATCH($B69&amp;"|P4",'8_가정'!$A$45:$A$86,0))</f>
        <v>0</v>
      </c>
      <c r="T69" s="74">
        <f>INDEX('8_가정'!$E$45:$E$86,MATCH($B69&amp;"|P4",'8_가정'!$A$45:$A$86,0))</f>
        <v>0</v>
      </c>
      <c r="U69" s="74">
        <f>INDEX('8_가정'!$F$45:$F$86,MATCH($B69&amp;"|P4",'8_가정'!$A$45:$A$86,0))</f>
        <v>0</v>
      </c>
      <c r="V69" s="74">
        <f>INDEX('8_가정'!$G$45:$G$86,MATCH($B69&amp;"|P4",'8_가정'!$A$45:$A$86,0))</f>
        <v>0</v>
      </c>
      <c r="W69" s="74">
        <f>INDEX('8_가정'!$C$45:$C$86,MATCH($B69&amp;"|P5",'8_가정'!$A$45:$A$86,0))</f>
        <v>0</v>
      </c>
      <c r="X69" s="74">
        <f>INDEX('8_가정'!$D$45:$D$86,MATCH($B69&amp;"|P5",'8_가정'!$A$45:$A$86,0))</f>
        <v>0</v>
      </c>
      <c r="Y69" s="74">
        <f>INDEX('8_가정'!$E$45:$E$86,MATCH($B69&amp;"|P5",'8_가정'!$A$45:$A$86,0))</f>
        <v>0</v>
      </c>
      <c r="Z69" s="74">
        <f>INDEX('8_가정'!$F$45:$F$86,MATCH($B69&amp;"|P5",'8_가정'!$A$45:$A$86,0))</f>
        <v>0</v>
      </c>
      <c r="AA69" s="74">
        <f>INDEX('8_가정'!$G$45:$G$86,MATCH($B69&amp;"|P5",'8_가정'!$A$45:$A$86,0))</f>
        <v>0</v>
      </c>
      <c r="AB69" s="74">
        <f>INDEX('8_가정'!$C$45:$C$86,MATCH($B69&amp;"|P6",'8_가정'!$A$45:$A$86,0))</f>
        <v>0</v>
      </c>
      <c r="AC69" s="74">
        <f>INDEX('8_가정'!$D$45:$D$86,MATCH($B69&amp;"|P6",'8_가정'!$A$45:$A$86,0))</f>
        <v>0</v>
      </c>
      <c r="AD69" s="74">
        <f>INDEX('8_가정'!$E$45:$E$86,MATCH($B69&amp;"|P6",'8_가정'!$A$45:$A$86,0))</f>
        <v>0</v>
      </c>
      <c r="AE69" s="74">
        <f>INDEX('8_가정'!$F$45:$F$86,MATCH($B69&amp;"|P6",'8_가정'!$A$45:$A$86,0))</f>
        <v>0</v>
      </c>
      <c r="AF69" s="74">
        <f>INDEX('8_가정'!$G$45:$G$86,MATCH($B69&amp;"|P6",'8_가정'!$A$45:$A$86,0))</f>
        <v>0</v>
      </c>
    </row>
    <row r="70">
      <c r="A70" s="73" t="str">
        <f>'4_매출_거래처'!D22</f>
        <v>Littleloft(대만, 베이비)</v>
      </c>
      <c r="B70" s="73" t="str">
        <f>'4_매출_거래처'!I22</f>
        <v>BABY</v>
      </c>
      <c r="C70" s="74">
        <f>INDEX('8_가정'!$C$45:$C$86,MATCH($B70&amp;"|P1",'8_가정'!$A$45:$A$86,0))</f>
        <v>0.85</v>
      </c>
      <c r="D70" s="74">
        <f>INDEX('8_가정'!$D$45:$D$86,MATCH($B70&amp;"|P1",'8_가정'!$A$45:$A$86,0))</f>
        <v>0.85</v>
      </c>
      <c r="E70" s="74">
        <f>INDEX('8_가정'!$E$45:$E$86,MATCH($B70&amp;"|P1",'8_가정'!$A$45:$A$86,0))</f>
        <v>0.85</v>
      </c>
      <c r="F70" s="74">
        <f>INDEX('8_가정'!$F$45:$F$86,MATCH($B70&amp;"|P1",'8_가정'!$A$45:$A$86,0))</f>
        <v>0.85</v>
      </c>
      <c r="G70" s="74">
        <f>INDEX('8_가정'!$G$45:$G$86,MATCH($B70&amp;"|P1",'8_가정'!$A$45:$A$86,0))</f>
        <v>0.85</v>
      </c>
      <c r="H70" s="74">
        <f>INDEX('8_가정'!$C$45:$C$86,MATCH($B70&amp;"|P2",'8_가정'!$A$45:$A$86,0))</f>
        <v>0.05</v>
      </c>
      <c r="I70" s="74">
        <f>INDEX('8_가정'!$D$45:$D$86,MATCH($B70&amp;"|P2",'8_가정'!$A$45:$A$86,0))</f>
        <v>0.05</v>
      </c>
      <c r="J70" s="74">
        <f>INDEX('8_가정'!$E$45:$E$86,MATCH($B70&amp;"|P2",'8_가정'!$A$45:$A$86,0))</f>
        <v>0.05</v>
      </c>
      <c r="K70" s="74">
        <f>INDEX('8_가정'!$F$45:$F$86,MATCH($B70&amp;"|P2",'8_가정'!$A$45:$A$86,0))</f>
        <v>0.05</v>
      </c>
      <c r="L70" s="74">
        <f>INDEX('8_가정'!$G$45:$G$86,MATCH($B70&amp;"|P2",'8_가정'!$A$45:$A$86,0))</f>
        <v>0.05</v>
      </c>
      <c r="M70" s="74">
        <f>INDEX('8_가정'!$C$45:$C$86,MATCH($B70&amp;"|P3",'8_가정'!$A$45:$A$86,0))</f>
        <v>0.1</v>
      </c>
      <c r="N70" s="74">
        <f>INDEX('8_가정'!$D$45:$D$86,MATCH($B70&amp;"|P3",'8_가정'!$A$45:$A$86,0))</f>
        <v>0.1</v>
      </c>
      <c r="O70" s="74">
        <f>INDEX('8_가정'!$E$45:$E$86,MATCH($B70&amp;"|P3",'8_가정'!$A$45:$A$86,0))</f>
        <v>0.1</v>
      </c>
      <c r="P70" s="74">
        <f>INDEX('8_가정'!$F$45:$F$86,MATCH($B70&amp;"|P3",'8_가정'!$A$45:$A$86,0))</f>
        <v>0.1</v>
      </c>
      <c r="Q70" s="74">
        <f>INDEX('8_가정'!$G$45:$G$86,MATCH($B70&amp;"|P3",'8_가정'!$A$45:$A$86,0))</f>
        <v>0.1</v>
      </c>
      <c r="R70" s="74">
        <f>INDEX('8_가정'!$C$45:$C$86,MATCH($B70&amp;"|P4",'8_가정'!$A$45:$A$86,0))</f>
        <v>0</v>
      </c>
      <c r="S70" s="74">
        <f>INDEX('8_가정'!$D$45:$D$86,MATCH($B70&amp;"|P4",'8_가정'!$A$45:$A$86,0))</f>
        <v>0</v>
      </c>
      <c r="T70" s="74">
        <f>INDEX('8_가정'!$E$45:$E$86,MATCH($B70&amp;"|P4",'8_가정'!$A$45:$A$86,0))</f>
        <v>0</v>
      </c>
      <c r="U70" s="74">
        <f>INDEX('8_가정'!$F$45:$F$86,MATCH($B70&amp;"|P4",'8_가정'!$A$45:$A$86,0))</f>
        <v>0</v>
      </c>
      <c r="V70" s="74">
        <f>INDEX('8_가정'!$G$45:$G$86,MATCH($B70&amp;"|P4",'8_가정'!$A$45:$A$86,0))</f>
        <v>0</v>
      </c>
      <c r="W70" s="74">
        <f>INDEX('8_가정'!$C$45:$C$86,MATCH($B70&amp;"|P5",'8_가정'!$A$45:$A$86,0))</f>
        <v>0</v>
      </c>
      <c r="X70" s="74">
        <f>INDEX('8_가정'!$D$45:$D$86,MATCH($B70&amp;"|P5",'8_가정'!$A$45:$A$86,0))</f>
        <v>0</v>
      </c>
      <c r="Y70" s="74">
        <f>INDEX('8_가정'!$E$45:$E$86,MATCH($B70&amp;"|P5",'8_가정'!$A$45:$A$86,0))</f>
        <v>0</v>
      </c>
      <c r="Z70" s="74">
        <f>INDEX('8_가정'!$F$45:$F$86,MATCH($B70&amp;"|P5",'8_가정'!$A$45:$A$86,0))</f>
        <v>0</v>
      </c>
      <c r="AA70" s="74">
        <f>INDEX('8_가정'!$G$45:$G$86,MATCH($B70&amp;"|P5",'8_가정'!$A$45:$A$86,0))</f>
        <v>0</v>
      </c>
      <c r="AB70" s="74">
        <f>INDEX('8_가정'!$C$45:$C$86,MATCH($B70&amp;"|P6",'8_가정'!$A$45:$A$86,0))</f>
        <v>0</v>
      </c>
      <c r="AC70" s="74">
        <f>INDEX('8_가정'!$D$45:$D$86,MATCH($B70&amp;"|P6",'8_가정'!$A$45:$A$86,0))</f>
        <v>0</v>
      </c>
      <c r="AD70" s="74">
        <f>INDEX('8_가정'!$E$45:$E$86,MATCH($B70&amp;"|P6",'8_가정'!$A$45:$A$86,0))</f>
        <v>0</v>
      </c>
      <c r="AE70" s="74">
        <f>INDEX('8_가정'!$F$45:$F$86,MATCH($B70&amp;"|P6",'8_가정'!$A$45:$A$86,0))</f>
        <v>0</v>
      </c>
      <c r="AF70" s="74">
        <f>INDEX('8_가정'!$G$45:$G$86,MATCH($B70&amp;"|P6",'8_가정'!$A$45:$A$86,0))</f>
        <v>0</v>
      </c>
    </row>
    <row r="71">
      <c r="A71" s="73" t="str">
        <f>'4_매출_거래처'!D23</f>
        <v>GIV(네덜란드; IR 지도 표기 GISI Distribution)</v>
      </c>
      <c r="B71" s="73" t="str">
        <f>'4_매출_거래처'!I23</f>
        <v>DIST</v>
      </c>
      <c r="C71" s="74">
        <f>INDEX('8_가정'!$C$45:$C$86,MATCH($B71&amp;"|P1",'8_가정'!$A$45:$A$86,0))</f>
        <v>0.62</v>
      </c>
      <c r="D71" s="74">
        <f>INDEX('8_가정'!$D$45:$D$86,MATCH($B71&amp;"|P1",'8_가정'!$A$45:$A$86,0))</f>
        <v>0.62</v>
      </c>
      <c r="E71" s="74">
        <f>INDEX('8_가정'!$E$45:$E$86,MATCH($B71&amp;"|P1",'8_가정'!$A$45:$A$86,0))</f>
        <v>0.6</v>
      </c>
      <c r="F71" s="74">
        <f>INDEX('8_가정'!$F$45:$F$86,MATCH($B71&amp;"|P1",'8_가정'!$A$45:$A$86,0))</f>
        <v>0.58</v>
      </c>
      <c r="G71" s="74">
        <f>INDEX('8_가정'!$G$45:$G$86,MATCH($B71&amp;"|P1",'8_가정'!$A$45:$A$86,0))</f>
        <v>0.56</v>
      </c>
      <c r="H71" s="74">
        <f>INDEX('8_가정'!$C$45:$C$86,MATCH($B71&amp;"|P2",'8_가정'!$A$45:$A$86,0))</f>
        <v>0.28</v>
      </c>
      <c r="I71" s="74">
        <f>INDEX('8_가정'!$D$45:$D$86,MATCH($B71&amp;"|P2",'8_가정'!$A$45:$A$86,0))</f>
        <v>0.26</v>
      </c>
      <c r="J71" s="74">
        <f>INDEX('8_가정'!$E$45:$E$86,MATCH($B71&amp;"|P2",'8_가정'!$A$45:$A$86,0))</f>
        <v>0.24</v>
      </c>
      <c r="K71" s="74">
        <f>INDEX('8_가정'!$F$45:$F$86,MATCH($B71&amp;"|P2",'8_가정'!$A$45:$A$86,0))</f>
        <v>0.22</v>
      </c>
      <c r="L71" s="74">
        <f>INDEX('8_가정'!$G$45:$G$86,MATCH($B71&amp;"|P2",'8_가정'!$A$45:$A$86,0))</f>
        <v>0.2</v>
      </c>
      <c r="M71" s="74">
        <f>INDEX('8_가정'!$C$45:$C$86,MATCH($B71&amp;"|P3",'8_가정'!$A$45:$A$86,0))</f>
        <v>0.1</v>
      </c>
      <c r="N71" s="74">
        <f>INDEX('8_가정'!$D$45:$D$86,MATCH($B71&amp;"|P3",'8_가정'!$A$45:$A$86,0))</f>
        <v>0.09</v>
      </c>
      <c r="O71" s="74">
        <f>INDEX('8_가정'!$E$45:$E$86,MATCH($B71&amp;"|P3",'8_가정'!$A$45:$A$86,0))</f>
        <v>0.1</v>
      </c>
      <c r="P71" s="74">
        <f>INDEX('8_가정'!$F$45:$F$86,MATCH($B71&amp;"|P3",'8_가정'!$A$45:$A$86,0))</f>
        <v>0.1</v>
      </c>
      <c r="Q71" s="74">
        <f>INDEX('8_가정'!$G$45:$G$86,MATCH($B71&amp;"|P3",'8_가정'!$A$45:$A$86,0))</f>
        <v>0.1</v>
      </c>
      <c r="R71" s="74">
        <f>INDEX('8_가정'!$C$45:$C$86,MATCH($B71&amp;"|P4",'8_가정'!$A$45:$A$86,0))</f>
        <v>0</v>
      </c>
      <c r="S71" s="74">
        <f>INDEX('8_가정'!$D$45:$D$86,MATCH($B71&amp;"|P4",'8_가정'!$A$45:$A$86,0))</f>
        <v>0.03</v>
      </c>
      <c r="T71" s="74">
        <f>INDEX('8_가정'!$E$45:$E$86,MATCH($B71&amp;"|P4",'8_가정'!$A$45:$A$86,0))</f>
        <v>0.05</v>
      </c>
      <c r="U71" s="74">
        <f>INDEX('8_가정'!$F$45:$F$86,MATCH($B71&amp;"|P4",'8_가정'!$A$45:$A$86,0))</f>
        <v>0.07</v>
      </c>
      <c r="V71" s="74">
        <f>INDEX('8_가정'!$G$45:$G$86,MATCH($B71&amp;"|P4",'8_가정'!$A$45:$A$86,0))</f>
        <v>0.09</v>
      </c>
      <c r="W71" s="74">
        <f>INDEX('8_가정'!$C$45:$C$86,MATCH($B71&amp;"|P5",'8_가정'!$A$45:$A$86,0))</f>
        <v>0</v>
      </c>
      <c r="X71" s="74">
        <f>INDEX('8_가정'!$D$45:$D$86,MATCH($B71&amp;"|P5",'8_가정'!$A$45:$A$86,0))</f>
        <v>0</v>
      </c>
      <c r="Y71" s="74">
        <f>INDEX('8_가정'!$E$45:$E$86,MATCH($B71&amp;"|P5",'8_가정'!$A$45:$A$86,0))</f>
        <v>0.01</v>
      </c>
      <c r="Z71" s="74">
        <f>INDEX('8_가정'!$F$45:$F$86,MATCH($B71&amp;"|P5",'8_가정'!$A$45:$A$86,0))</f>
        <v>0.03</v>
      </c>
      <c r="AA71" s="74">
        <f>INDEX('8_가정'!$G$45:$G$86,MATCH($B71&amp;"|P5",'8_가정'!$A$45:$A$86,0))</f>
        <v>0.05</v>
      </c>
      <c r="AB71" s="74">
        <f>INDEX('8_가정'!$C$45:$C$86,MATCH($B71&amp;"|P6",'8_가정'!$A$45:$A$86,0))</f>
        <v>0</v>
      </c>
      <c r="AC71" s="74">
        <f>INDEX('8_가정'!$D$45:$D$86,MATCH($B71&amp;"|P6",'8_가정'!$A$45:$A$86,0))</f>
        <v>0</v>
      </c>
      <c r="AD71" s="74">
        <f>INDEX('8_가정'!$E$45:$E$86,MATCH($B71&amp;"|P6",'8_가정'!$A$45:$A$86,0))</f>
        <v>0</v>
      </c>
      <c r="AE71" s="74">
        <f>INDEX('8_가정'!$F$45:$F$86,MATCH($B71&amp;"|P6",'8_가정'!$A$45:$A$86,0))</f>
        <v>0</v>
      </c>
      <c r="AF71" s="74">
        <f>INDEX('8_가정'!$G$45:$G$86,MATCH($B71&amp;"|P6",'8_가정'!$A$45:$A$86,0))</f>
        <v>0</v>
      </c>
    </row>
    <row r="72">
      <c r="A72" s="73" t="str">
        <f>'4_매출_거래처'!D24</f>
        <v>NEUCA(스페인)</v>
      </c>
      <c r="B72" s="73" t="str">
        <f>'4_매출_거래처'!I24</f>
        <v>DIST</v>
      </c>
      <c r="C72" s="74">
        <f>INDEX('8_가정'!$C$45:$C$86,MATCH($B72&amp;"|P1",'8_가정'!$A$45:$A$86,0))</f>
        <v>0.62</v>
      </c>
      <c r="D72" s="74">
        <f>INDEX('8_가정'!$D$45:$D$86,MATCH($B72&amp;"|P1",'8_가정'!$A$45:$A$86,0))</f>
        <v>0.62</v>
      </c>
      <c r="E72" s="74">
        <f>INDEX('8_가정'!$E$45:$E$86,MATCH($B72&amp;"|P1",'8_가정'!$A$45:$A$86,0))</f>
        <v>0.6</v>
      </c>
      <c r="F72" s="74">
        <f>INDEX('8_가정'!$F$45:$F$86,MATCH($B72&amp;"|P1",'8_가정'!$A$45:$A$86,0))</f>
        <v>0.58</v>
      </c>
      <c r="G72" s="74">
        <f>INDEX('8_가정'!$G$45:$G$86,MATCH($B72&amp;"|P1",'8_가정'!$A$45:$A$86,0))</f>
        <v>0.56</v>
      </c>
      <c r="H72" s="74">
        <f>INDEX('8_가정'!$C$45:$C$86,MATCH($B72&amp;"|P2",'8_가정'!$A$45:$A$86,0))</f>
        <v>0.28</v>
      </c>
      <c r="I72" s="74">
        <f>INDEX('8_가정'!$D$45:$D$86,MATCH($B72&amp;"|P2",'8_가정'!$A$45:$A$86,0))</f>
        <v>0.26</v>
      </c>
      <c r="J72" s="74">
        <f>INDEX('8_가정'!$E$45:$E$86,MATCH($B72&amp;"|P2",'8_가정'!$A$45:$A$86,0))</f>
        <v>0.24</v>
      </c>
      <c r="K72" s="74">
        <f>INDEX('8_가정'!$F$45:$F$86,MATCH($B72&amp;"|P2",'8_가정'!$A$45:$A$86,0))</f>
        <v>0.22</v>
      </c>
      <c r="L72" s="74">
        <f>INDEX('8_가정'!$G$45:$G$86,MATCH($B72&amp;"|P2",'8_가정'!$A$45:$A$86,0))</f>
        <v>0.2</v>
      </c>
      <c r="M72" s="74">
        <f>INDEX('8_가정'!$C$45:$C$86,MATCH($B72&amp;"|P3",'8_가정'!$A$45:$A$86,0))</f>
        <v>0.1</v>
      </c>
      <c r="N72" s="74">
        <f>INDEX('8_가정'!$D$45:$D$86,MATCH($B72&amp;"|P3",'8_가정'!$A$45:$A$86,0))</f>
        <v>0.09</v>
      </c>
      <c r="O72" s="74">
        <f>INDEX('8_가정'!$E$45:$E$86,MATCH($B72&amp;"|P3",'8_가정'!$A$45:$A$86,0))</f>
        <v>0.1</v>
      </c>
      <c r="P72" s="74">
        <f>INDEX('8_가정'!$F$45:$F$86,MATCH($B72&amp;"|P3",'8_가정'!$A$45:$A$86,0))</f>
        <v>0.1</v>
      </c>
      <c r="Q72" s="74">
        <f>INDEX('8_가정'!$G$45:$G$86,MATCH($B72&amp;"|P3",'8_가정'!$A$45:$A$86,0))</f>
        <v>0.1</v>
      </c>
      <c r="R72" s="74">
        <f>INDEX('8_가정'!$C$45:$C$86,MATCH($B72&amp;"|P4",'8_가정'!$A$45:$A$86,0))</f>
        <v>0</v>
      </c>
      <c r="S72" s="74">
        <f>INDEX('8_가정'!$D$45:$D$86,MATCH($B72&amp;"|P4",'8_가정'!$A$45:$A$86,0))</f>
        <v>0.03</v>
      </c>
      <c r="T72" s="74">
        <f>INDEX('8_가정'!$E$45:$E$86,MATCH($B72&amp;"|P4",'8_가정'!$A$45:$A$86,0))</f>
        <v>0.05</v>
      </c>
      <c r="U72" s="74">
        <f>INDEX('8_가정'!$F$45:$F$86,MATCH($B72&amp;"|P4",'8_가정'!$A$45:$A$86,0))</f>
        <v>0.07</v>
      </c>
      <c r="V72" s="74">
        <f>INDEX('8_가정'!$G$45:$G$86,MATCH($B72&amp;"|P4",'8_가정'!$A$45:$A$86,0))</f>
        <v>0.09</v>
      </c>
      <c r="W72" s="74">
        <f>INDEX('8_가정'!$C$45:$C$86,MATCH($B72&amp;"|P5",'8_가정'!$A$45:$A$86,0))</f>
        <v>0</v>
      </c>
      <c r="X72" s="74">
        <f>INDEX('8_가정'!$D$45:$D$86,MATCH($B72&amp;"|P5",'8_가정'!$A$45:$A$86,0))</f>
        <v>0</v>
      </c>
      <c r="Y72" s="74">
        <f>INDEX('8_가정'!$E$45:$E$86,MATCH($B72&amp;"|P5",'8_가정'!$A$45:$A$86,0))</f>
        <v>0.01</v>
      </c>
      <c r="Z72" s="74">
        <f>INDEX('8_가정'!$F$45:$F$86,MATCH($B72&amp;"|P5",'8_가정'!$A$45:$A$86,0))</f>
        <v>0.03</v>
      </c>
      <c r="AA72" s="74">
        <f>INDEX('8_가정'!$G$45:$G$86,MATCH($B72&amp;"|P5",'8_가정'!$A$45:$A$86,0))</f>
        <v>0.05</v>
      </c>
      <c r="AB72" s="74">
        <f>INDEX('8_가정'!$C$45:$C$86,MATCH($B72&amp;"|P6",'8_가정'!$A$45:$A$86,0))</f>
        <v>0</v>
      </c>
      <c r="AC72" s="74">
        <f>INDEX('8_가정'!$D$45:$D$86,MATCH($B72&amp;"|P6",'8_가정'!$A$45:$A$86,0))</f>
        <v>0</v>
      </c>
      <c r="AD72" s="74">
        <f>INDEX('8_가정'!$E$45:$E$86,MATCH($B72&amp;"|P6",'8_가정'!$A$45:$A$86,0))</f>
        <v>0</v>
      </c>
      <c r="AE72" s="74">
        <f>INDEX('8_가정'!$F$45:$F$86,MATCH($B72&amp;"|P6",'8_가정'!$A$45:$A$86,0))</f>
        <v>0</v>
      </c>
      <c r="AF72" s="74">
        <f>INDEX('8_가정'!$G$45:$G$86,MATCH($B72&amp;"|P6",'8_가정'!$A$45:$A$86,0))</f>
        <v>0</v>
      </c>
    </row>
    <row r="73">
      <c r="A73" s="73" t="str">
        <f>'4_매출_거래처'!D25</f>
        <v>Healthbeat(호주)</v>
      </c>
      <c r="B73" s="73" t="str">
        <f>'4_매출_거래처'!I25</f>
        <v>DIST</v>
      </c>
      <c r="C73" s="74">
        <f>INDEX('8_가정'!$C$45:$C$86,MATCH($B73&amp;"|P1",'8_가정'!$A$45:$A$86,0))</f>
        <v>0.62</v>
      </c>
      <c r="D73" s="74">
        <f>INDEX('8_가정'!$D$45:$D$86,MATCH($B73&amp;"|P1",'8_가정'!$A$45:$A$86,0))</f>
        <v>0.62</v>
      </c>
      <c r="E73" s="74">
        <f>INDEX('8_가정'!$E$45:$E$86,MATCH($B73&amp;"|P1",'8_가정'!$A$45:$A$86,0))</f>
        <v>0.6</v>
      </c>
      <c r="F73" s="74">
        <f>INDEX('8_가정'!$F$45:$F$86,MATCH($B73&amp;"|P1",'8_가정'!$A$45:$A$86,0))</f>
        <v>0.58</v>
      </c>
      <c r="G73" s="74">
        <f>INDEX('8_가정'!$G$45:$G$86,MATCH($B73&amp;"|P1",'8_가정'!$A$45:$A$86,0))</f>
        <v>0.56</v>
      </c>
      <c r="H73" s="74">
        <f>INDEX('8_가정'!$C$45:$C$86,MATCH($B73&amp;"|P2",'8_가정'!$A$45:$A$86,0))</f>
        <v>0.28</v>
      </c>
      <c r="I73" s="74">
        <f>INDEX('8_가정'!$D$45:$D$86,MATCH($B73&amp;"|P2",'8_가정'!$A$45:$A$86,0))</f>
        <v>0.26</v>
      </c>
      <c r="J73" s="74">
        <f>INDEX('8_가정'!$E$45:$E$86,MATCH($B73&amp;"|P2",'8_가정'!$A$45:$A$86,0))</f>
        <v>0.24</v>
      </c>
      <c r="K73" s="74">
        <f>INDEX('8_가정'!$F$45:$F$86,MATCH($B73&amp;"|P2",'8_가정'!$A$45:$A$86,0))</f>
        <v>0.22</v>
      </c>
      <c r="L73" s="74">
        <f>INDEX('8_가정'!$G$45:$G$86,MATCH($B73&amp;"|P2",'8_가정'!$A$45:$A$86,0))</f>
        <v>0.2</v>
      </c>
      <c r="M73" s="74">
        <f>INDEX('8_가정'!$C$45:$C$86,MATCH($B73&amp;"|P3",'8_가정'!$A$45:$A$86,0))</f>
        <v>0.1</v>
      </c>
      <c r="N73" s="74">
        <f>INDEX('8_가정'!$D$45:$D$86,MATCH($B73&amp;"|P3",'8_가정'!$A$45:$A$86,0))</f>
        <v>0.09</v>
      </c>
      <c r="O73" s="74">
        <f>INDEX('8_가정'!$E$45:$E$86,MATCH($B73&amp;"|P3",'8_가정'!$A$45:$A$86,0))</f>
        <v>0.1</v>
      </c>
      <c r="P73" s="74">
        <f>INDEX('8_가정'!$F$45:$F$86,MATCH($B73&amp;"|P3",'8_가정'!$A$45:$A$86,0))</f>
        <v>0.1</v>
      </c>
      <c r="Q73" s="74">
        <f>INDEX('8_가정'!$G$45:$G$86,MATCH($B73&amp;"|P3",'8_가정'!$A$45:$A$86,0))</f>
        <v>0.1</v>
      </c>
      <c r="R73" s="74">
        <f>INDEX('8_가정'!$C$45:$C$86,MATCH($B73&amp;"|P4",'8_가정'!$A$45:$A$86,0))</f>
        <v>0</v>
      </c>
      <c r="S73" s="74">
        <f>INDEX('8_가정'!$D$45:$D$86,MATCH($B73&amp;"|P4",'8_가정'!$A$45:$A$86,0))</f>
        <v>0.03</v>
      </c>
      <c r="T73" s="74">
        <f>INDEX('8_가정'!$E$45:$E$86,MATCH($B73&amp;"|P4",'8_가정'!$A$45:$A$86,0))</f>
        <v>0.05</v>
      </c>
      <c r="U73" s="74">
        <f>INDEX('8_가정'!$F$45:$F$86,MATCH($B73&amp;"|P4",'8_가정'!$A$45:$A$86,0))</f>
        <v>0.07</v>
      </c>
      <c r="V73" s="74">
        <f>INDEX('8_가정'!$G$45:$G$86,MATCH($B73&amp;"|P4",'8_가정'!$A$45:$A$86,0))</f>
        <v>0.09</v>
      </c>
      <c r="W73" s="74">
        <f>INDEX('8_가정'!$C$45:$C$86,MATCH($B73&amp;"|P5",'8_가정'!$A$45:$A$86,0))</f>
        <v>0</v>
      </c>
      <c r="X73" s="74">
        <f>INDEX('8_가정'!$D$45:$D$86,MATCH($B73&amp;"|P5",'8_가정'!$A$45:$A$86,0))</f>
        <v>0</v>
      </c>
      <c r="Y73" s="74">
        <f>INDEX('8_가정'!$E$45:$E$86,MATCH($B73&amp;"|P5",'8_가정'!$A$45:$A$86,0))</f>
        <v>0.01</v>
      </c>
      <c r="Z73" s="74">
        <f>INDEX('8_가정'!$F$45:$F$86,MATCH($B73&amp;"|P5",'8_가정'!$A$45:$A$86,0))</f>
        <v>0.03</v>
      </c>
      <c r="AA73" s="74">
        <f>INDEX('8_가정'!$G$45:$G$86,MATCH($B73&amp;"|P5",'8_가정'!$A$45:$A$86,0))</f>
        <v>0.05</v>
      </c>
      <c r="AB73" s="74">
        <f>INDEX('8_가정'!$C$45:$C$86,MATCH($B73&amp;"|P6",'8_가정'!$A$45:$A$86,0))</f>
        <v>0</v>
      </c>
      <c r="AC73" s="74">
        <f>INDEX('8_가정'!$D$45:$D$86,MATCH($B73&amp;"|P6",'8_가정'!$A$45:$A$86,0))</f>
        <v>0</v>
      </c>
      <c r="AD73" s="74">
        <f>INDEX('8_가정'!$E$45:$E$86,MATCH($B73&amp;"|P6",'8_가정'!$A$45:$A$86,0))</f>
        <v>0</v>
      </c>
      <c r="AE73" s="74">
        <f>INDEX('8_가정'!$F$45:$F$86,MATCH($B73&amp;"|P6",'8_가정'!$A$45:$A$86,0))</f>
        <v>0</v>
      </c>
      <c r="AF73" s="74">
        <f>INDEX('8_가정'!$G$45:$G$86,MATCH($B73&amp;"|P6",'8_가정'!$A$45:$A$86,0))</f>
        <v>0</v>
      </c>
    </row>
    <row r="74">
      <c r="A74" s="73" t="str">
        <f>'4_매출_거래처'!D26</f>
        <v>기존 소액 거래처·기타(2025 매출 기반, 거래처별 실적 확정 시 교체)</v>
      </c>
      <c r="B74" s="73" t="str">
        <f>'4_매출_거래처'!I26</f>
        <v>SUB</v>
      </c>
      <c r="C74" s="74">
        <f>INDEX('8_가정'!$C$45:$C$86,MATCH($B74&amp;"|P1",'8_가정'!$A$45:$A$86,0))</f>
        <v>0.8</v>
      </c>
      <c r="D74" s="74">
        <f>INDEX('8_가정'!$D$45:$D$86,MATCH($B74&amp;"|P1",'8_가정'!$A$45:$A$86,0))</f>
        <v>0.78</v>
      </c>
      <c r="E74" s="74">
        <f>INDEX('8_가정'!$E$45:$E$86,MATCH($B74&amp;"|P1",'8_가정'!$A$45:$A$86,0))</f>
        <v>0.74</v>
      </c>
      <c r="F74" s="74">
        <f>INDEX('8_가정'!$F$45:$F$86,MATCH($B74&amp;"|P1",'8_가정'!$A$45:$A$86,0))</f>
        <v>0.7</v>
      </c>
      <c r="G74" s="74">
        <f>INDEX('8_가정'!$G$45:$G$86,MATCH($B74&amp;"|P1",'8_가정'!$A$45:$A$86,0))</f>
        <v>0.67</v>
      </c>
      <c r="H74" s="74">
        <f>INDEX('8_가정'!$C$45:$C$86,MATCH($B74&amp;"|P2",'8_가정'!$A$45:$A$86,0))</f>
        <v>0.08</v>
      </c>
      <c r="I74" s="74">
        <f>INDEX('8_가정'!$D$45:$D$86,MATCH($B74&amp;"|P2",'8_가정'!$A$45:$A$86,0))</f>
        <v>0.08</v>
      </c>
      <c r="J74" s="74">
        <f>INDEX('8_가정'!$E$45:$E$86,MATCH($B74&amp;"|P2",'8_가정'!$A$45:$A$86,0))</f>
        <v>0.08</v>
      </c>
      <c r="K74" s="74">
        <f>INDEX('8_가정'!$F$45:$F$86,MATCH($B74&amp;"|P2",'8_가정'!$A$45:$A$86,0))</f>
        <v>0.08</v>
      </c>
      <c r="L74" s="74">
        <f>INDEX('8_가정'!$G$45:$G$86,MATCH($B74&amp;"|P2",'8_가정'!$A$45:$A$86,0))</f>
        <v>0.08</v>
      </c>
      <c r="M74" s="74">
        <f>INDEX('8_가정'!$C$45:$C$86,MATCH($B74&amp;"|P3",'8_가정'!$A$45:$A$86,0))</f>
        <v>0.12</v>
      </c>
      <c r="N74" s="74">
        <f>INDEX('8_가정'!$D$45:$D$86,MATCH($B74&amp;"|P3",'8_가정'!$A$45:$A$86,0))</f>
        <v>0.11</v>
      </c>
      <c r="O74" s="74">
        <f>INDEX('8_가정'!$E$45:$E$86,MATCH($B74&amp;"|P3",'8_가정'!$A$45:$A$86,0))</f>
        <v>0.12</v>
      </c>
      <c r="P74" s="74">
        <f>INDEX('8_가정'!$F$45:$F$86,MATCH($B74&amp;"|P3",'8_가정'!$A$45:$A$86,0))</f>
        <v>0.12</v>
      </c>
      <c r="Q74" s="74">
        <f>INDEX('8_가정'!$G$45:$G$86,MATCH($B74&amp;"|P3",'8_가정'!$A$45:$A$86,0))</f>
        <v>0.12</v>
      </c>
      <c r="R74" s="74">
        <f>INDEX('8_가정'!$C$45:$C$86,MATCH($B74&amp;"|P4",'8_가정'!$A$45:$A$86,0))</f>
        <v>0</v>
      </c>
      <c r="S74" s="74">
        <f>INDEX('8_가정'!$D$45:$D$86,MATCH($B74&amp;"|P4",'8_가정'!$A$45:$A$86,0))</f>
        <v>0.03</v>
      </c>
      <c r="T74" s="74">
        <f>INDEX('8_가정'!$E$45:$E$86,MATCH($B74&amp;"|P4",'8_가정'!$A$45:$A$86,0))</f>
        <v>0.05</v>
      </c>
      <c r="U74" s="74">
        <f>INDEX('8_가정'!$F$45:$F$86,MATCH($B74&amp;"|P4",'8_가정'!$A$45:$A$86,0))</f>
        <v>0.07</v>
      </c>
      <c r="V74" s="74">
        <f>INDEX('8_가정'!$G$45:$G$86,MATCH($B74&amp;"|P4",'8_가정'!$A$45:$A$86,0))</f>
        <v>0.09</v>
      </c>
      <c r="W74" s="74">
        <f>INDEX('8_가정'!$C$45:$C$86,MATCH($B74&amp;"|P5",'8_가정'!$A$45:$A$86,0))</f>
        <v>0</v>
      </c>
      <c r="X74" s="74">
        <f>INDEX('8_가정'!$D$45:$D$86,MATCH($B74&amp;"|P5",'8_가정'!$A$45:$A$86,0))</f>
        <v>0</v>
      </c>
      <c r="Y74" s="74">
        <f>INDEX('8_가정'!$E$45:$E$86,MATCH($B74&amp;"|P5",'8_가정'!$A$45:$A$86,0))</f>
        <v>0.01</v>
      </c>
      <c r="Z74" s="74">
        <f>INDEX('8_가정'!$F$45:$F$86,MATCH($B74&amp;"|P5",'8_가정'!$A$45:$A$86,0))</f>
        <v>0.03</v>
      </c>
      <c r="AA74" s="74">
        <f>INDEX('8_가정'!$G$45:$G$86,MATCH($B74&amp;"|P5",'8_가정'!$A$45:$A$86,0))</f>
        <v>0.04</v>
      </c>
      <c r="AB74" s="74">
        <f>INDEX('8_가정'!$C$45:$C$86,MATCH($B74&amp;"|P6",'8_가정'!$A$45:$A$86,0))</f>
        <v>0</v>
      </c>
      <c r="AC74" s="74">
        <f>INDEX('8_가정'!$D$45:$D$86,MATCH($B74&amp;"|P6",'8_가정'!$A$45:$A$86,0))</f>
        <v>0</v>
      </c>
      <c r="AD74" s="74">
        <f>INDEX('8_가정'!$E$45:$E$86,MATCH($B74&amp;"|P6",'8_가정'!$A$45:$A$86,0))</f>
        <v>0</v>
      </c>
      <c r="AE74" s="74">
        <f>INDEX('8_가정'!$F$45:$F$86,MATCH($B74&amp;"|P6",'8_가정'!$A$45:$A$86,0))</f>
        <v>0</v>
      </c>
      <c r="AF74" s="74">
        <f>INDEX('8_가정'!$G$45:$G$86,MATCH($B74&amp;"|P6",'8_가정'!$A$45:$A$86,0))</f>
        <v>0</v>
      </c>
    </row>
    <row r="75">
      <c r="A75" s="73" t="str">
        <f>'4_매출_거래처'!D27</f>
        <v>일본 신규 시설·재가 채널(HeartKium·TAIS 외 직접 도입)</v>
      </c>
      <c r="B75" s="73" t="str">
        <f>'4_매출_거래처'!I27</f>
        <v>COH</v>
      </c>
      <c r="C75" s="74">
        <f>INDEX('8_가정'!$C$45:$C$86,MATCH($B75&amp;"|P1",'8_가정'!$A$45:$A$86,0))</f>
        <v>0.66</v>
      </c>
      <c r="D75" s="74">
        <f>INDEX('8_가정'!$D$45:$D$86,MATCH($B75&amp;"|P1",'8_가정'!$A$45:$A$86,0))</f>
        <v>0.66</v>
      </c>
      <c r="E75" s="74">
        <f>INDEX('8_가정'!$E$45:$E$86,MATCH($B75&amp;"|P1",'8_가정'!$A$45:$A$86,0))</f>
        <v>0.66</v>
      </c>
      <c r="F75" s="74">
        <f>INDEX('8_가정'!$F$45:$F$86,MATCH($B75&amp;"|P1",'8_가정'!$A$45:$A$86,0))</f>
        <v>0.6</v>
      </c>
      <c r="G75" s="74">
        <f>INDEX('8_가정'!$G$45:$G$86,MATCH($B75&amp;"|P1",'8_가정'!$A$45:$A$86,0))</f>
        <v>0.56</v>
      </c>
      <c r="H75" s="74">
        <f>INDEX('8_가정'!$C$45:$C$86,MATCH($B75&amp;"|P2",'8_가정'!$A$45:$A$86,0))</f>
        <v>0.1</v>
      </c>
      <c r="I75" s="74">
        <f>INDEX('8_가정'!$D$45:$D$86,MATCH($B75&amp;"|P2",'8_가정'!$A$45:$A$86,0))</f>
        <v>0.1</v>
      </c>
      <c r="J75" s="74">
        <f>INDEX('8_가정'!$E$45:$E$86,MATCH($B75&amp;"|P2",'8_가정'!$A$45:$A$86,0))</f>
        <v>0.1</v>
      </c>
      <c r="K75" s="74">
        <f>INDEX('8_가정'!$F$45:$F$86,MATCH($B75&amp;"|P2",'8_가정'!$A$45:$A$86,0))</f>
        <v>0.11</v>
      </c>
      <c r="L75" s="74">
        <f>INDEX('8_가정'!$G$45:$G$86,MATCH($B75&amp;"|P2",'8_가정'!$A$45:$A$86,0))</f>
        <v>0.11</v>
      </c>
      <c r="M75" s="74">
        <f>INDEX('8_가정'!$C$45:$C$86,MATCH($B75&amp;"|P3",'8_가정'!$A$45:$A$86,0))</f>
        <v>0.12</v>
      </c>
      <c r="N75" s="74">
        <f>INDEX('8_가정'!$D$45:$D$86,MATCH($B75&amp;"|P3",'8_가정'!$A$45:$A$86,0))</f>
        <v>0.12</v>
      </c>
      <c r="O75" s="74">
        <f>INDEX('8_가정'!$E$45:$E$86,MATCH($B75&amp;"|P3",'8_가정'!$A$45:$A$86,0))</f>
        <v>0.12</v>
      </c>
      <c r="P75" s="74">
        <f>INDEX('8_가정'!$F$45:$F$86,MATCH($B75&amp;"|P3",'8_가정'!$A$45:$A$86,0))</f>
        <v>0.12</v>
      </c>
      <c r="Q75" s="74">
        <f>INDEX('8_가정'!$G$45:$G$86,MATCH($B75&amp;"|P3",'8_가정'!$A$45:$A$86,0))</f>
        <v>0.12</v>
      </c>
      <c r="R75" s="74">
        <f>INDEX('8_가정'!$C$45:$C$86,MATCH($B75&amp;"|P4",'8_가정'!$A$45:$A$86,0))</f>
        <v>0.08</v>
      </c>
      <c r="S75" s="74">
        <f>INDEX('8_가정'!$D$45:$D$86,MATCH($B75&amp;"|P4",'8_가정'!$A$45:$A$86,0))</f>
        <v>0.08</v>
      </c>
      <c r="T75" s="74">
        <f>INDEX('8_가정'!$E$45:$E$86,MATCH($B75&amp;"|P4",'8_가정'!$A$45:$A$86,0))</f>
        <v>0.08</v>
      </c>
      <c r="U75" s="74">
        <f>INDEX('8_가정'!$F$45:$F$86,MATCH($B75&amp;"|P4",'8_가정'!$A$45:$A$86,0))</f>
        <v>0.11</v>
      </c>
      <c r="V75" s="74">
        <f>INDEX('8_가정'!$G$45:$G$86,MATCH($B75&amp;"|P4",'8_가정'!$A$45:$A$86,0))</f>
        <v>0.13</v>
      </c>
      <c r="W75" s="74">
        <f>INDEX('8_가정'!$C$45:$C$86,MATCH($B75&amp;"|P5",'8_가정'!$A$45:$A$86,0))</f>
        <v>0.02</v>
      </c>
      <c r="X75" s="74">
        <f>INDEX('8_가정'!$D$45:$D$86,MATCH($B75&amp;"|P5",'8_가정'!$A$45:$A$86,0))</f>
        <v>0.02</v>
      </c>
      <c r="Y75" s="74">
        <f>INDEX('8_가정'!$E$45:$E$86,MATCH($B75&amp;"|P5",'8_가정'!$A$45:$A$86,0))</f>
        <v>0.02</v>
      </c>
      <c r="Z75" s="74">
        <f>INDEX('8_가정'!$F$45:$F$86,MATCH($B75&amp;"|P5",'8_가정'!$A$45:$A$86,0))</f>
        <v>0.04</v>
      </c>
      <c r="AA75" s="74">
        <f>INDEX('8_가정'!$G$45:$G$86,MATCH($B75&amp;"|P5",'8_가정'!$A$45:$A$86,0))</f>
        <v>0.06</v>
      </c>
      <c r="AB75" s="74">
        <f>INDEX('8_가정'!$C$45:$C$86,MATCH($B75&amp;"|P6",'8_가정'!$A$45:$A$86,0))</f>
        <v>0.02</v>
      </c>
      <c r="AC75" s="74">
        <f>INDEX('8_가정'!$D$45:$D$86,MATCH($B75&amp;"|P6",'8_가정'!$A$45:$A$86,0))</f>
        <v>0.02</v>
      </c>
      <c r="AD75" s="74">
        <f>INDEX('8_가정'!$E$45:$E$86,MATCH($B75&amp;"|P6",'8_가정'!$A$45:$A$86,0))</f>
        <v>0.02</v>
      </c>
      <c r="AE75" s="74">
        <f>INDEX('8_가정'!$F$45:$F$86,MATCH($B75&amp;"|P6",'8_가정'!$A$45:$A$86,0))</f>
        <v>0.02</v>
      </c>
      <c r="AF75" s="74">
        <f>INDEX('8_가정'!$G$45:$G$86,MATCH($B75&amp;"|P6",'8_가정'!$A$45:$A$86,0))</f>
        <v>0.02</v>
      </c>
    </row>
    <row r="76">
      <c r="A76" s="73" t="str">
        <f>'4_매출_거래처'!D28</f>
        <v>동남아 병원·요양그룹 확대(IHH·NTUC·SingHealth·Sunway·Econ·ACG 전환)</v>
      </c>
      <c r="B76" s="73" t="str">
        <f>'4_매출_거래처'!I28</f>
        <v>COH</v>
      </c>
      <c r="C76" s="74">
        <f>INDEX('8_가정'!$C$45:$C$86,MATCH($B76&amp;"|P1",'8_가정'!$A$45:$A$86,0))</f>
        <v>0.66</v>
      </c>
      <c r="D76" s="74">
        <f>INDEX('8_가정'!$D$45:$D$86,MATCH($B76&amp;"|P1",'8_가정'!$A$45:$A$86,0))</f>
        <v>0.66</v>
      </c>
      <c r="E76" s="74">
        <f>INDEX('8_가정'!$E$45:$E$86,MATCH($B76&amp;"|P1",'8_가정'!$A$45:$A$86,0))</f>
        <v>0.66</v>
      </c>
      <c r="F76" s="74">
        <f>INDEX('8_가정'!$F$45:$F$86,MATCH($B76&amp;"|P1",'8_가정'!$A$45:$A$86,0))</f>
        <v>0.6</v>
      </c>
      <c r="G76" s="74">
        <f>INDEX('8_가정'!$G$45:$G$86,MATCH($B76&amp;"|P1",'8_가정'!$A$45:$A$86,0))</f>
        <v>0.56</v>
      </c>
      <c r="H76" s="74">
        <f>INDEX('8_가정'!$C$45:$C$86,MATCH($B76&amp;"|P2",'8_가정'!$A$45:$A$86,0))</f>
        <v>0.1</v>
      </c>
      <c r="I76" s="74">
        <f>INDEX('8_가정'!$D$45:$D$86,MATCH($B76&amp;"|P2",'8_가정'!$A$45:$A$86,0))</f>
        <v>0.1</v>
      </c>
      <c r="J76" s="74">
        <f>INDEX('8_가정'!$E$45:$E$86,MATCH($B76&amp;"|P2",'8_가정'!$A$45:$A$86,0))</f>
        <v>0.1</v>
      </c>
      <c r="K76" s="74">
        <f>INDEX('8_가정'!$F$45:$F$86,MATCH($B76&amp;"|P2",'8_가정'!$A$45:$A$86,0))</f>
        <v>0.11</v>
      </c>
      <c r="L76" s="74">
        <f>INDEX('8_가정'!$G$45:$G$86,MATCH($B76&amp;"|P2",'8_가정'!$A$45:$A$86,0))</f>
        <v>0.11</v>
      </c>
      <c r="M76" s="74">
        <f>INDEX('8_가정'!$C$45:$C$86,MATCH($B76&amp;"|P3",'8_가정'!$A$45:$A$86,0))</f>
        <v>0.12</v>
      </c>
      <c r="N76" s="74">
        <f>INDEX('8_가정'!$D$45:$D$86,MATCH($B76&amp;"|P3",'8_가정'!$A$45:$A$86,0))</f>
        <v>0.12</v>
      </c>
      <c r="O76" s="74">
        <f>INDEX('8_가정'!$E$45:$E$86,MATCH($B76&amp;"|P3",'8_가정'!$A$45:$A$86,0))</f>
        <v>0.12</v>
      </c>
      <c r="P76" s="74">
        <f>INDEX('8_가정'!$F$45:$F$86,MATCH($B76&amp;"|P3",'8_가정'!$A$45:$A$86,0))</f>
        <v>0.12</v>
      </c>
      <c r="Q76" s="74">
        <f>INDEX('8_가정'!$G$45:$G$86,MATCH($B76&amp;"|P3",'8_가정'!$A$45:$A$86,0))</f>
        <v>0.12</v>
      </c>
      <c r="R76" s="74">
        <f>INDEX('8_가정'!$C$45:$C$86,MATCH($B76&amp;"|P4",'8_가정'!$A$45:$A$86,0))</f>
        <v>0.08</v>
      </c>
      <c r="S76" s="74">
        <f>INDEX('8_가정'!$D$45:$D$86,MATCH($B76&amp;"|P4",'8_가정'!$A$45:$A$86,0))</f>
        <v>0.08</v>
      </c>
      <c r="T76" s="74">
        <f>INDEX('8_가정'!$E$45:$E$86,MATCH($B76&amp;"|P4",'8_가정'!$A$45:$A$86,0))</f>
        <v>0.08</v>
      </c>
      <c r="U76" s="74">
        <f>INDEX('8_가정'!$F$45:$F$86,MATCH($B76&amp;"|P4",'8_가정'!$A$45:$A$86,0))</f>
        <v>0.11</v>
      </c>
      <c r="V76" s="74">
        <f>INDEX('8_가정'!$G$45:$G$86,MATCH($B76&amp;"|P4",'8_가정'!$A$45:$A$86,0))</f>
        <v>0.13</v>
      </c>
      <c r="W76" s="74">
        <f>INDEX('8_가정'!$C$45:$C$86,MATCH($B76&amp;"|P5",'8_가정'!$A$45:$A$86,0))</f>
        <v>0.02</v>
      </c>
      <c r="X76" s="74">
        <f>INDEX('8_가정'!$D$45:$D$86,MATCH($B76&amp;"|P5",'8_가정'!$A$45:$A$86,0))</f>
        <v>0.02</v>
      </c>
      <c r="Y76" s="74">
        <f>INDEX('8_가정'!$E$45:$E$86,MATCH($B76&amp;"|P5",'8_가정'!$A$45:$A$86,0))</f>
        <v>0.02</v>
      </c>
      <c r="Z76" s="74">
        <f>INDEX('8_가정'!$F$45:$F$86,MATCH($B76&amp;"|P5",'8_가정'!$A$45:$A$86,0))</f>
        <v>0.04</v>
      </c>
      <c r="AA76" s="74">
        <f>INDEX('8_가정'!$G$45:$G$86,MATCH($B76&amp;"|P5",'8_가정'!$A$45:$A$86,0))</f>
        <v>0.06</v>
      </c>
      <c r="AB76" s="74">
        <f>INDEX('8_가정'!$C$45:$C$86,MATCH($B76&amp;"|P6",'8_가정'!$A$45:$A$86,0))</f>
        <v>0.02</v>
      </c>
      <c r="AC76" s="74">
        <f>INDEX('8_가정'!$D$45:$D$86,MATCH($B76&amp;"|P6",'8_가정'!$A$45:$A$86,0))</f>
        <v>0.02</v>
      </c>
      <c r="AD76" s="74">
        <f>INDEX('8_가정'!$E$45:$E$86,MATCH($B76&amp;"|P6",'8_가정'!$A$45:$A$86,0))</f>
        <v>0.02</v>
      </c>
      <c r="AE76" s="74">
        <f>INDEX('8_가정'!$F$45:$F$86,MATCH($B76&amp;"|P6",'8_가정'!$A$45:$A$86,0))</f>
        <v>0.02</v>
      </c>
      <c r="AF76" s="74">
        <f>INDEX('8_가정'!$G$45:$G$86,MATCH($B76&amp;"|P6",'8_가정'!$A$45:$A$86,0))</f>
        <v>0.02</v>
      </c>
    </row>
    <row r="77">
      <c r="A77" s="73" t="str">
        <f>'4_매출_거래처'!D29</f>
        <v>유럽 총판 확대(NL·ES·PT·DACH/북유럽)</v>
      </c>
      <c r="B77" s="73" t="str">
        <f>'4_매출_거래처'!I29</f>
        <v>COH</v>
      </c>
      <c r="C77" s="74">
        <f>INDEX('8_가정'!$C$45:$C$86,MATCH($B77&amp;"|P1",'8_가정'!$A$45:$A$86,0))</f>
        <v>0.66</v>
      </c>
      <c r="D77" s="74">
        <f>INDEX('8_가정'!$D$45:$D$86,MATCH($B77&amp;"|P1",'8_가정'!$A$45:$A$86,0))</f>
        <v>0.66</v>
      </c>
      <c r="E77" s="74">
        <f>INDEX('8_가정'!$E$45:$E$86,MATCH($B77&amp;"|P1",'8_가정'!$A$45:$A$86,0))</f>
        <v>0.66</v>
      </c>
      <c r="F77" s="74">
        <f>INDEX('8_가정'!$F$45:$F$86,MATCH($B77&amp;"|P1",'8_가정'!$A$45:$A$86,0))</f>
        <v>0.6</v>
      </c>
      <c r="G77" s="74">
        <f>INDEX('8_가정'!$G$45:$G$86,MATCH($B77&amp;"|P1",'8_가정'!$A$45:$A$86,0))</f>
        <v>0.56</v>
      </c>
      <c r="H77" s="74">
        <f>INDEX('8_가정'!$C$45:$C$86,MATCH($B77&amp;"|P2",'8_가정'!$A$45:$A$86,0))</f>
        <v>0.1</v>
      </c>
      <c r="I77" s="74">
        <f>INDEX('8_가정'!$D$45:$D$86,MATCH($B77&amp;"|P2",'8_가정'!$A$45:$A$86,0))</f>
        <v>0.1</v>
      </c>
      <c r="J77" s="74">
        <f>INDEX('8_가정'!$E$45:$E$86,MATCH($B77&amp;"|P2",'8_가정'!$A$45:$A$86,0))</f>
        <v>0.1</v>
      </c>
      <c r="K77" s="74">
        <f>INDEX('8_가정'!$F$45:$F$86,MATCH($B77&amp;"|P2",'8_가정'!$A$45:$A$86,0))</f>
        <v>0.11</v>
      </c>
      <c r="L77" s="74">
        <f>INDEX('8_가정'!$G$45:$G$86,MATCH($B77&amp;"|P2",'8_가정'!$A$45:$A$86,0))</f>
        <v>0.11</v>
      </c>
      <c r="M77" s="74">
        <f>INDEX('8_가정'!$C$45:$C$86,MATCH($B77&amp;"|P3",'8_가정'!$A$45:$A$86,0))</f>
        <v>0.12</v>
      </c>
      <c r="N77" s="74">
        <f>INDEX('8_가정'!$D$45:$D$86,MATCH($B77&amp;"|P3",'8_가정'!$A$45:$A$86,0))</f>
        <v>0.12</v>
      </c>
      <c r="O77" s="74">
        <f>INDEX('8_가정'!$E$45:$E$86,MATCH($B77&amp;"|P3",'8_가정'!$A$45:$A$86,0))</f>
        <v>0.12</v>
      </c>
      <c r="P77" s="74">
        <f>INDEX('8_가정'!$F$45:$F$86,MATCH($B77&amp;"|P3",'8_가정'!$A$45:$A$86,0))</f>
        <v>0.12</v>
      </c>
      <c r="Q77" s="74">
        <f>INDEX('8_가정'!$G$45:$G$86,MATCH($B77&amp;"|P3",'8_가정'!$A$45:$A$86,0))</f>
        <v>0.12</v>
      </c>
      <c r="R77" s="74">
        <f>INDEX('8_가정'!$C$45:$C$86,MATCH($B77&amp;"|P4",'8_가정'!$A$45:$A$86,0))</f>
        <v>0.08</v>
      </c>
      <c r="S77" s="74">
        <f>INDEX('8_가정'!$D$45:$D$86,MATCH($B77&amp;"|P4",'8_가정'!$A$45:$A$86,0))</f>
        <v>0.08</v>
      </c>
      <c r="T77" s="74">
        <f>INDEX('8_가정'!$E$45:$E$86,MATCH($B77&amp;"|P4",'8_가정'!$A$45:$A$86,0))</f>
        <v>0.08</v>
      </c>
      <c r="U77" s="74">
        <f>INDEX('8_가정'!$F$45:$F$86,MATCH($B77&amp;"|P4",'8_가정'!$A$45:$A$86,0))</f>
        <v>0.11</v>
      </c>
      <c r="V77" s="74">
        <f>INDEX('8_가정'!$G$45:$G$86,MATCH($B77&amp;"|P4",'8_가정'!$A$45:$A$86,0))</f>
        <v>0.13</v>
      </c>
      <c r="W77" s="74">
        <f>INDEX('8_가정'!$C$45:$C$86,MATCH($B77&amp;"|P5",'8_가정'!$A$45:$A$86,0))</f>
        <v>0.02</v>
      </c>
      <c r="X77" s="74">
        <f>INDEX('8_가정'!$D$45:$D$86,MATCH($B77&amp;"|P5",'8_가정'!$A$45:$A$86,0))</f>
        <v>0.02</v>
      </c>
      <c r="Y77" s="74">
        <f>INDEX('8_가정'!$E$45:$E$86,MATCH($B77&amp;"|P5",'8_가정'!$A$45:$A$86,0))</f>
        <v>0.02</v>
      </c>
      <c r="Z77" s="74">
        <f>INDEX('8_가정'!$F$45:$F$86,MATCH($B77&amp;"|P5",'8_가정'!$A$45:$A$86,0))</f>
        <v>0.04</v>
      </c>
      <c r="AA77" s="74">
        <f>INDEX('8_가정'!$G$45:$G$86,MATCH($B77&amp;"|P5",'8_가정'!$A$45:$A$86,0))</f>
        <v>0.06</v>
      </c>
      <c r="AB77" s="74">
        <f>INDEX('8_가정'!$C$45:$C$86,MATCH($B77&amp;"|P6",'8_가정'!$A$45:$A$86,0))</f>
        <v>0.02</v>
      </c>
      <c r="AC77" s="74">
        <f>INDEX('8_가정'!$D$45:$D$86,MATCH($B77&amp;"|P6",'8_가정'!$A$45:$A$86,0))</f>
        <v>0.02</v>
      </c>
      <c r="AD77" s="74">
        <f>INDEX('8_가정'!$E$45:$E$86,MATCH($B77&amp;"|P6",'8_가정'!$A$45:$A$86,0))</f>
        <v>0.02</v>
      </c>
      <c r="AE77" s="74">
        <f>INDEX('8_가정'!$F$45:$F$86,MATCH($B77&amp;"|P6",'8_가정'!$A$45:$A$86,0))</f>
        <v>0.02</v>
      </c>
      <c r="AF77" s="74">
        <f>INDEX('8_가정'!$G$45:$G$86,MATCH($B77&amp;"|P6",'8_가정'!$A$45:$A$86,0))</f>
        <v>0.02</v>
      </c>
    </row>
    <row r="78">
      <c r="A78" s="73" t="str">
        <f>'4_매출_거래처'!D30</f>
        <v>미국 의료유통 채널(Shelter Device PoC → 2029 유통 진입)</v>
      </c>
      <c r="B78" s="73" t="str">
        <f>'4_매출_거래처'!I30</f>
        <v>COH</v>
      </c>
      <c r="C78" s="74">
        <f>INDEX('8_가정'!$C$45:$C$86,MATCH($B78&amp;"|P1",'8_가정'!$A$45:$A$86,0))</f>
        <v>0.66</v>
      </c>
      <c r="D78" s="74">
        <f>INDEX('8_가정'!$D$45:$D$86,MATCH($B78&amp;"|P1",'8_가정'!$A$45:$A$86,0))</f>
        <v>0.66</v>
      </c>
      <c r="E78" s="74">
        <f>INDEX('8_가정'!$E$45:$E$86,MATCH($B78&amp;"|P1",'8_가정'!$A$45:$A$86,0))</f>
        <v>0.66</v>
      </c>
      <c r="F78" s="74">
        <f>INDEX('8_가정'!$F$45:$F$86,MATCH($B78&amp;"|P1",'8_가정'!$A$45:$A$86,0))</f>
        <v>0.6</v>
      </c>
      <c r="G78" s="74">
        <f>INDEX('8_가정'!$G$45:$G$86,MATCH($B78&amp;"|P1",'8_가정'!$A$45:$A$86,0))</f>
        <v>0.56</v>
      </c>
      <c r="H78" s="74">
        <f>INDEX('8_가정'!$C$45:$C$86,MATCH($B78&amp;"|P2",'8_가정'!$A$45:$A$86,0))</f>
        <v>0.1</v>
      </c>
      <c r="I78" s="74">
        <f>INDEX('8_가정'!$D$45:$D$86,MATCH($B78&amp;"|P2",'8_가정'!$A$45:$A$86,0))</f>
        <v>0.1</v>
      </c>
      <c r="J78" s="74">
        <f>INDEX('8_가정'!$E$45:$E$86,MATCH($B78&amp;"|P2",'8_가정'!$A$45:$A$86,0))</f>
        <v>0.1</v>
      </c>
      <c r="K78" s="74">
        <f>INDEX('8_가정'!$F$45:$F$86,MATCH($B78&amp;"|P2",'8_가정'!$A$45:$A$86,0))</f>
        <v>0.11</v>
      </c>
      <c r="L78" s="74">
        <f>INDEX('8_가정'!$G$45:$G$86,MATCH($B78&amp;"|P2",'8_가정'!$A$45:$A$86,0))</f>
        <v>0.11</v>
      </c>
      <c r="M78" s="74">
        <f>INDEX('8_가정'!$C$45:$C$86,MATCH($B78&amp;"|P3",'8_가정'!$A$45:$A$86,0))</f>
        <v>0.12</v>
      </c>
      <c r="N78" s="74">
        <f>INDEX('8_가정'!$D$45:$D$86,MATCH($B78&amp;"|P3",'8_가정'!$A$45:$A$86,0))</f>
        <v>0.12</v>
      </c>
      <c r="O78" s="74">
        <f>INDEX('8_가정'!$E$45:$E$86,MATCH($B78&amp;"|P3",'8_가정'!$A$45:$A$86,0))</f>
        <v>0.12</v>
      </c>
      <c r="P78" s="74">
        <f>INDEX('8_가정'!$F$45:$F$86,MATCH($B78&amp;"|P3",'8_가정'!$A$45:$A$86,0))</f>
        <v>0.12</v>
      </c>
      <c r="Q78" s="74">
        <f>INDEX('8_가정'!$G$45:$G$86,MATCH($B78&amp;"|P3",'8_가정'!$A$45:$A$86,0))</f>
        <v>0.12</v>
      </c>
      <c r="R78" s="74">
        <f>INDEX('8_가정'!$C$45:$C$86,MATCH($B78&amp;"|P4",'8_가정'!$A$45:$A$86,0))</f>
        <v>0.08</v>
      </c>
      <c r="S78" s="74">
        <f>INDEX('8_가정'!$D$45:$D$86,MATCH($B78&amp;"|P4",'8_가정'!$A$45:$A$86,0))</f>
        <v>0.08</v>
      </c>
      <c r="T78" s="74">
        <f>INDEX('8_가정'!$E$45:$E$86,MATCH($B78&amp;"|P4",'8_가정'!$A$45:$A$86,0))</f>
        <v>0.08</v>
      </c>
      <c r="U78" s="74">
        <f>INDEX('8_가정'!$F$45:$F$86,MATCH($B78&amp;"|P4",'8_가정'!$A$45:$A$86,0))</f>
        <v>0.11</v>
      </c>
      <c r="V78" s="74">
        <f>INDEX('8_가정'!$G$45:$G$86,MATCH($B78&amp;"|P4",'8_가정'!$A$45:$A$86,0))</f>
        <v>0.13</v>
      </c>
      <c r="W78" s="74">
        <f>INDEX('8_가정'!$C$45:$C$86,MATCH($B78&amp;"|P5",'8_가정'!$A$45:$A$86,0))</f>
        <v>0.02</v>
      </c>
      <c r="X78" s="74">
        <f>INDEX('8_가정'!$D$45:$D$86,MATCH($B78&amp;"|P5",'8_가정'!$A$45:$A$86,0))</f>
        <v>0.02</v>
      </c>
      <c r="Y78" s="74">
        <f>INDEX('8_가정'!$E$45:$E$86,MATCH($B78&amp;"|P5",'8_가정'!$A$45:$A$86,0))</f>
        <v>0.02</v>
      </c>
      <c r="Z78" s="74">
        <f>INDEX('8_가정'!$F$45:$F$86,MATCH($B78&amp;"|P5",'8_가정'!$A$45:$A$86,0))</f>
        <v>0.04</v>
      </c>
      <c r="AA78" s="74">
        <f>INDEX('8_가정'!$G$45:$G$86,MATCH($B78&amp;"|P5",'8_가정'!$A$45:$A$86,0))</f>
        <v>0.06</v>
      </c>
      <c r="AB78" s="74">
        <f>INDEX('8_가정'!$C$45:$C$86,MATCH($B78&amp;"|P6",'8_가정'!$A$45:$A$86,0))</f>
        <v>0.02</v>
      </c>
      <c r="AC78" s="74">
        <f>INDEX('8_가정'!$D$45:$D$86,MATCH($B78&amp;"|P6",'8_가정'!$A$45:$A$86,0))</f>
        <v>0.02</v>
      </c>
      <c r="AD78" s="74">
        <f>INDEX('8_가정'!$E$45:$E$86,MATCH($B78&amp;"|P6",'8_가정'!$A$45:$A$86,0))</f>
        <v>0.02</v>
      </c>
      <c r="AE78" s="74">
        <f>INDEX('8_가정'!$F$45:$F$86,MATCH($B78&amp;"|P6",'8_가정'!$A$45:$A$86,0))</f>
        <v>0.02</v>
      </c>
      <c r="AF78" s="74">
        <f>INDEX('8_가정'!$G$45:$G$86,MATCH($B78&amp;"|P6",'8_가정'!$A$45:$A$86,0))</f>
        <v>0.02</v>
      </c>
    </row>
    <row r="79">
      <c r="A79" s="73" t="str">
        <f>'4_매출_거래처'!D31</f>
        <v>삼성 글로벌 채널(B2B 오퍼링 번들·시니어 모바일 앱) — 목표 대비 잔여</v>
      </c>
      <c r="B79" s="73" t="str">
        <f>'4_매출_거래처'!I31</f>
        <v>COH</v>
      </c>
      <c r="C79" s="74">
        <f>INDEX('8_가정'!$C$45:$C$86,MATCH($B79&amp;"|P1",'8_가정'!$A$45:$A$86,0))</f>
        <v>0.66</v>
      </c>
      <c r="D79" s="74">
        <f>INDEX('8_가정'!$D$45:$D$86,MATCH($B79&amp;"|P1",'8_가정'!$A$45:$A$86,0))</f>
        <v>0.66</v>
      </c>
      <c r="E79" s="74">
        <f>INDEX('8_가정'!$E$45:$E$86,MATCH($B79&amp;"|P1",'8_가정'!$A$45:$A$86,0))</f>
        <v>0.66</v>
      </c>
      <c r="F79" s="74">
        <f>INDEX('8_가정'!$F$45:$F$86,MATCH($B79&amp;"|P1",'8_가정'!$A$45:$A$86,0))</f>
        <v>0.6</v>
      </c>
      <c r="G79" s="74">
        <f>INDEX('8_가정'!$G$45:$G$86,MATCH($B79&amp;"|P1",'8_가정'!$A$45:$A$86,0))</f>
        <v>0.56</v>
      </c>
      <c r="H79" s="74">
        <f>INDEX('8_가정'!$C$45:$C$86,MATCH($B79&amp;"|P2",'8_가정'!$A$45:$A$86,0))</f>
        <v>0.1</v>
      </c>
      <c r="I79" s="74">
        <f>INDEX('8_가정'!$D$45:$D$86,MATCH($B79&amp;"|P2",'8_가정'!$A$45:$A$86,0))</f>
        <v>0.1</v>
      </c>
      <c r="J79" s="74">
        <f>INDEX('8_가정'!$E$45:$E$86,MATCH($B79&amp;"|P2",'8_가정'!$A$45:$A$86,0))</f>
        <v>0.1</v>
      </c>
      <c r="K79" s="74">
        <f>INDEX('8_가정'!$F$45:$F$86,MATCH($B79&amp;"|P2",'8_가정'!$A$45:$A$86,0))</f>
        <v>0.11</v>
      </c>
      <c r="L79" s="74">
        <f>INDEX('8_가정'!$G$45:$G$86,MATCH($B79&amp;"|P2",'8_가정'!$A$45:$A$86,0))</f>
        <v>0.11</v>
      </c>
      <c r="M79" s="74">
        <f>INDEX('8_가정'!$C$45:$C$86,MATCH($B79&amp;"|P3",'8_가정'!$A$45:$A$86,0))</f>
        <v>0.12</v>
      </c>
      <c r="N79" s="74">
        <f>INDEX('8_가정'!$D$45:$D$86,MATCH($B79&amp;"|P3",'8_가정'!$A$45:$A$86,0))</f>
        <v>0.12</v>
      </c>
      <c r="O79" s="74">
        <f>INDEX('8_가정'!$E$45:$E$86,MATCH($B79&amp;"|P3",'8_가정'!$A$45:$A$86,0))</f>
        <v>0.12</v>
      </c>
      <c r="P79" s="74">
        <f>INDEX('8_가정'!$F$45:$F$86,MATCH($B79&amp;"|P3",'8_가정'!$A$45:$A$86,0))</f>
        <v>0.12</v>
      </c>
      <c r="Q79" s="74">
        <f>INDEX('8_가정'!$G$45:$G$86,MATCH($B79&amp;"|P3",'8_가정'!$A$45:$A$86,0))</f>
        <v>0.12</v>
      </c>
      <c r="R79" s="74">
        <f>INDEX('8_가정'!$C$45:$C$86,MATCH($B79&amp;"|P4",'8_가정'!$A$45:$A$86,0))</f>
        <v>0.08</v>
      </c>
      <c r="S79" s="74">
        <f>INDEX('8_가정'!$D$45:$D$86,MATCH($B79&amp;"|P4",'8_가정'!$A$45:$A$86,0))</f>
        <v>0.08</v>
      </c>
      <c r="T79" s="74">
        <f>INDEX('8_가정'!$E$45:$E$86,MATCH($B79&amp;"|P4",'8_가정'!$A$45:$A$86,0))</f>
        <v>0.08</v>
      </c>
      <c r="U79" s="74">
        <f>INDEX('8_가정'!$F$45:$F$86,MATCH($B79&amp;"|P4",'8_가정'!$A$45:$A$86,0))</f>
        <v>0.11</v>
      </c>
      <c r="V79" s="74">
        <f>INDEX('8_가정'!$G$45:$G$86,MATCH($B79&amp;"|P4",'8_가정'!$A$45:$A$86,0))</f>
        <v>0.13</v>
      </c>
      <c r="W79" s="74">
        <f>INDEX('8_가정'!$C$45:$C$86,MATCH($B79&amp;"|P5",'8_가정'!$A$45:$A$86,0))</f>
        <v>0.02</v>
      </c>
      <c r="X79" s="74">
        <f>INDEX('8_가정'!$D$45:$D$86,MATCH($B79&amp;"|P5",'8_가정'!$A$45:$A$86,0))</f>
        <v>0.02</v>
      </c>
      <c r="Y79" s="74">
        <f>INDEX('8_가정'!$E$45:$E$86,MATCH($B79&amp;"|P5",'8_가정'!$A$45:$A$86,0))</f>
        <v>0.02</v>
      </c>
      <c r="Z79" s="74">
        <f>INDEX('8_가정'!$F$45:$F$86,MATCH($B79&amp;"|P5",'8_가정'!$A$45:$A$86,0))</f>
        <v>0.04</v>
      </c>
      <c r="AA79" s="74">
        <f>INDEX('8_가정'!$G$45:$G$86,MATCH($B79&amp;"|P5",'8_가정'!$A$45:$A$86,0))</f>
        <v>0.06</v>
      </c>
      <c r="AB79" s="74">
        <f>INDEX('8_가정'!$C$45:$C$86,MATCH($B79&amp;"|P6",'8_가정'!$A$45:$A$86,0))</f>
        <v>0.02</v>
      </c>
      <c r="AC79" s="74">
        <f>INDEX('8_가정'!$D$45:$D$86,MATCH($B79&amp;"|P6",'8_가정'!$A$45:$A$86,0))</f>
        <v>0.02</v>
      </c>
      <c r="AD79" s="74">
        <f>INDEX('8_가정'!$E$45:$E$86,MATCH($B79&amp;"|P6",'8_가정'!$A$45:$A$86,0))</f>
        <v>0.02</v>
      </c>
      <c r="AE79" s="74">
        <f>INDEX('8_가정'!$F$45:$F$86,MATCH($B79&amp;"|P6",'8_가정'!$A$45:$A$86,0))</f>
        <v>0.02</v>
      </c>
      <c r="AF79" s="74">
        <f>INDEX('8_가정'!$G$45:$G$86,MATCH($B79&amp;"|P6",'8_가정'!$A$45:$A$86,0))</f>
        <v>0.02</v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J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34" customWidth="1" min="3" max="3"/>
    <col width="12" customWidth="1" min="4" max="4"/>
    <col width="11" customWidth="1" min="5" max="5"/>
    <col width="70" customWidth="1" min="6" max="6"/>
    <col width="9" customWidth="1" min="7" max="7"/>
    <col width="15" customWidth="1" min="8" max="8"/>
    <col width="20" customWidth="1" min="9" max="9"/>
    <col width="48" customWidth="1" min="10" max="10"/>
  </cols>
  <sheetData>
    <row r="1">
      <c r="A1" s="1" t="inlineStr">
        <is>
          <t>6_거래처현황 — 국내·해외 거래처 대장</t>
        </is>
      </c>
    </row>
    <row r="2">
      <c r="A2" s="2" t="inlineStr">
        <is>
          <t>출처: IR 자료(2026-09-27판) · 입찰자료(KTPH-RFP-26-165-MJ) · 투자사 양식 회사연혁. 금액 미정 PoC는 매출에 반영하지 않고 신규 파이프라인 근거로만 표기.</t>
        </is>
      </c>
    </row>
    <row r="3"/>
    <row r="4">
      <c r="A4" s="11" t="inlineStr">
        <is>
          <t>구분</t>
        </is>
      </c>
      <c r="B4" s="11" t="inlineStr">
        <is>
          <t>국가</t>
        </is>
      </c>
      <c r="C4" s="11" t="inlineStr">
        <is>
          <t>거래처</t>
        </is>
      </c>
      <c r="D4" s="11" t="inlineStr">
        <is>
          <t>유형</t>
        </is>
      </c>
      <c r="E4" s="11" t="inlineStr">
        <is>
          <t>단계(IR)</t>
        </is>
      </c>
      <c r="F4" s="11" t="inlineStr">
        <is>
          <t>주요 내용 · 근거</t>
        </is>
      </c>
      <c r="G4" s="11" t="inlineStr">
        <is>
          <t>IR 쪽</t>
        </is>
      </c>
      <c r="H4" s="11" t="inlineStr">
        <is>
          <t>2027 모델 매출(S1, 천원)</t>
        </is>
      </c>
      <c r="I4" s="11" t="inlineStr">
        <is>
          <t>모델 반영</t>
        </is>
      </c>
      <c r="J4" s="11" t="inlineStr">
        <is>
          <t>다음 마일스톤 · 확인 필요</t>
        </is>
      </c>
    </row>
    <row r="5" ht="36" customHeight="1">
      <c r="A5" s="75" t="inlineStr">
        <is>
          <t>국내</t>
        </is>
      </c>
      <c r="B5" s="75" t="inlineStr">
        <is>
          <t>한국</t>
        </is>
      </c>
      <c r="C5" s="75" t="inlineStr">
        <is>
          <t>국민건강보험공단(NHIS) 혁신 복지용구</t>
        </is>
      </c>
      <c r="D5" s="75" t="inlineStr">
        <is>
          <t>B2G·제도</t>
        </is>
      </c>
      <c r="E5" s="75" t="inlineStr">
        <is>
          <t>등록 완료</t>
        </is>
      </c>
      <c r="F5" s="76" t="inlineStr">
        <is>
          <t>국내 최초 IT 제품으로 혁신 복지용구 선정(정부 보조금 85%), 전국 약 2,000개 매장 유통 확대. 지속 사용성 64%·편의성 71%·안전성 100%(설문)</t>
        </is>
      </c>
      <c r="G5" s="75" t="inlineStr">
        <is>
          <t>p.9·25</t>
        </is>
      </c>
      <c r="H5" s="77">
        <f>'4_매출_거래처'!AW10*'4_매출_거래처'!$S10</f>
        <v>500000</v>
      </c>
      <c r="I5" s="76" t="inlineStr">
        <is>
          <t>2027 매출 반영(등록 후 판매 개시 가정)</t>
        </is>
      </c>
      <c r="J5" s="76" t="inlineStr">
        <is>
          <t>복지용구 매장 입점·실구매 개시 시점 확인</t>
        </is>
      </c>
    </row>
    <row r="6" ht="36" customHeight="1">
      <c r="A6" s="75" t="inlineStr">
        <is>
          <t>국내</t>
        </is>
      </c>
      <c r="B6" s="75" t="inlineStr">
        <is>
          <t>한국</t>
        </is>
      </c>
      <c r="C6" s="75" t="inlineStr">
        <is>
          <t>노인요양병원·시설(국내 1위 요양시설 기저귀 유통사 경유)</t>
        </is>
      </c>
      <c r="D6" s="75" t="inlineStr">
        <is>
          <t>총판·기관</t>
        </is>
      </c>
      <c r="E6" s="75" t="inlineStr">
        <is>
          <t>진행 중</t>
        </is>
      </c>
      <c r="F6" s="76" t="inlineStr">
        <is>
          <t>삼성노블카운티·KB골든라이프케어·화이트하우스 요양원·가톨릭대 성빈센트병원 등 프리미엄 요양. 2027 전국 1,000개 병원 도입 목표, 프리미엄 100개소·구독자 2만 명(중장기 목표)</t>
        </is>
      </c>
      <c r="G6" s="75" t="inlineStr">
        <is>
          <t>p.10·25</t>
        </is>
      </c>
      <c r="H6" s="77">
        <f>'4_매출_거래처'!AW11*'4_매출_거래처'!$S11</f>
        <v>1986200</v>
      </c>
      <c r="I6" s="76" t="inlineStr">
        <is>
          <t>2027 매출 반영(협의 단계 → S2·S3 확률 적용)</t>
        </is>
      </c>
      <c r="J6" s="76" t="inlineStr">
        <is>
          <t>유통사 계약 체결 여부·도입 시설 수</t>
        </is>
      </c>
    </row>
    <row r="7" ht="36" customHeight="1">
      <c r="A7" s="75" t="inlineStr">
        <is>
          <t>국내</t>
        </is>
      </c>
      <c r="B7" s="75" t="inlineStr">
        <is>
          <t>한국</t>
        </is>
      </c>
      <c r="C7" s="75" t="inlineStr">
        <is>
          <t>APP(Asia Pulp &amp; Paper / Sinarmas) — 키퍼스 시니어 팬티형</t>
        </is>
      </c>
      <c r="D7" s="75" t="inlineStr">
        <is>
          <t>파트너</t>
        </is>
      </c>
      <c r="E7" s="75" t="inlineStr">
        <is>
          <t>계약</t>
        </is>
      </c>
      <c r="F7" s="76" t="inlineStr">
        <is>
          <t>스마트 팬티형 기저귀 연 구독 모델(공급+센서+서비스). 연 15억. B2C 기저귀 판매의 70% 이상이 팬티형</t>
        </is>
      </c>
      <c r="G7" s="75" t="inlineStr">
        <is>
          <t>p.11·25</t>
        </is>
      </c>
      <c r="H7" s="77">
        <f>'4_매출_거래처'!AW12*'4_매출_거래처'!$S12</f>
        <v>1500000</v>
      </c>
      <c r="I7" s="76" t="inlineStr">
        <is>
          <t>2026-12 개시 가정</t>
        </is>
      </c>
      <c r="J7" s="76" t="inlineStr">
        <is>
          <t>출시일·초도 발주 확인</t>
        </is>
      </c>
    </row>
    <row r="8" ht="36" customHeight="1">
      <c r="A8" s="75" t="inlineStr">
        <is>
          <t>국내</t>
        </is>
      </c>
      <c r="B8" s="75" t="inlineStr">
        <is>
          <t>한국</t>
        </is>
      </c>
      <c r="C8" s="75" t="inlineStr">
        <is>
          <t>APP — 스마트 베이비 기저귀(Beffys)</t>
        </is>
      </c>
      <c r="D8" s="75" t="inlineStr">
        <is>
          <t>파트너</t>
        </is>
      </c>
      <c r="E8" s="75" t="inlineStr">
        <is>
          <t>계약</t>
        </is>
      </c>
      <c r="F8" s="76" t="inlineStr">
        <is>
          <t>프리미엄 베이비 구독, 배변·수면 패턴 AI 분석. 연 10억</t>
        </is>
      </c>
      <c r="G8" s="75" t="inlineStr">
        <is>
          <t>p.12·25</t>
        </is>
      </c>
      <c r="H8" s="77">
        <f>'4_매출_거래처'!AW13*'4_매출_거래처'!$S13</f>
        <v>1000000</v>
      </c>
      <c r="I8" s="76" t="inlineStr">
        <is>
          <t>2027-01 개시 가정</t>
        </is>
      </c>
      <c r="J8" s="76" t="inlineStr">
        <is>
          <t>출시일·초도 발주 확인</t>
        </is>
      </c>
    </row>
    <row r="9" ht="36" customHeight="1">
      <c r="A9" s="75" t="inlineStr">
        <is>
          <t>해외</t>
        </is>
      </c>
      <c r="B9" s="75" t="inlineStr">
        <is>
          <t>일본</t>
        </is>
      </c>
      <c r="C9" s="75" t="inlineStr">
        <is>
          <t>HeartKium(HEARTCARE 오사카 요양시설) 총판</t>
        </is>
      </c>
      <c r="D9" s="75" t="inlineStr">
        <is>
          <t>총판</t>
        </is>
      </c>
      <c r="E9" s="75" t="inlineStr">
        <is>
          <t>계약</t>
        </is>
      </c>
      <c r="F9" s="76" t="inlineStr">
        <is>
          <t>오사카 요양시설 14곳 계약(→ 23곳), 기저귀 100만개·센싱 시스템 2,000대 공급. 총판 연 16억</t>
        </is>
      </c>
      <c r="G9" s="75" t="inlineStr">
        <is>
          <t>p.13·23·25</t>
        </is>
      </c>
      <c r="H9" s="77">
        <f>'4_매출_거래처'!AW14*'4_매출_거래처'!$S14</f>
        <v>1600000</v>
      </c>
      <c r="I9" s="76" t="inlineStr">
        <is>
          <t>기존 거래 — 2026 램프업 후 2027 16억</t>
        </is>
      </c>
      <c r="J9" s="76" t="inlineStr">
        <is>
          <t>시설별 발주 이력(2025·2026) 확인</t>
        </is>
      </c>
    </row>
    <row r="10" ht="36" customHeight="1">
      <c r="A10" s="75" t="inlineStr">
        <is>
          <t>해외</t>
        </is>
      </c>
      <c r="B10" s="75" t="inlineStr">
        <is>
          <t>일본</t>
        </is>
      </c>
      <c r="C10" s="75" t="inlineStr">
        <is>
          <t>TAIS(Technical Aids Information System) by JAIS</t>
        </is>
      </c>
      <c r="D10" s="75" t="inlineStr">
        <is>
          <t>제도 등록</t>
        </is>
      </c>
      <c r="E10" s="75" t="inlineStr">
        <is>
          <t>등록 완료</t>
        </is>
      </c>
      <c r="F10" s="76" t="inlineStr">
        <is>
          <t>일본 복지용구 정보시스템 등록 완료. 연 20억(IR)</t>
        </is>
      </c>
      <c r="G10" s="75" t="inlineStr">
        <is>
          <t>p.13·25</t>
        </is>
      </c>
      <c r="H10" s="77">
        <f>'4_매출_거래처'!AW15*'4_매출_거래처'!$S15</f>
        <v>2000000</v>
      </c>
      <c r="I10" s="76" t="inlineStr">
        <is>
          <t>2027-01 개시 가정(S2·S3 확률·지연 적용)</t>
        </is>
      </c>
      <c r="J10" s="76" t="inlineStr">
        <is>
          <t>등록일·실제 도입 경로(시설/재가) 확인</t>
        </is>
      </c>
    </row>
    <row r="11" ht="36" customHeight="1">
      <c r="A11" s="75" t="inlineStr">
        <is>
          <t>해외</t>
        </is>
      </c>
      <c r="B11" s="75" t="inlineStr">
        <is>
          <t>싱가포르</t>
        </is>
      </c>
      <c r="C11" s="75" t="inlineStr">
        <is>
          <t>Intega Healthcare</t>
        </is>
      </c>
      <c r="D11" s="75" t="inlineStr">
        <is>
          <t>총판</t>
        </is>
      </c>
      <c r="E11" s="75" t="inlineStr">
        <is>
          <t>계약</t>
        </is>
      </c>
      <c r="F11" s="76" t="inlineStr">
        <is>
          <t>싱가포르 총판. 2026-01 첫 수출(USD 17,440)</t>
        </is>
      </c>
      <c r="G11" s="75" t="inlineStr">
        <is>
          <t>p.23·25</t>
        </is>
      </c>
      <c r="H11" s="77">
        <f>'4_매출_거래처'!AW19*'4_매출_거래처'!$S19</f>
        <v>300000</v>
      </c>
      <c r="I11" s="76" t="inlineStr">
        <is>
          <t>기존 거래 — 2026 램프업</t>
        </is>
      </c>
      <c r="J11" s="76" t="inlineStr">
        <is>
          <t>분기별 발주 계획 확인</t>
        </is>
      </c>
    </row>
    <row r="12" ht="36" customHeight="1">
      <c r="A12" s="75" t="inlineStr">
        <is>
          <t>해외</t>
        </is>
      </c>
      <c r="B12" s="75" t="inlineStr">
        <is>
          <t>싱가포르</t>
        </is>
      </c>
      <c r="C12" s="75" t="inlineStr">
        <is>
          <t>NHG(KTPH·TTSH·Woodlands Health) 스마트 병동</t>
        </is>
      </c>
      <c r="D12" s="75" t="inlineStr">
        <is>
          <t>공공병원</t>
        </is>
      </c>
      <c r="E12" s="75" t="inlineStr">
        <is>
          <t>계약(IR) / 입찰 진행(입찰자료)</t>
        </is>
      </c>
      <c r="F12" s="76" t="inlineStr">
        <is>
          <t>IR: 계약 SGD 180,000. 입찰자료: RFP KTPH-RFP-26-165-MJ(ALPS 대행) 2026-09 제안서 제출, 센서 135·게이트웨이 40~53대, 병동별 최종검수 후 청구, 대금 60일. LOA 미확인</t>
        </is>
      </c>
      <c r="G12" s="75" t="inlineStr">
        <is>
          <t>p.14~17</t>
        </is>
      </c>
      <c r="H12" s="77">
        <f>'4_매출_거래처'!AW16*'4_매출_거래처'!$S16</f>
        <v>180000</v>
      </c>
      <c r="I12" s="76" t="inlineStr">
        <is>
          <t>2027-06~08 검수 매출(S2·S3는 입찰 단계 확률)</t>
        </is>
      </c>
      <c r="J12" s="76" t="inlineStr">
        <is>
          <t>★ LOA 수령 여부·표현("계약") 정합</t>
        </is>
      </c>
    </row>
    <row r="13" ht="36" customHeight="1">
      <c r="A13" s="75" t="inlineStr">
        <is>
          <t>해외</t>
        </is>
      </c>
      <c r="B13" s="75" t="inlineStr">
        <is>
          <t>싱가포르</t>
        </is>
      </c>
      <c r="C13" s="75" t="inlineStr">
        <is>
          <t>IMH(국립정신건강원)</t>
        </is>
      </c>
      <c r="D13" s="75" t="inlineStr">
        <is>
          <t>공공(R&amp;D)</t>
        </is>
      </c>
      <c r="E13" s="75" t="inlineStr">
        <is>
          <t>계약</t>
        </is>
      </c>
      <c r="F13" s="76" t="inlineStr">
        <is>
          <t>스마트 욕창 케어 솔루션 R&amp;D 프로젝트 연 SGD 120,000</t>
        </is>
      </c>
      <c r="G13" s="75" t="inlineStr">
        <is>
          <t>p.20·25</t>
        </is>
      </c>
      <c r="H13" s="77">
        <f>'4_매출_거래처'!AW17*'4_매출_거래처'!$S17</f>
        <v>120000</v>
      </c>
      <c r="I13" s="76" t="inlineStr">
        <is>
          <t>2026-07 착수 가정, 2028 종료</t>
        </is>
      </c>
      <c r="J13" s="76" t="inlineStr">
        <is>
          <t>계약 체결월·기간 확인</t>
        </is>
      </c>
    </row>
    <row r="14" ht="36" customHeight="1">
      <c r="A14" s="75" t="inlineStr">
        <is>
          <t>해외</t>
        </is>
      </c>
      <c r="B14" s="75" t="inlineStr">
        <is>
          <t>싱가포르</t>
        </is>
      </c>
      <c r="C14" s="75" t="inlineStr">
        <is>
          <t>Vanguard Healthcare</t>
        </is>
      </c>
      <c r="D14" s="75" t="inlineStr">
        <is>
          <t>기관</t>
        </is>
      </c>
      <c r="E14" s="75" t="inlineStr">
        <is>
          <t>계약</t>
        </is>
      </c>
      <c r="F14" s="76" t="inlineStr">
        <is>
          <t>요양원 5곳·병상 1,200+, 입소자 300명 구독 계약 확정(연 USD 285,840)</t>
        </is>
      </c>
      <c r="G14" s="75" t="inlineStr">
        <is>
          <t>p.18·25</t>
        </is>
      </c>
      <c r="H14" s="77">
        <f>'4_매출_거래처'!AW18*'4_매출_거래처'!$S18</f>
        <v>285840</v>
      </c>
      <c r="I14" s="76" t="inlineStr">
        <is>
          <t>2026-11 개시 가정</t>
        </is>
      </c>
      <c r="J14" s="76" t="inlineStr">
        <is>
          <t>계약서 통화·개시일 확인</t>
        </is>
      </c>
    </row>
    <row r="15" ht="36" customHeight="1">
      <c r="A15" s="75" t="inlineStr">
        <is>
          <t>해외</t>
        </is>
      </c>
      <c r="B15" s="75" t="inlineStr">
        <is>
          <t>싱가포르</t>
        </is>
      </c>
      <c r="C15" s="75" t="inlineStr">
        <is>
          <t>SingHealth Polyclinics</t>
        </is>
      </c>
      <c r="D15" s="75" t="inlineStr">
        <is>
          <t>PoC</t>
        </is>
      </c>
      <c r="E15" s="75" t="inlineStr">
        <is>
          <t>PoC</t>
        </is>
      </c>
      <c r="F15" s="76" t="inlineStr">
        <is>
          <t>원격의료 PoC(참여자 30명, 논문 발표 예정). 매출 금액 미정</t>
        </is>
      </c>
      <c r="G15" s="75" t="inlineStr">
        <is>
          <t>p.19</t>
        </is>
      </c>
      <c r="H15" s="78" t="inlineStr">
        <is>
          <t>-</t>
        </is>
      </c>
      <c r="I15" s="76" t="inlineStr">
        <is>
          <t>미반영(신규 파이프라인 근거)</t>
        </is>
      </c>
      <c r="J15" s="76" t="inlineStr">
        <is>
          <t>PoC 종료·상용 전환 조건</t>
        </is>
      </c>
    </row>
    <row r="16" ht="36" customHeight="1">
      <c r="A16" s="75" t="inlineStr">
        <is>
          <t>해외</t>
        </is>
      </c>
      <c r="B16" s="75" t="inlineStr">
        <is>
          <t>싱가포르</t>
        </is>
      </c>
      <c r="C16" s="75" t="inlineStr">
        <is>
          <t>NTUC Health</t>
        </is>
      </c>
      <c r="D16" s="75" t="inlineStr">
        <is>
          <t>PoC</t>
        </is>
      </c>
      <c r="E16" s="75" t="inlineStr">
        <is>
          <t>PoC</t>
        </is>
      </c>
      <c r="F16" s="76" t="inlineStr">
        <is>
          <t>요양원 6·주간보호 26·재가 5,000명 규모. 방문 케어 센터와 PoC 진행 중</t>
        </is>
      </c>
      <c r="G16" s="75" t="inlineStr">
        <is>
          <t>p.29</t>
        </is>
      </c>
      <c r="H16" s="78" t="inlineStr">
        <is>
          <t>-</t>
        </is>
      </c>
      <c r="I16" s="76" t="inlineStr">
        <is>
          <t>미반영(신규 파이프라인 근거)</t>
        </is>
      </c>
      <c r="J16" s="76" t="inlineStr">
        <is>
          <t>PoC 일정·구매 절차</t>
        </is>
      </c>
    </row>
    <row r="17" ht="36" customHeight="1">
      <c r="A17" s="75" t="inlineStr">
        <is>
          <t>해외</t>
        </is>
      </c>
      <c r="B17" s="75" t="inlineStr">
        <is>
          <t>말레이시아</t>
        </is>
      </c>
      <c r="C17" s="75" t="inlineStr">
        <is>
          <t>Sunway Sanctuary</t>
        </is>
      </c>
      <c r="D17" s="75" t="inlineStr">
        <is>
          <t>PoC/R&amp;D</t>
        </is>
      </c>
      <c r="E17" s="75" t="inlineStr">
        <is>
          <t>PoC / R&amp;D</t>
        </is>
      </c>
      <c r="F17" s="76" t="inlineStr">
        <is>
          <t>병원 연계형 시니어 레지던스. PoC 및 R&amp;D 협업. IR 표 3.0억</t>
        </is>
      </c>
      <c r="G17" s="75" t="inlineStr">
        <is>
          <t>p.31·25</t>
        </is>
      </c>
      <c r="H17" s="77">
        <f>'4_매출_거래처'!AW20*'4_매출_거래처'!$S20</f>
        <v>0</v>
      </c>
      <c r="I17" s="76" t="inlineStr">
        <is>
          <t>S1·S2·S3 모두 매출 제외(상방)</t>
        </is>
      </c>
      <c r="J17" s="76" t="inlineStr">
        <is>
          <t>PoC 결과·상용 계약</t>
        </is>
      </c>
    </row>
    <row r="18" ht="36" customHeight="1">
      <c r="A18" s="75" t="inlineStr">
        <is>
          <t>해외</t>
        </is>
      </c>
      <c r="B18" s="75" t="inlineStr">
        <is>
          <t>말레이시아</t>
        </is>
      </c>
      <c r="C18" s="75" t="inlineStr">
        <is>
          <t>IHH Healthcare</t>
        </is>
      </c>
      <c r="D18" s="75" t="inlineStr">
        <is>
          <t>PoC</t>
        </is>
      </c>
      <c r="E18" s="75" t="inlineStr">
        <is>
          <t>PoC</t>
        </is>
      </c>
      <c r="F18" s="76" t="inlineStr">
        <is>
          <t>최대 민간 케어 그룹. PoC 및 구매 절차 준비 완료(SG·MY 병원 22곳)</t>
        </is>
      </c>
      <c r="G18" s="75" t="inlineStr">
        <is>
          <t>p.30</t>
        </is>
      </c>
      <c r="H18" s="78" t="inlineStr">
        <is>
          <t>-</t>
        </is>
      </c>
      <c r="I18" s="76" t="inlineStr">
        <is>
          <t>미반영(신규 파이프라인 근거)</t>
        </is>
      </c>
      <c r="J18" s="76" t="inlineStr">
        <is>
          <t>구매 절차 완료·발주 시점</t>
        </is>
      </c>
    </row>
    <row r="19" ht="36" customHeight="1">
      <c r="A19" s="75" t="inlineStr">
        <is>
          <t>해외</t>
        </is>
      </c>
      <c r="B19" s="75" t="inlineStr">
        <is>
          <t>말레이시아</t>
        </is>
      </c>
      <c r="C19" s="75" t="inlineStr">
        <is>
          <t>Econ Healthcare</t>
        </is>
      </c>
      <c r="D19" s="75" t="inlineStr">
        <is>
          <t>PoC</t>
        </is>
      </c>
      <c r="E19" s="75" t="inlineStr">
        <is>
          <t>PoC</t>
        </is>
      </c>
      <c r="F19" s="76" t="inlineStr">
        <is>
          <t>요양원 10곳(SG 8·MY 2), PoC 및 사업 논의 중</t>
        </is>
      </c>
      <c r="G19" s="75" t="inlineStr">
        <is>
          <t>p.32·25</t>
        </is>
      </c>
      <c r="H19" s="78" t="inlineStr">
        <is>
          <t>-</t>
        </is>
      </c>
      <c r="I19" s="76" t="inlineStr">
        <is>
          <t>미반영(금액 미정)</t>
        </is>
      </c>
      <c r="J19" s="76" t="inlineStr">
        <is>
          <t>논의 결과</t>
        </is>
      </c>
    </row>
    <row r="20" ht="36" customHeight="1">
      <c r="A20" s="75" t="inlineStr">
        <is>
          <t>해외</t>
        </is>
      </c>
      <c r="B20" s="75" t="inlineStr">
        <is>
          <t>말레이시아</t>
        </is>
      </c>
      <c r="C20" s="75" t="inlineStr">
        <is>
          <t>ACG</t>
        </is>
      </c>
      <c r="D20" s="75" t="inlineStr">
        <is>
          <t>협의</t>
        </is>
      </c>
      <c r="E20" s="75" t="inlineStr">
        <is>
          <t>진행 중</t>
        </is>
      </c>
      <c r="F20" s="76" t="inlineStr">
        <is>
          <t>IR 표에 금액 미정으로 표기</t>
        </is>
      </c>
      <c r="G20" s="75" t="inlineStr">
        <is>
          <t>p.25</t>
        </is>
      </c>
      <c r="H20" s="78" t="inlineStr">
        <is>
          <t>-</t>
        </is>
      </c>
      <c r="I20" s="76" t="inlineStr">
        <is>
          <t>미반영(금액 미정)</t>
        </is>
      </c>
      <c r="J20" s="76" t="inlineStr">
        <is>
          <t>내용 확인</t>
        </is>
      </c>
    </row>
    <row r="21" ht="36" customHeight="1">
      <c r="A21" s="75" t="inlineStr">
        <is>
          <t>해외</t>
        </is>
      </c>
      <c r="B21" s="75" t="inlineStr">
        <is>
          <t>태국</t>
        </is>
      </c>
      <c r="C21" s="75" t="inlineStr">
        <is>
          <t>Punnita</t>
        </is>
      </c>
      <c r="D21" s="75" t="inlineStr">
        <is>
          <t>총판(베이비)</t>
        </is>
      </c>
      <c r="E21" s="75" t="inlineStr">
        <is>
          <t>계약</t>
        </is>
      </c>
      <c r="F21" s="76" t="inlineStr">
        <is>
          <t>베이비 스마트 기저귀 총판</t>
        </is>
      </c>
      <c r="G21" s="75" t="inlineStr">
        <is>
          <t>p.23·25</t>
        </is>
      </c>
      <c r="H21" s="77">
        <f>'4_매출_거래처'!AW21*'4_매출_거래처'!$S21</f>
        <v>90000</v>
      </c>
      <c r="I21" s="76" t="inlineStr">
        <is>
          <t>2027-02 개시 가정</t>
        </is>
      </c>
      <c r="J21" s="76" t="inlineStr"/>
    </row>
    <row r="22" ht="36" customHeight="1">
      <c r="A22" s="75" t="inlineStr">
        <is>
          <t>해외</t>
        </is>
      </c>
      <c r="B22" s="75" t="inlineStr">
        <is>
          <t>대만</t>
        </is>
      </c>
      <c r="C22" s="75" t="inlineStr">
        <is>
          <t>Littleloft</t>
        </is>
      </c>
      <c r="D22" s="75" t="inlineStr">
        <is>
          <t>총판(베이비)</t>
        </is>
      </c>
      <c r="E22" s="75" t="inlineStr">
        <is>
          <t>계약</t>
        </is>
      </c>
      <c r="F22" s="76" t="inlineStr">
        <is>
          <t>베이비 스마트 기저귀 총판</t>
        </is>
      </c>
      <c r="G22" s="75" t="inlineStr">
        <is>
          <t>p.23·25</t>
        </is>
      </c>
      <c r="H22" s="77">
        <f>'4_매출_거래처'!AW22*'4_매출_거래처'!$S22</f>
        <v>120000</v>
      </c>
      <c r="I22" s="76" t="inlineStr">
        <is>
          <t>2027-02 개시 가정</t>
        </is>
      </c>
      <c r="J22" s="76" t="inlineStr"/>
    </row>
    <row r="23" ht="36" customHeight="1">
      <c r="A23" s="75" t="inlineStr">
        <is>
          <t>해외</t>
        </is>
      </c>
      <c r="B23" s="75" t="inlineStr">
        <is>
          <t>네덜란드</t>
        </is>
      </c>
      <c r="C23" s="75" t="inlineStr">
        <is>
          <t>GIV (IR 지도: GISI Distribution)</t>
        </is>
      </c>
      <c r="D23" s="75" t="inlineStr">
        <is>
          <t>총판</t>
        </is>
      </c>
      <c r="E23" s="75" t="inlineStr">
        <is>
          <t>계약</t>
        </is>
      </c>
      <c r="F23" s="76" t="inlineStr">
        <is>
          <t>유럽 총판</t>
        </is>
      </c>
      <c r="G23" s="75" t="inlineStr">
        <is>
          <t>p.23·25</t>
        </is>
      </c>
      <c r="H23" s="77">
        <f>'4_매출_거래처'!AW23*'4_매출_거래처'!$S23</f>
        <v>100000</v>
      </c>
      <c r="I23" s="76" t="inlineStr">
        <is>
          <t>2027-02 개시 가정</t>
        </is>
      </c>
      <c r="J23" s="76" t="inlineStr">
        <is>
          <t>★ 거래처명 표기 불일치 확인</t>
        </is>
      </c>
    </row>
    <row r="24" ht="36" customHeight="1">
      <c r="A24" s="75" t="inlineStr">
        <is>
          <t>해외</t>
        </is>
      </c>
      <c r="B24" s="75" t="inlineStr">
        <is>
          <t>스페인</t>
        </is>
      </c>
      <c r="C24" s="75" t="inlineStr">
        <is>
          <t>NEUCA</t>
        </is>
      </c>
      <c r="D24" s="75" t="inlineStr">
        <is>
          <t>총판</t>
        </is>
      </c>
      <c r="E24" s="75" t="inlineStr">
        <is>
          <t>접촉</t>
        </is>
      </c>
      <c r="F24" s="76" t="inlineStr">
        <is>
          <t>초기 접촉 단계</t>
        </is>
      </c>
      <c r="G24" s="75" t="inlineStr">
        <is>
          <t>p.25</t>
        </is>
      </c>
      <c r="H24" s="77">
        <f>'4_매출_거래처'!AW24*'4_매출_거래처'!$S24</f>
        <v>100000</v>
      </c>
      <c r="I24" s="76" t="inlineStr">
        <is>
          <t>2027-02 개시 가정(S1)</t>
        </is>
      </c>
      <c r="J24" s="76" t="inlineStr">
        <is>
          <t>국가·법인 표기 확인</t>
        </is>
      </c>
    </row>
    <row r="25" ht="36" customHeight="1">
      <c r="A25" s="75" t="inlineStr">
        <is>
          <t>해외</t>
        </is>
      </c>
      <c r="B25" s="75" t="inlineStr">
        <is>
          <t>호주</t>
        </is>
      </c>
      <c r="C25" s="75" t="inlineStr">
        <is>
          <t>Healthbeat</t>
        </is>
      </c>
      <c r="D25" s="75" t="inlineStr">
        <is>
          <t>총판</t>
        </is>
      </c>
      <c r="E25" s="75" t="inlineStr">
        <is>
          <t>계약</t>
        </is>
      </c>
      <c r="F25" s="76" t="inlineStr">
        <is>
          <t>호주 총판. IR 지도상 호주·뉴질랜드 해외 총판</t>
        </is>
      </c>
      <c r="G25" s="75" t="inlineStr">
        <is>
          <t>p.23·25</t>
        </is>
      </c>
      <c r="H25" s="77">
        <f>'4_매출_거래처'!AW25*'4_매출_거래처'!$S25</f>
        <v>120000</v>
      </c>
      <c r="I25" s="76" t="inlineStr">
        <is>
          <t>2027-02 개시 가정</t>
        </is>
      </c>
      <c r="J25" s="76" t="inlineStr"/>
    </row>
    <row r="26" ht="36" customHeight="1">
      <c r="A26" s="75" t="inlineStr">
        <is>
          <t>해외</t>
        </is>
      </c>
      <c r="B26" s="75" t="inlineStr">
        <is>
          <t>뉴질랜드</t>
        </is>
      </c>
      <c r="C26" s="75" t="inlineStr">
        <is>
          <t>(IR 지도: 해외 총판)</t>
        </is>
      </c>
      <c r="D26" s="75" t="inlineStr">
        <is>
          <t>총판</t>
        </is>
      </c>
      <c r="E26" s="75" t="inlineStr">
        <is>
          <t>-</t>
        </is>
      </c>
      <c r="F26" s="76" t="inlineStr">
        <is>
          <t>매출 금액·거래처명 미표기</t>
        </is>
      </c>
      <c r="G26" s="75" t="inlineStr">
        <is>
          <t>p.23</t>
        </is>
      </c>
      <c r="H26" s="78" t="inlineStr">
        <is>
          <t>-</t>
        </is>
      </c>
      <c r="I26" s="76" t="inlineStr">
        <is>
          <t>미반영</t>
        </is>
      </c>
      <c r="J26" s="76" t="inlineStr"/>
    </row>
    <row r="27" ht="36" customHeight="1">
      <c r="A27" s="75" t="inlineStr">
        <is>
          <t>해외</t>
        </is>
      </c>
      <c r="B27" s="75" t="inlineStr">
        <is>
          <t>포르투갈</t>
        </is>
      </c>
      <c r="C27" s="75" t="inlineStr">
        <is>
          <t>HITecosystem</t>
        </is>
      </c>
      <c r="D27" s="75" t="inlineStr">
        <is>
          <t>협의</t>
        </is>
      </c>
      <c r="E27" s="75" t="inlineStr">
        <is>
          <t>진행 중</t>
        </is>
      </c>
      <c r="F27" s="76" t="inlineStr">
        <is>
          <t>IR 표에 금액 미정으로 표기</t>
        </is>
      </c>
      <c r="G27" s="75" t="inlineStr">
        <is>
          <t>p.25</t>
        </is>
      </c>
      <c r="H27" s="78" t="inlineStr">
        <is>
          <t>-</t>
        </is>
      </c>
      <c r="I27" s="76" t="inlineStr">
        <is>
          <t>미반영(금액 미정)</t>
        </is>
      </c>
      <c r="J27" s="76" t="inlineStr"/>
    </row>
    <row r="28" ht="36" customHeight="1">
      <c r="A28" s="75" t="inlineStr">
        <is>
          <t>해외</t>
        </is>
      </c>
      <c r="B28" s="75" t="inlineStr">
        <is>
          <t>미국</t>
        </is>
      </c>
      <c r="C28" s="75" t="inlineStr">
        <is>
          <t>Shelter Device</t>
        </is>
      </c>
      <c r="D28" s="75" t="inlineStr">
        <is>
          <t>협의</t>
        </is>
      </c>
      <c r="E28" s="75" t="inlineStr">
        <is>
          <t>진행 중</t>
        </is>
      </c>
      <c r="F28" s="76" t="inlineStr">
        <is>
          <t>금액 미정. 2029 미국 의료 유통 채널 진입의 출발점</t>
        </is>
      </c>
      <c r="G28" s="75" t="inlineStr">
        <is>
          <t>p.24·25</t>
        </is>
      </c>
      <c r="H28" s="78" t="inlineStr">
        <is>
          <t>-</t>
        </is>
      </c>
      <c r="I28" s="76" t="inlineStr">
        <is>
          <t>미반영(신규 파이프라인 근거)</t>
        </is>
      </c>
      <c r="J28" s="76" t="inlineStr">
        <is>
          <t>인허가(FDA 등) 일정</t>
        </is>
      </c>
    </row>
    <row r="29" ht="36" customHeight="1">
      <c r="A29" s="75" t="inlineStr">
        <is>
          <t>해외</t>
        </is>
      </c>
      <c r="B29" s="75" t="inlineStr">
        <is>
          <t>중국</t>
        </is>
      </c>
      <c r="C29" s="75" t="inlineStr">
        <is>
          <t>Hansoms(Xiamen)</t>
        </is>
      </c>
      <c r="D29" s="75" t="inlineStr">
        <is>
          <t>공급·전략투자</t>
        </is>
      </c>
      <c r="E29" s="75" t="inlineStr">
        <is>
          <t>계약</t>
        </is>
      </c>
      <c r="F29" s="76" t="inlineStr">
        <is>
          <t>2026-07 전략적 현물출자 계약: 보통주 최대 3,102주(주당 USD 144.42), 제품 납품·검수 후 회차별 발행. 매출 거래처가 아닌 기저귀 공급 파트너</t>
        </is>
      </c>
      <c r="G29" s="75" t="inlineStr">
        <is>
          <t>회사연혁</t>
        </is>
      </c>
      <c r="H29" s="78" t="inlineStr">
        <is>
          <t>-</t>
        </is>
      </c>
      <c r="I29" s="76" t="inlineStr">
        <is>
          <t>매출 아님(원가 안정화 요인, 미반영)</t>
        </is>
      </c>
      <c r="J29" s="76" t="inlineStr">
        <is>
          <t>계약 효력일·납품 일정</t>
        </is>
      </c>
    </row>
    <row r="30">
      <c r="C30" s="12" t="inlineStr">
        <is>
          <t>2027 모델 매출 합계(S1)</t>
        </is>
      </c>
      <c r="H30" s="26">
        <f>SUM(H5:H29)</f>
        <v>10002040</v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AF59"/>
  <sheetViews>
    <sheetView zoomScale="85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6" customWidth="1" min="2" max="2"/>
    <col outlineLevel="1" width="10.5" customWidth="1" min="3" max="14"/>
    <col width="10.5" customWidth="1" min="15" max="15"/>
    <col outlineLevel="1" width="10.5" customWidth="1" min="16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</cols>
  <sheetData>
    <row r="1">
      <c r="A1" s="1" t="inlineStr">
        <is>
          <t>7_비용인력 — 인원 · 판매비와관리비 · 영업외 · 법인세</t>
        </is>
      </c>
    </row>
    <row r="2">
      <c r="A2" s="2" t="inlineStr">
        <is>
          <t>단위: 천원. 인원 계획(S1)은 파란색 입력, 선택 시나리오에서는 매출 달성률에 따라 탄력 조정됩니다.</t>
        </is>
      </c>
    </row>
    <row r="5">
      <c r="A5" s="21" t="inlineStr">
        <is>
          <t>계정</t>
        </is>
      </c>
      <c r="B5" s="21" t="inlineStr">
        <is>
          <t>비고</t>
        </is>
      </c>
      <c r="C5" s="11" t="inlineStr">
        <is>
          <t>2026-01</t>
        </is>
      </c>
      <c r="D5" s="11" t="inlineStr">
        <is>
          <t>2026-02</t>
        </is>
      </c>
      <c r="E5" s="11" t="inlineStr">
        <is>
          <t>2026-03</t>
        </is>
      </c>
      <c r="F5" s="11" t="inlineStr">
        <is>
          <t>2026-04</t>
        </is>
      </c>
      <c r="G5" s="11" t="inlineStr">
        <is>
          <t>2026-05</t>
        </is>
      </c>
      <c r="H5" s="11" t="inlineStr">
        <is>
          <t>2026-06</t>
        </is>
      </c>
      <c r="I5" s="11" t="inlineStr">
        <is>
          <t>2026-07</t>
        </is>
      </c>
      <c r="J5" s="11" t="inlineStr">
        <is>
          <t>2026-08</t>
        </is>
      </c>
      <c r="K5" s="11" t="inlineStr">
        <is>
          <t>2026-09</t>
        </is>
      </c>
      <c r="L5" s="11" t="inlineStr">
        <is>
          <t>2026-10</t>
        </is>
      </c>
      <c r="M5" s="11" t="inlineStr">
        <is>
          <t>2026-11</t>
        </is>
      </c>
      <c r="N5" s="11" t="inlineStr">
        <is>
          <t>2026-12</t>
        </is>
      </c>
      <c r="O5" s="11" t="inlineStr">
        <is>
          <t>FY2026</t>
        </is>
      </c>
      <c r="P5" s="11" t="inlineStr">
        <is>
          <t>2027-01</t>
        </is>
      </c>
      <c r="Q5" s="11" t="inlineStr">
        <is>
          <t>2027-02</t>
        </is>
      </c>
      <c r="R5" s="11" t="inlineStr">
        <is>
          <t>2027-03</t>
        </is>
      </c>
      <c r="S5" s="11" t="inlineStr">
        <is>
          <t>2027-04</t>
        </is>
      </c>
      <c r="T5" s="11" t="inlineStr">
        <is>
          <t>2027-05</t>
        </is>
      </c>
      <c r="U5" s="11" t="inlineStr">
        <is>
          <t>2027-06</t>
        </is>
      </c>
      <c r="V5" s="11" t="inlineStr">
        <is>
          <t>2027-07</t>
        </is>
      </c>
      <c r="W5" s="11" t="inlineStr">
        <is>
          <t>2027-08</t>
        </is>
      </c>
      <c r="X5" s="11" t="inlineStr">
        <is>
          <t>2027-09</t>
        </is>
      </c>
      <c r="Y5" s="11" t="inlineStr">
        <is>
          <t>2027-10</t>
        </is>
      </c>
      <c r="Z5" s="11" t="inlineStr">
        <is>
          <t>2027-11</t>
        </is>
      </c>
      <c r="AA5" s="11" t="inlineStr">
        <is>
          <t>2027-12</t>
        </is>
      </c>
      <c r="AB5" s="11" t="inlineStr">
        <is>
          <t>FY2027</t>
        </is>
      </c>
      <c r="AC5" s="11" t="inlineStr">
        <is>
          <t>2028E</t>
        </is>
      </c>
      <c r="AD5" s="11" t="inlineStr">
        <is>
          <t>2029E</t>
        </is>
      </c>
      <c r="AE5" s="11" t="inlineStr">
        <is>
          <t>2030E</t>
        </is>
      </c>
      <c r="AF5" s="11" t="inlineStr">
        <is>
          <t>5개년 합계</t>
        </is>
      </c>
    </row>
    <row r="6">
      <c r="A6" s="22" t="inlineStr"/>
      <c r="B6" s="22" t="inlineStr"/>
      <c r="C6" s="22" t="inlineStr">
        <is>
          <t>추정</t>
        </is>
      </c>
      <c r="D6" s="22" t="inlineStr">
        <is>
          <t>추정</t>
        </is>
      </c>
      <c r="E6" s="22" t="inlineStr">
        <is>
          <t>추정</t>
        </is>
      </c>
      <c r="F6" s="22" t="inlineStr">
        <is>
          <t>추정</t>
        </is>
      </c>
      <c r="G6" s="22" t="inlineStr">
        <is>
          <t>추정</t>
        </is>
      </c>
      <c r="H6" s="22" t="inlineStr">
        <is>
          <t>추정</t>
        </is>
      </c>
      <c r="I6" s="22" t="inlineStr">
        <is>
          <t>추정</t>
        </is>
      </c>
      <c r="J6" s="22" t="inlineStr">
        <is>
          <t>추정</t>
        </is>
      </c>
      <c r="K6" s="22" t="inlineStr">
        <is>
          <t>추정</t>
        </is>
      </c>
      <c r="L6" s="22" t="inlineStr">
        <is>
          <t>계획</t>
        </is>
      </c>
      <c r="M6" s="22" t="inlineStr">
        <is>
          <t>계획</t>
        </is>
      </c>
      <c r="N6" s="22" t="inlineStr">
        <is>
          <t>계획</t>
        </is>
      </c>
      <c r="O6" s="22" t="inlineStr">
        <is>
          <t>FY합계</t>
        </is>
      </c>
      <c r="P6" s="22" t="inlineStr">
        <is>
          <t>계획</t>
        </is>
      </c>
      <c r="Q6" s="22" t="inlineStr">
        <is>
          <t>계획</t>
        </is>
      </c>
      <c r="R6" s="22" t="inlineStr">
        <is>
          <t>계획</t>
        </is>
      </c>
      <c r="S6" s="22" t="inlineStr">
        <is>
          <t>계획</t>
        </is>
      </c>
      <c r="T6" s="22" t="inlineStr">
        <is>
          <t>계획</t>
        </is>
      </c>
      <c r="U6" s="22" t="inlineStr">
        <is>
          <t>계획</t>
        </is>
      </c>
      <c r="V6" s="22" t="inlineStr">
        <is>
          <t>계획</t>
        </is>
      </c>
      <c r="W6" s="22" t="inlineStr">
        <is>
          <t>계획</t>
        </is>
      </c>
      <c r="X6" s="22" t="inlineStr">
        <is>
          <t>계획</t>
        </is>
      </c>
      <c r="Y6" s="22" t="inlineStr">
        <is>
          <t>계획</t>
        </is>
      </c>
      <c r="Z6" s="22" t="inlineStr">
        <is>
          <t>계획</t>
        </is>
      </c>
      <c r="AA6" s="22" t="inlineStr">
        <is>
          <t>계획</t>
        </is>
      </c>
      <c r="AB6" s="22" t="inlineStr">
        <is>
          <t>FY합계</t>
        </is>
      </c>
      <c r="AC6" s="22" t="inlineStr">
        <is>
          <t>계획(연)</t>
        </is>
      </c>
      <c r="AD6" s="22" t="inlineStr">
        <is>
          <t>계획(연)</t>
        </is>
      </c>
      <c r="AE6" s="22" t="inlineStr">
        <is>
          <t>계획(연)</t>
        </is>
      </c>
      <c r="AF6" s="22" t="inlineStr">
        <is>
          <t>합계</t>
        </is>
      </c>
    </row>
    <row r="7">
      <c r="A7" s="3" t="inlineStr">
        <is>
          <t>A. 매출 연동 계수</t>
        </is>
      </c>
    </row>
    <row r="8">
      <c r="A8" s="15" t="inlineStr">
        <is>
          <t>매출(선택 시나리오)</t>
        </is>
      </c>
      <c r="B8" s="7" t="inlineStr">
        <is>
          <t>손익계산서 연동</t>
        </is>
      </c>
      <c r="C8" s="18">
        <f>'2_손익계산서'!C14</f>
        <v>67445.6116043404</v>
      </c>
      <c r="D8" s="18">
        <f>'2_손익계산서'!D14</f>
        <v>69140.5268585777</v>
      </c>
      <c r="E8" s="18">
        <f>'2_손익계산서'!E14</f>
        <v>70835.442112815</v>
      </c>
      <c r="F8" s="18">
        <f>'2_손익계산서'!F14</f>
        <v>72530.3573670523</v>
      </c>
      <c r="G8" s="18">
        <f>'2_손익계산서'!G14</f>
        <v>74225.2726212896</v>
      </c>
      <c r="H8" s="18">
        <f>'2_손익계산서'!H14</f>
        <v>75920.1878755269</v>
      </c>
      <c r="I8" s="18">
        <f>'2_손익계산서'!I14</f>
        <v>94726.2142408753</v>
      </c>
      <c r="J8" s="18">
        <f>'2_손익계산서'!J14</f>
        <v>103532.240606224</v>
      </c>
      <c r="K8" s="18">
        <f>'2_손익계산서'!K14</f>
        <v>112338.266971572</v>
      </c>
      <c r="L8" s="18">
        <f>'2_손익계산서'!L14</f>
        <v>125773.92296655</v>
      </c>
      <c r="M8" s="18">
        <f>'2_손익계산서'!M14</f>
        <v>147149.578961528</v>
      </c>
      <c r="N8" s="18">
        <f>'2_손익계산서'!N14</f>
        <v>186382.377813649</v>
      </c>
      <c r="O8" s="48">
        <f>'2_손익계산서'!O14</f>
        <v>1200000</v>
      </c>
      <c r="P8" s="18">
        <f>'2_손익계산서'!P14</f>
        <v>286006.146982333</v>
      </c>
      <c r="Q8" s="18">
        <f>'2_손익계산서'!Q14</f>
        <v>396943.880474977</v>
      </c>
      <c r="R8" s="18">
        <f>'2_손익계산서'!R14</f>
        <v>507881.613967621</v>
      </c>
      <c r="S8" s="18">
        <f>'2_손익계산서'!S14</f>
        <v>617124.432206027</v>
      </c>
      <c r="T8" s="18">
        <f>'2_손익계산서'!T14</f>
        <v>726367.250444434</v>
      </c>
      <c r="U8" s="18">
        <f>'2_손익계산서'!U14</f>
        <v>895610.06868284</v>
      </c>
      <c r="V8" s="18">
        <f>'2_손익계산서'!V14</f>
        <v>997741.775810136</v>
      </c>
      <c r="W8" s="18">
        <f>'2_손익계산서'!W14</f>
        <v>1089481.32607469</v>
      </c>
      <c r="X8" s="18">
        <f>'2_손익계산서'!X14</f>
        <v>1121220.87633924</v>
      </c>
      <c r="Y8" s="18">
        <f>'2_손익계산서'!Y14</f>
        <v>1121220.87633924</v>
      </c>
      <c r="Z8" s="18">
        <f>'2_손익계산서'!Z14</f>
        <v>1121220.87633924</v>
      </c>
      <c r="AA8" s="18">
        <f>'2_손익계산서'!AA14</f>
        <v>1121220.87633924</v>
      </c>
      <c r="AB8" s="48">
        <f>'2_손익계산서'!AB14</f>
        <v>10002040</v>
      </c>
      <c r="AC8" s="24">
        <f>'2_손익계산서'!AC14</f>
        <v>33000000</v>
      </c>
      <c r="AD8" s="24">
        <f>'2_손익계산서'!AD14</f>
        <v>70000000</v>
      </c>
      <c r="AE8" s="24">
        <f>'2_손익계산서'!AE14</f>
        <v>156000000</v>
      </c>
      <c r="AF8" s="18">
        <f>'2_손익계산서'!AF14</f>
        <v>270202040</v>
      </c>
    </row>
    <row r="9">
      <c r="A9" s="15" t="inlineStr">
        <is>
          <t>매출(S1 기준)</t>
        </is>
      </c>
      <c r="B9" s="7" t="inlineStr">
        <is>
          <t>4_매출_거래처 A블록</t>
        </is>
      </c>
      <c r="C9" s="18">
        <f>'4_매출_거래처'!X32</f>
        <v>67445.6116043404</v>
      </c>
      <c r="D9" s="18">
        <f>'4_매출_거래처'!Y32</f>
        <v>69140.5268585777</v>
      </c>
      <c r="E9" s="18">
        <f>'4_매출_거래처'!Z32</f>
        <v>70835.442112815</v>
      </c>
      <c r="F9" s="18">
        <f>'4_매출_거래처'!AA32</f>
        <v>72530.3573670523</v>
      </c>
      <c r="G9" s="18">
        <f>'4_매출_거래처'!AB32</f>
        <v>74225.2726212896</v>
      </c>
      <c r="H9" s="18">
        <f>'4_매출_거래처'!AC32</f>
        <v>75920.1878755269</v>
      </c>
      <c r="I9" s="18">
        <f>'4_매출_거래처'!AD32</f>
        <v>94726.2142408753</v>
      </c>
      <c r="J9" s="18">
        <f>'4_매출_거래처'!AE32</f>
        <v>103532.240606224</v>
      </c>
      <c r="K9" s="18">
        <f>'4_매출_거래처'!AF32</f>
        <v>112338.266971572</v>
      </c>
      <c r="L9" s="18">
        <f>'4_매출_거래처'!AG32</f>
        <v>125773.92296655</v>
      </c>
      <c r="M9" s="18">
        <f>'4_매출_거래처'!AH32</f>
        <v>147149.578961528</v>
      </c>
      <c r="N9" s="18">
        <f>'4_매출_거래처'!AI32</f>
        <v>186382.377813649</v>
      </c>
      <c r="O9" s="48">
        <f>'4_매출_거래처'!AV32</f>
        <v>1200000</v>
      </c>
      <c r="P9" s="18">
        <f>'4_매출_거래처'!AJ32</f>
        <v>286006.146982333</v>
      </c>
      <c r="Q9" s="18">
        <f>'4_매출_거래처'!AK32</f>
        <v>396943.880474977</v>
      </c>
      <c r="R9" s="18">
        <f>'4_매출_거래처'!AL32</f>
        <v>507881.613967621</v>
      </c>
      <c r="S9" s="18">
        <f>'4_매출_거래처'!AM32</f>
        <v>617124.432206027</v>
      </c>
      <c r="T9" s="18">
        <f>'4_매출_거래처'!AN32</f>
        <v>726367.250444434</v>
      </c>
      <c r="U9" s="18">
        <f>'4_매출_거래처'!AO32</f>
        <v>895610.06868284</v>
      </c>
      <c r="V9" s="18">
        <f>'4_매출_거래처'!AP32</f>
        <v>997741.775810136</v>
      </c>
      <c r="W9" s="18">
        <f>'4_매출_거래처'!AQ32</f>
        <v>1089481.32607469</v>
      </c>
      <c r="X9" s="18">
        <f>'4_매출_거래처'!AR32</f>
        <v>1121220.87633924</v>
      </c>
      <c r="Y9" s="18">
        <f>'4_매출_거래처'!AS32</f>
        <v>1121220.87633924</v>
      </c>
      <c r="Z9" s="18">
        <f>'4_매출_거래처'!AT32</f>
        <v>1121220.87633924</v>
      </c>
      <c r="AA9" s="18">
        <f>'4_매출_거래처'!AU32</f>
        <v>1121220.87633924</v>
      </c>
      <c r="AB9" s="48">
        <f>'4_매출_거래처'!AW32</f>
        <v>10002040</v>
      </c>
      <c r="AC9" s="24">
        <f>'4_매출_거래처'!AX32</f>
        <v>33000000</v>
      </c>
      <c r="AD9" s="24">
        <f>'4_매출_거래처'!AY32</f>
        <v>70000000</v>
      </c>
      <c r="AE9" s="24">
        <f>'4_매출_거래처'!AZ32</f>
        <v>156000000</v>
      </c>
      <c r="AF9" s="18">
        <f>'4_매출_거래처'!BA32</f>
        <v>270202040</v>
      </c>
    </row>
    <row r="10">
      <c r="A10" s="15" t="inlineStr">
        <is>
          <t>매출 달성률 = 선택/S1</t>
        </is>
      </c>
      <c r="B10" s="7" t="inlineStr">
        <is>
          <t>인원 탄력 계산에 사용</t>
        </is>
      </c>
      <c r="C10" s="57">
        <f>O10</f>
        <v>1</v>
      </c>
      <c r="D10" s="57">
        <f>O10</f>
        <v>1</v>
      </c>
      <c r="E10" s="57">
        <f>O10</f>
        <v>1</v>
      </c>
      <c r="F10" s="57">
        <f>O10</f>
        <v>1</v>
      </c>
      <c r="G10" s="57">
        <f>O10</f>
        <v>1</v>
      </c>
      <c r="H10" s="57">
        <f>O10</f>
        <v>1</v>
      </c>
      <c r="I10" s="57">
        <f>O10</f>
        <v>1</v>
      </c>
      <c r="J10" s="57">
        <f>O10</f>
        <v>1</v>
      </c>
      <c r="K10" s="57">
        <f>O10</f>
        <v>1</v>
      </c>
      <c r="L10" s="57">
        <f>O10</f>
        <v>1</v>
      </c>
      <c r="M10" s="57">
        <f>O10</f>
        <v>1</v>
      </c>
      <c r="N10" s="57">
        <f>O10</f>
        <v>1</v>
      </c>
      <c r="O10" s="49">
        <f>IFERROR(O8/O9,1)</f>
        <v>1</v>
      </c>
      <c r="P10" s="57">
        <f>AB10</f>
        <v>1</v>
      </c>
      <c r="Q10" s="57">
        <f>AB10</f>
        <v>1</v>
      </c>
      <c r="R10" s="57">
        <f>AB10</f>
        <v>1</v>
      </c>
      <c r="S10" s="57">
        <f>AB10</f>
        <v>1</v>
      </c>
      <c r="T10" s="57">
        <f>AB10</f>
        <v>1</v>
      </c>
      <c r="U10" s="57">
        <f>AB10</f>
        <v>1</v>
      </c>
      <c r="V10" s="57">
        <f>AB10</f>
        <v>1</v>
      </c>
      <c r="W10" s="57">
        <f>AB10</f>
        <v>1</v>
      </c>
      <c r="X10" s="57">
        <f>AB10</f>
        <v>1</v>
      </c>
      <c r="Y10" s="57">
        <f>AB10</f>
        <v>1</v>
      </c>
      <c r="Z10" s="57">
        <f>AB10</f>
        <v>1</v>
      </c>
      <c r="AA10" s="57">
        <f>AB10</f>
        <v>1</v>
      </c>
      <c r="AB10" s="49">
        <f>IFERROR(AB8/AB9,1)</f>
        <v>1</v>
      </c>
      <c r="AC10" s="50">
        <f>IFERROR(AC8/AC9,1)</f>
        <v>1</v>
      </c>
      <c r="AD10" s="50">
        <f>IFERROR(AD8/AD9,1)</f>
        <v>1</v>
      </c>
      <c r="AE10" s="50">
        <f>IFERROR(AE8/AE9,1)</f>
        <v>1</v>
      </c>
      <c r="AF10" s="57">
        <f>IFERROR(AF8/AF9,1)</f>
        <v>1</v>
      </c>
    </row>
    <row r="12">
      <c r="A12" s="3" t="inlineStr">
        <is>
          <t>B. 인원</t>
        </is>
      </c>
    </row>
    <row r="13">
      <c r="A13" s="15" t="inlineStr">
        <is>
          <t>인원 계획 — S1(기말, 명)</t>
        </is>
      </c>
      <c r="B13" s="7" t="inlineStr">
        <is>
          <t>입력(파란색)</t>
        </is>
      </c>
      <c r="C13" s="55" t="n">
        <v>7</v>
      </c>
      <c r="D13" s="55" t="n">
        <v>7</v>
      </c>
      <c r="E13" s="55" t="n">
        <v>7</v>
      </c>
      <c r="F13" s="55" t="n">
        <v>7</v>
      </c>
      <c r="G13" s="55" t="n">
        <v>7</v>
      </c>
      <c r="H13" s="55" t="n">
        <v>7</v>
      </c>
      <c r="I13" s="55" t="n">
        <v>7</v>
      </c>
      <c r="J13" s="55" t="n">
        <v>7</v>
      </c>
      <c r="K13" s="55" t="n">
        <v>7</v>
      </c>
      <c r="L13" s="55" t="n">
        <v>8</v>
      </c>
      <c r="M13" s="55" t="n">
        <v>8</v>
      </c>
      <c r="N13" s="55" t="n">
        <v>9</v>
      </c>
      <c r="O13" s="44">
        <f>N13</f>
        <v>9</v>
      </c>
      <c r="P13" s="55" t="n">
        <v>10</v>
      </c>
      <c r="Q13" s="55" t="n">
        <v>11</v>
      </c>
      <c r="R13" s="55" t="n">
        <v>12</v>
      </c>
      <c r="S13" s="55" t="n">
        <v>13</v>
      </c>
      <c r="T13" s="55" t="n">
        <v>14</v>
      </c>
      <c r="U13" s="55" t="n">
        <v>15</v>
      </c>
      <c r="V13" s="55" t="n">
        <v>16</v>
      </c>
      <c r="W13" s="55" t="n">
        <v>17</v>
      </c>
      <c r="X13" s="55" t="n">
        <v>18</v>
      </c>
      <c r="Y13" s="55" t="n">
        <v>19</v>
      </c>
      <c r="Z13" s="55" t="n">
        <v>20</v>
      </c>
      <c r="AA13" s="55" t="n">
        <v>22</v>
      </c>
      <c r="AB13" s="44">
        <f>AA13</f>
        <v>22</v>
      </c>
      <c r="AC13" s="55" t="n">
        <v>85</v>
      </c>
      <c r="AD13" s="55" t="n">
        <v>130</v>
      </c>
      <c r="AE13" s="55" t="n">
        <v>260</v>
      </c>
    </row>
    <row r="14">
      <c r="A14" s="15" t="inlineStr">
        <is>
          <t>인원 — 선택 시나리오(기말, 명)</t>
        </is>
      </c>
      <c r="B14" s="7" t="inlineStr">
        <is>
          <t>S1×(1−탄력+탄력×달성률)</t>
        </is>
      </c>
      <c r="C14" s="17">
        <f>C13*(1-'8_가정'!$C$31+'8_가정'!$C$31*C10)</f>
        <v>7</v>
      </c>
      <c r="D14" s="17">
        <f>D13*(1-'8_가정'!$C$31+'8_가정'!$C$31*D10)</f>
        <v>7</v>
      </c>
      <c r="E14" s="17">
        <f>E13*(1-'8_가정'!$C$31+'8_가정'!$C$31*E10)</f>
        <v>7</v>
      </c>
      <c r="F14" s="17">
        <f>F13*(1-'8_가정'!$C$31+'8_가정'!$C$31*F10)</f>
        <v>7</v>
      </c>
      <c r="G14" s="17">
        <f>G13*(1-'8_가정'!$C$31+'8_가정'!$C$31*G10)</f>
        <v>7</v>
      </c>
      <c r="H14" s="17">
        <f>H13*(1-'8_가정'!$C$31+'8_가정'!$C$31*H10)</f>
        <v>7</v>
      </c>
      <c r="I14" s="17">
        <f>I13*(1-'8_가정'!$C$31+'8_가정'!$C$31*I10)</f>
        <v>7</v>
      </c>
      <c r="J14" s="17">
        <f>J13*(1-'8_가정'!$C$31+'8_가정'!$C$31*J10)</f>
        <v>7</v>
      </c>
      <c r="K14" s="17">
        <f>K13*(1-'8_가정'!$C$31+'8_가정'!$C$31*K10)</f>
        <v>7</v>
      </c>
      <c r="L14" s="17">
        <f>L13*(1-'8_가정'!$C$31+'8_가정'!$C$31*L10)</f>
        <v>8</v>
      </c>
      <c r="M14" s="17">
        <f>M13*(1-'8_가정'!$C$31+'8_가정'!$C$31*M10)</f>
        <v>8</v>
      </c>
      <c r="N14" s="17">
        <f>N13*(1-'8_가정'!$C$31+'8_가정'!$C$31*N10)</f>
        <v>9</v>
      </c>
      <c r="O14" s="79">
        <f>N14</f>
        <v>9</v>
      </c>
      <c r="P14" s="17">
        <f>P13*(1-'8_가정'!$C$31+'8_가정'!$C$31*P10)</f>
        <v>10</v>
      </c>
      <c r="Q14" s="17">
        <f>Q13*(1-'8_가정'!$C$31+'8_가정'!$C$31*Q10)</f>
        <v>11</v>
      </c>
      <c r="R14" s="17">
        <f>R13*(1-'8_가정'!$C$31+'8_가정'!$C$31*R10)</f>
        <v>12</v>
      </c>
      <c r="S14" s="17">
        <f>S13*(1-'8_가정'!$C$31+'8_가정'!$C$31*S10)</f>
        <v>13</v>
      </c>
      <c r="T14" s="17">
        <f>T13*(1-'8_가정'!$C$31+'8_가정'!$C$31*T10)</f>
        <v>14</v>
      </c>
      <c r="U14" s="17">
        <f>U13*(1-'8_가정'!$C$31+'8_가정'!$C$31*U10)</f>
        <v>15</v>
      </c>
      <c r="V14" s="17">
        <f>V13*(1-'8_가정'!$C$31+'8_가정'!$C$31*V10)</f>
        <v>16</v>
      </c>
      <c r="W14" s="17">
        <f>W13*(1-'8_가정'!$C$31+'8_가정'!$C$31*W10)</f>
        <v>17</v>
      </c>
      <c r="X14" s="17">
        <f>X13*(1-'8_가정'!$C$31+'8_가정'!$C$31*X10)</f>
        <v>18</v>
      </c>
      <c r="Y14" s="17">
        <f>Y13*(1-'8_가정'!$C$31+'8_가정'!$C$31*Y10)</f>
        <v>19</v>
      </c>
      <c r="Z14" s="17">
        <f>Z13*(1-'8_가정'!$C$31+'8_가정'!$C$31*Z10)</f>
        <v>20</v>
      </c>
      <c r="AA14" s="17">
        <f>AA13*(1-'8_가정'!$C$31+'8_가정'!$C$31*AA10)</f>
        <v>22</v>
      </c>
      <c r="AB14" s="79">
        <f>AA14</f>
        <v>22</v>
      </c>
      <c r="AC14" s="47">
        <f>AC13*(1-'8_가정'!$C$31+'8_가정'!$C$31*AC10)</f>
        <v>85</v>
      </c>
      <c r="AD14" s="47">
        <f>AD13*(1-'8_가정'!$C$31+'8_가정'!$C$31*AD10)</f>
        <v>130</v>
      </c>
      <c r="AE14" s="47">
        <f>AE13*(1-'8_가정'!$C$31+'8_가정'!$C$31*AE10)</f>
        <v>260</v>
      </c>
    </row>
    <row r="15">
      <c r="A15" s="15" t="inlineStr">
        <is>
          <t>비용 산정 인원(월: 당월말, 연: 평균)</t>
        </is>
      </c>
      <c r="B15" s="7" t="inlineStr"/>
      <c r="C15" s="80">
        <f>C14</f>
        <v>7</v>
      </c>
      <c r="D15" s="80">
        <f>D14</f>
        <v>7</v>
      </c>
      <c r="E15" s="80">
        <f>E14</f>
        <v>7</v>
      </c>
      <c r="F15" s="80">
        <f>F14</f>
        <v>7</v>
      </c>
      <c r="G15" s="80">
        <f>G14</f>
        <v>7</v>
      </c>
      <c r="H15" s="80">
        <f>H14</f>
        <v>7</v>
      </c>
      <c r="I15" s="80">
        <f>I14</f>
        <v>7</v>
      </c>
      <c r="J15" s="80">
        <f>J14</f>
        <v>7</v>
      </c>
      <c r="K15" s="80">
        <f>K14</f>
        <v>7</v>
      </c>
      <c r="L15" s="80">
        <f>L14</f>
        <v>8</v>
      </c>
      <c r="M15" s="80">
        <f>M14</f>
        <v>8</v>
      </c>
      <c r="N15" s="80">
        <f>N14</f>
        <v>9</v>
      </c>
      <c r="O15" s="79">
        <f>AVERAGE(C14:N14)</f>
        <v>7.33333333333333</v>
      </c>
      <c r="P15" s="80">
        <f>P14</f>
        <v>10</v>
      </c>
      <c r="Q15" s="80">
        <f>Q14</f>
        <v>11</v>
      </c>
      <c r="R15" s="80">
        <f>R14</f>
        <v>12</v>
      </c>
      <c r="S15" s="80">
        <f>S14</f>
        <v>13</v>
      </c>
      <c r="T15" s="80">
        <f>T14</f>
        <v>14</v>
      </c>
      <c r="U15" s="80">
        <f>U14</f>
        <v>15</v>
      </c>
      <c r="V15" s="80">
        <f>V14</f>
        <v>16</v>
      </c>
      <c r="W15" s="80">
        <f>W14</f>
        <v>17</v>
      </c>
      <c r="X15" s="80">
        <f>X14</f>
        <v>18</v>
      </c>
      <c r="Y15" s="80">
        <f>Y14</f>
        <v>19</v>
      </c>
      <c r="Z15" s="80">
        <f>Z14</f>
        <v>20</v>
      </c>
      <c r="AA15" s="80">
        <f>AA14</f>
        <v>22</v>
      </c>
      <c r="AB15" s="79">
        <f>AVERAGE(P14:AA14)</f>
        <v>15.5833333333333</v>
      </c>
      <c r="AC15" s="81">
        <f>AVERAGE(AB14,AC14)</f>
        <v>53.5</v>
      </c>
      <c r="AD15" s="81">
        <f>AVERAGE(AC14,AD14)</f>
        <v>107.5</v>
      </c>
      <c r="AE15" s="81">
        <f>AVERAGE(AD14,AE14)</f>
        <v>195</v>
      </c>
    </row>
    <row r="16">
      <c r="A16" s="15" t="inlineStr">
        <is>
          <t>1인당 월 급여(천원)</t>
        </is>
      </c>
      <c r="B16" s="7" t="inlineStr">
        <is>
          <t>8_가정</t>
        </is>
      </c>
      <c r="C16" s="18">
        <f>'8_가정'!$C$91</f>
        <v>3600</v>
      </c>
      <c r="D16" s="18">
        <f>'8_가정'!$C$91</f>
        <v>3600</v>
      </c>
      <c r="E16" s="18">
        <f>'8_가정'!$C$91</f>
        <v>3600</v>
      </c>
      <c r="F16" s="18">
        <f>'8_가정'!$C$91</f>
        <v>3600</v>
      </c>
      <c r="G16" s="18">
        <f>'8_가정'!$C$91</f>
        <v>3600</v>
      </c>
      <c r="H16" s="18">
        <f>'8_가정'!$C$91</f>
        <v>3600</v>
      </c>
      <c r="I16" s="18">
        <f>'8_가정'!$C$91</f>
        <v>3600</v>
      </c>
      <c r="J16" s="18">
        <f>'8_가정'!$C$91</f>
        <v>3600</v>
      </c>
      <c r="K16" s="18">
        <f>'8_가정'!$C$91</f>
        <v>3600</v>
      </c>
      <c r="L16" s="18">
        <f>'8_가정'!$C$91</f>
        <v>3600</v>
      </c>
      <c r="M16" s="18">
        <f>'8_가정'!$C$91</f>
        <v>3600</v>
      </c>
      <c r="N16" s="18">
        <f>'8_가정'!$C$91</f>
        <v>3600</v>
      </c>
      <c r="O16" s="48">
        <f>'8_가정'!$C$91</f>
        <v>3600</v>
      </c>
      <c r="P16" s="18">
        <f>'8_가정'!$D$91</f>
        <v>4600</v>
      </c>
      <c r="Q16" s="18">
        <f>'8_가정'!$D$91</f>
        <v>4600</v>
      </c>
      <c r="R16" s="18">
        <f>'8_가정'!$D$91</f>
        <v>4600</v>
      </c>
      <c r="S16" s="18">
        <f>'8_가정'!$D$91</f>
        <v>4600</v>
      </c>
      <c r="T16" s="18">
        <f>'8_가정'!$D$91</f>
        <v>4600</v>
      </c>
      <c r="U16" s="18">
        <f>'8_가정'!$D$91</f>
        <v>4600</v>
      </c>
      <c r="V16" s="18">
        <f>'8_가정'!$D$91</f>
        <v>4600</v>
      </c>
      <c r="W16" s="18">
        <f>'8_가정'!$D$91</f>
        <v>4600</v>
      </c>
      <c r="X16" s="18">
        <f>'8_가정'!$D$91</f>
        <v>4600</v>
      </c>
      <c r="Y16" s="18">
        <f>'8_가정'!$D$91</f>
        <v>4600</v>
      </c>
      <c r="Z16" s="18">
        <f>'8_가정'!$D$91</f>
        <v>4600</v>
      </c>
      <c r="AA16" s="18">
        <f>'8_가정'!$D$91</f>
        <v>4600</v>
      </c>
      <c r="AB16" s="48">
        <f>'8_가정'!$D$91</f>
        <v>4600</v>
      </c>
      <c r="AC16" s="24">
        <f>'8_가정'!$E$91</f>
        <v>5000</v>
      </c>
      <c r="AD16" s="24">
        <f>'8_가정'!$F$91</f>
        <v>5400</v>
      </c>
      <c r="AE16" s="24">
        <f>'8_가정'!$G$91</f>
        <v>5700</v>
      </c>
    </row>
    <row r="18">
      <c r="A18" s="3" t="inlineStr">
        <is>
          <t>C. 판매비와관리비</t>
        </is>
      </c>
    </row>
    <row r="19">
      <c r="A19" s="15" t="inlineStr">
        <is>
          <t>급여</t>
        </is>
      </c>
      <c r="B19" s="7" t="inlineStr">
        <is>
          <t>인원 × 월급여</t>
        </is>
      </c>
      <c r="C19" s="43">
        <f>C15*C16</f>
        <v>25200</v>
      </c>
      <c r="D19" s="43">
        <f>D15*D16</f>
        <v>25200</v>
      </c>
      <c r="E19" s="43">
        <f>E15*E16</f>
        <v>25200</v>
      </c>
      <c r="F19" s="43">
        <f>F15*F16</f>
        <v>25200</v>
      </c>
      <c r="G19" s="43">
        <f>G15*G16</f>
        <v>25200</v>
      </c>
      <c r="H19" s="43">
        <f>H15*H16</f>
        <v>25200</v>
      </c>
      <c r="I19" s="43">
        <f>I15*I16</f>
        <v>25200</v>
      </c>
      <c r="J19" s="43">
        <f>J15*J16</f>
        <v>25200</v>
      </c>
      <c r="K19" s="43">
        <f>K15*K16</f>
        <v>25200</v>
      </c>
      <c r="L19" s="43">
        <f>L15*L16</f>
        <v>28800</v>
      </c>
      <c r="M19" s="43">
        <f>M15*M16</f>
        <v>28800</v>
      </c>
      <c r="N19" s="43">
        <f>N15*N16</f>
        <v>32400</v>
      </c>
      <c r="O19" s="23">
        <f>SUM(C19:N19)</f>
        <v>316800</v>
      </c>
      <c r="P19" s="43">
        <f>P15*P16</f>
        <v>46000</v>
      </c>
      <c r="Q19" s="43">
        <f>Q15*Q16</f>
        <v>50600</v>
      </c>
      <c r="R19" s="43">
        <f>R15*R16</f>
        <v>55200</v>
      </c>
      <c r="S19" s="43">
        <f>S15*S16</f>
        <v>59800</v>
      </c>
      <c r="T19" s="43">
        <f>T15*T16</f>
        <v>64400</v>
      </c>
      <c r="U19" s="43">
        <f>U15*U16</f>
        <v>69000</v>
      </c>
      <c r="V19" s="43">
        <f>V15*V16</f>
        <v>73600</v>
      </c>
      <c r="W19" s="43">
        <f>W15*W16</f>
        <v>78200</v>
      </c>
      <c r="X19" s="43">
        <f>X15*X16</f>
        <v>82800</v>
      </c>
      <c r="Y19" s="43">
        <f>Y15*Y16</f>
        <v>87400</v>
      </c>
      <c r="Z19" s="43">
        <f>Z15*Z16</f>
        <v>92000</v>
      </c>
      <c r="AA19" s="43">
        <f>AA15*AA16</f>
        <v>101200</v>
      </c>
      <c r="AB19" s="23">
        <f>SUM(P19:AA19)</f>
        <v>860200</v>
      </c>
      <c r="AC19" s="45">
        <f>AC15*AC16*12</f>
        <v>3210000</v>
      </c>
      <c r="AD19" s="45">
        <f>AD15*AD16*12</f>
        <v>6966000</v>
      </c>
      <c r="AE19" s="45">
        <f>AE15*AE16*12</f>
        <v>13338000</v>
      </c>
      <c r="AF19" s="25">
        <f>O19+AB19+AC19+AD19+AE19</f>
        <v>24691000</v>
      </c>
    </row>
    <row r="20">
      <c r="A20" s="15" t="inlineStr">
        <is>
          <t>퇴직급여·4대보험·복리후생</t>
        </is>
      </c>
      <c r="B20" s="7" t="inlineStr">
        <is>
          <t>급여 × 비율</t>
        </is>
      </c>
      <c r="C20" s="18">
        <f>C19*'8_가정'!$C$92</f>
        <v>5544</v>
      </c>
      <c r="D20" s="18">
        <f>D19*'8_가정'!$C$92</f>
        <v>5544</v>
      </c>
      <c r="E20" s="18">
        <f>E19*'8_가정'!$C$92</f>
        <v>5544</v>
      </c>
      <c r="F20" s="18">
        <f>F19*'8_가정'!$C$92</f>
        <v>5544</v>
      </c>
      <c r="G20" s="18">
        <f>G19*'8_가정'!$C$92</f>
        <v>5544</v>
      </c>
      <c r="H20" s="18">
        <f>H19*'8_가정'!$C$92</f>
        <v>5544</v>
      </c>
      <c r="I20" s="18">
        <f>I19*'8_가정'!$C$92</f>
        <v>5544</v>
      </c>
      <c r="J20" s="18">
        <f>J19*'8_가정'!$C$92</f>
        <v>5544</v>
      </c>
      <c r="K20" s="18">
        <f>K19*'8_가정'!$C$92</f>
        <v>5544</v>
      </c>
      <c r="L20" s="18">
        <f>L19*'8_가정'!$C$92</f>
        <v>6336</v>
      </c>
      <c r="M20" s="18">
        <f>M19*'8_가정'!$C$92</f>
        <v>6336</v>
      </c>
      <c r="N20" s="18">
        <f>N19*'8_가정'!$C$92</f>
        <v>7128</v>
      </c>
      <c r="O20" s="23">
        <f>SUM(C20:N20)</f>
        <v>69696</v>
      </c>
      <c r="P20" s="18">
        <f>P19*'8_가정'!$C$92</f>
        <v>10120</v>
      </c>
      <c r="Q20" s="18">
        <f>Q19*'8_가정'!$C$92</f>
        <v>11132</v>
      </c>
      <c r="R20" s="18">
        <f>R19*'8_가정'!$C$92</f>
        <v>12144</v>
      </c>
      <c r="S20" s="18">
        <f>S19*'8_가정'!$C$92</f>
        <v>13156</v>
      </c>
      <c r="T20" s="18">
        <f>T19*'8_가정'!$C$92</f>
        <v>14168</v>
      </c>
      <c r="U20" s="18">
        <f>U19*'8_가정'!$C$92</f>
        <v>15180</v>
      </c>
      <c r="V20" s="18">
        <f>V19*'8_가정'!$C$92</f>
        <v>16192</v>
      </c>
      <c r="W20" s="18">
        <f>W19*'8_가정'!$C$92</f>
        <v>17204</v>
      </c>
      <c r="X20" s="18">
        <f>X19*'8_가정'!$C$92</f>
        <v>18216</v>
      </c>
      <c r="Y20" s="18">
        <f>Y19*'8_가정'!$C$92</f>
        <v>19228</v>
      </c>
      <c r="Z20" s="18">
        <f>Z19*'8_가정'!$C$92</f>
        <v>20240</v>
      </c>
      <c r="AA20" s="18">
        <f>AA19*'8_가정'!$C$92</f>
        <v>22264</v>
      </c>
      <c r="AB20" s="23">
        <f>SUM(P20:AA20)</f>
        <v>189244</v>
      </c>
      <c r="AC20" s="24">
        <f>AC19*'8_가정'!$C$92</f>
        <v>706200</v>
      </c>
      <c r="AD20" s="24">
        <f>AD19*'8_가정'!$C$92</f>
        <v>1532520</v>
      </c>
      <c r="AE20" s="24">
        <f>AE19*'8_가정'!$C$92</f>
        <v>2934360</v>
      </c>
      <c r="AF20" s="25">
        <f>O20+AB20+AC20+AD20+AE20</f>
        <v>5432020</v>
      </c>
    </row>
    <row r="21">
      <c r="A21" s="15" t="inlineStr">
        <is>
          <t>광고선전·마케팅비</t>
        </is>
      </c>
      <c r="B21" s="7" t="inlineStr">
        <is>
          <t>매출 %</t>
        </is>
      </c>
      <c r="C21" s="18">
        <f>C8*'8_가정'!$C$93</f>
        <v>1011.68417406511</v>
      </c>
      <c r="D21" s="18">
        <f>D8*'8_가정'!$C$93</f>
        <v>1037.10790287867</v>
      </c>
      <c r="E21" s="18">
        <f>E8*'8_가정'!$C$93</f>
        <v>1062.53163169222</v>
      </c>
      <c r="F21" s="18">
        <f>F8*'8_가정'!$C$93</f>
        <v>1087.95536050578</v>
      </c>
      <c r="G21" s="18">
        <f>G8*'8_가정'!$C$93</f>
        <v>1113.37908931934</v>
      </c>
      <c r="H21" s="18">
        <f>H8*'8_가정'!$C$93</f>
        <v>1138.8028181329</v>
      </c>
      <c r="I21" s="18">
        <f>I8*'8_가정'!$C$93</f>
        <v>1420.89321361313</v>
      </c>
      <c r="J21" s="18">
        <f>J8*'8_가정'!$C$93</f>
        <v>1552.98360909335</v>
      </c>
      <c r="K21" s="18">
        <f>K8*'8_가정'!$C$93</f>
        <v>1685.07400457358</v>
      </c>
      <c r="L21" s="18">
        <f>L8*'8_가정'!$C$93</f>
        <v>1886.60884449825</v>
      </c>
      <c r="M21" s="18">
        <f>M8*'8_가정'!$C$93</f>
        <v>2207.24368442292</v>
      </c>
      <c r="N21" s="18">
        <f>N8*'8_가정'!$C$93</f>
        <v>2795.73566720473</v>
      </c>
      <c r="O21" s="23">
        <f>SUM(C21:N21)</f>
        <v>18000</v>
      </c>
      <c r="P21" s="18">
        <f>P8*'8_가정'!$D$93</f>
        <v>7150.15367455834</v>
      </c>
      <c r="Q21" s="18">
        <f>Q8*'8_가정'!$D$93</f>
        <v>9923.59701187443</v>
      </c>
      <c r="R21" s="18">
        <f>R8*'8_가정'!$D$93</f>
        <v>12697.0403491905</v>
      </c>
      <c r="S21" s="18">
        <f>S8*'8_가정'!$D$93</f>
        <v>15428.1108051507</v>
      </c>
      <c r="T21" s="18">
        <f>T8*'8_가정'!$D$93</f>
        <v>18159.1812611108</v>
      </c>
      <c r="U21" s="18">
        <f>U8*'8_가정'!$D$93</f>
        <v>22390.251717071</v>
      </c>
      <c r="V21" s="18">
        <f>V8*'8_가정'!$D$93</f>
        <v>24943.5443952534</v>
      </c>
      <c r="W21" s="18">
        <f>W8*'8_가정'!$D$93</f>
        <v>27237.0331518672</v>
      </c>
      <c r="X21" s="18">
        <f>X8*'8_가정'!$D$93</f>
        <v>28030.5219084809</v>
      </c>
      <c r="Y21" s="18">
        <f>Y8*'8_가정'!$D$93</f>
        <v>28030.5219084809</v>
      </c>
      <c r="Z21" s="18">
        <f>Z8*'8_가정'!$D$93</f>
        <v>28030.5219084809</v>
      </c>
      <c r="AA21" s="18">
        <f>AA8*'8_가정'!$D$93</f>
        <v>28030.5219084809</v>
      </c>
      <c r="AB21" s="23">
        <f>SUM(P21:AA21)</f>
        <v>250051</v>
      </c>
      <c r="AC21" s="24">
        <f>AC8*'8_가정'!$E$93</f>
        <v>924000</v>
      </c>
      <c r="AD21" s="24">
        <f>AD8*'8_가정'!$F$93</f>
        <v>1820000</v>
      </c>
      <c r="AE21" s="24">
        <f>AE8*'8_가정'!$G$93</f>
        <v>4680000</v>
      </c>
      <c r="AF21" s="25">
        <f>O21+AB21+AC21+AD21+AE21</f>
        <v>7692051</v>
      </c>
    </row>
    <row r="22">
      <c r="A22" s="15" t="inlineStr">
        <is>
          <t>지급수수료</t>
        </is>
      </c>
      <c r="B22" s="7" t="inlineStr">
        <is>
          <t>매출 %</t>
        </is>
      </c>
      <c r="C22" s="18">
        <f>C8*'8_가정'!$C$94</f>
        <v>809.347339252085</v>
      </c>
      <c r="D22" s="18">
        <f>D8*'8_가정'!$C$94</f>
        <v>829.686322302932</v>
      </c>
      <c r="E22" s="18">
        <f>E8*'8_가정'!$C$94</f>
        <v>850.02530535378</v>
      </c>
      <c r="F22" s="18">
        <f>F8*'8_가정'!$C$94</f>
        <v>870.364288404627</v>
      </c>
      <c r="G22" s="18">
        <f>G8*'8_가정'!$C$94</f>
        <v>890.703271455475</v>
      </c>
      <c r="H22" s="18">
        <f>H8*'8_가정'!$C$94</f>
        <v>911.042254506322</v>
      </c>
      <c r="I22" s="18">
        <f>I8*'8_가정'!$C$94</f>
        <v>1136.7145708905</v>
      </c>
      <c r="J22" s="18">
        <f>J8*'8_가정'!$C$94</f>
        <v>1242.38688727468</v>
      </c>
      <c r="K22" s="18">
        <f>K8*'8_가정'!$C$94</f>
        <v>1348.05920365886</v>
      </c>
      <c r="L22" s="18">
        <f>L8*'8_가정'!$C$94</f>
        <v>1509.2870755986</v>
      </c>
      <c r="M22" s="18">
        <f>M8*'8_가정'!$C$94</f>
        <v>1765.79494753834</v>
      </c>
      <c r="N22" s="18">
        <f>N8*'8_가정'!$C$94</f>
        <v>2236.58853376379</v>
      </c>
      <c r="O22" s="23">
        <f>SUM(C22:N22)</f>
        <v>14400</v>
      </c>
      <c r="P22" s="18">
        <f>P8*'8_가정'!$D$94</f>
        <v>5720.12293964667</v>
      </c>
      <c r="Q22" s="18">
        <f>Q8*'8_가정'!$D$94</f>
        <v>7938.87760949954</v>
      </c>
      <c r="R22" s="18">
        <f>R8*'8_가정'!$D$94</f>
        <v>10157.6322793524</v>
      </c>
      <c r="S22" s="18">
        <f>S8*'8_가정'!$D$94</f>
        <v>12342.4886441205</v>
      </c>
      <c r="T22" s="18">
        <f>T8*'8_가정'!$D$94</f>
        <v>14527.3450088887</v>
      </c>
      <c r="U22" s="18">
        <f>U8*'8_가정'!$D$94</f>
        <v>17912.2013736568</v>
      </c>
      <c r="V22" s="18">
        <f>V8*'8_가정'!$D$94</f>
        <v>19954.8355162027</v>
      </c>
      <c r="W22" s="18">
        <f>W8*'8_가정'!$D$94</f>
        <v>21789.6265214937</v>
      </c>
      <c r="X22" s="18">
        <f>X8*'8_가정'!$D$94</f>
        <v>22424.4175267847</v>
      </c>
      <c r="Y22" s="18">
        <f>Y8*'8_가정'!$D$94</f>
        <v>22424.4175267847</v>
      </c>
      <c r="Z22" s="18">
        <f>Z8*'8_가정'!$D$94</f>
        <v>22424.4175267847</v>
      </c>
      <c r="AA22" s="18">
        <f>AA8*'8_가정'!$D$94</f>
        <v>22424.4175267847</v>
      </c>
      <c r="AB22" s="23">
        <f>SUM(P22:AA22)</f>
        <v>200040.8</v>
      </c>
      <c r="AC22" s="24">
        <f>AC8*'8_가정'!$E$94</f>
        <v>726000</v>
      </c>
      <c r="AD22" s="24">
        <f>AD8*'8_가정'!$F$94</f>
        <v>1540000</v>
      </c>
      <c r="AE22" s="24">
        <f>AE8*'8_가정'!$G$94</f>
        <v>3432000</v>
      </c>
      <c r="AF22" s="25">
        <f>O22+AB22+AC22+AD22+AE22</f>
        <v>5912440.8</v>
      </c>
    </row>
    <row r="23">
      <c r="A23" s="15" t="inlineStr">
        <is>
          <t>판매물류·CS비</t>
        </is>
      </c>
      <c r="B23" s="7" t="inlineStr">
        <is>
          <t>매출 %</t>
        </is>
      </c>
      <c r="C23" s="18">
        <f>C8*'8_가정'!$C$95</f>
        <v>1686.14029010851</v>
      </c>
      <c r="D23" s="18">
        <f>D8*'8_가정'!$C$95</f>
        <v>1728.51317146444</v>
      </c>
      <c r="E23" s="18">
        <f>E8*'8_가정'!$C$95</f>
        <v>1770.88605282037</v>
      </c>
      <c r="F23" s="18">
        <f>F8*'8_가정'!$C$95</f>
        <v>1813.25893417631</v>
      </c>
      <c r="G23" s="18">
        <f>G8*'8_가정'!$C$95</f>
        <v>1855.63181553224</v>
      </c>
      <c r="H23" s="18">
        <f>H8*'8_가정'!$C$95</f>
        <v>1898.00469688817</v>
      </c>
      <c r="I23" s="18">
        <f>I8*'8_가정'!$C$95</f>
        <v>2368.15535602188</v>
      </c>
      <c r="J23" s="18">
        <f>J8*'8_가정'!$C$95</f>
        <v>2588.30601515559</v>
      </c>
      <c r="K23" s="18">
        <f>K8*'8_가정'!$C$95</f>
        <v>2808.4566742893</v>
      </c>
      <c r="L23" s="18">
        <f>L8*'8_가정'!$C$95</f>
        <v>3144.34807416375</v>
      </c>
      <c r="M23" s="18">
        <f>M8*'8_가정'!$C$95</f>
        <v>3678.7394740382</v>
      </c>
      <c r="N23" s="18">
        <f>N8*'8_가정'!$C$95</f>
        <v>4659.55944534123</v>
      </c>
      <c r="O23" s="23">
        <f>SUM(C23:N23)</f>
        <v>30000</v>
      </c>
      <c r="P23" s="18">
        <f>P8*'8_가정'!$D$95</f>
        <v>10010.2151443817</v>
      </c>
      <c r="Q23" s="18">
        <f>Q8*'8_가정'!$D$95</f>
        <v>13893.0358166242</v>
      </c>
      <c r="R23" s="18">
        <f>R8*'8_가정'!$D$95</f>
        <v>17775.8564888667</v>
      </c>
      <c r="S23" s="18">
        <f>S8*'8_가정'!$D$95</f>
        <v>21599.355127211</v>
      </c>
      <c r="T23" s="18">
        <f>T8*'8_가정'!$D$95</f>
        <v>25422.8537655552</v>
      </c>
      <c r="U23" s="18">
        <f>U8*'8_가정'!$D$95</f>
        <v>31346.3524038994</v>
      </c>
      <c r="V23" s="18">
        <f>V8*'8_가정'!$D$95</f>
        <v>34920.9621533548</v>
      </c>
      <c r="W23" s="18">
        <f>W8*'8_가정'!$D$95</f>
        <v>38131.846412614</v>
      </c>
      <c r="X23" s="18">
        <f>X8*'8_가정'!$D$95</f>
        <v>39242.7306718733</v>
      </c>
      <c r="Y23" s="18">
        <f>Y8*'8_가정'!$D$95</f>
        <v>39242.7306718733</v>
      </c>
      <c r="Z23" s="18">
        <f>Z8*'8_가정'!$D$95</f>
        <v>39242.7306718733</v>
      </c>
      <c r="AA23" s="18">
        <f>AA8*'8_가정'!$D$95</f>
        <v>39242.7306718733</v>
      </c>
      <c r="AB23" s="23">
        <f>SUM(P23:AA23)</f>
        <v>350071.4</v>
      </c>
      <c r="AC23" s="24">
        <f>AC8*'8_가정'!$E$95</f>
        <v>1155000</v>
      </c>
      <c r="AD23" s="24">
        <f>AD8*'8_가정'!$F$95</f>
        <v>2240000</v>
      </c>
      <c r="AE23" s="24">
        <f>AE8*'8_가정'!$G$95</f>
        <v>5460000</v>
      </c>
      <c r="AF23" s="25">
        <f>O23+AB23+AC23+AD23+AE23</f>
        <v>9235071.4</v>
      </c>
    </row>
    <row r="24">
      <c r="A24" s="15" t="inlineStr">
        <is>
          <t>연구개발비(경상)</t>
        </is>
      </c>
      <c r="B24" s="7" t="inlineStr">
        <is>
          <t>매출 %</t>
        </is>
      </c>
      <c r="C24" s="18">
        <f>C8*'8_가정'!$C$96</f>
        <v>2360.59640615191</v>
      </c>
      <c r="D24" s="18">
        <f>D8*'8_가정'!$C$96</f>
        <v>2419.91844005022</v>
      </c>
      <c r="E24" s="18">
        <f>E8*'8_가정'!$C$96</f>
        <v>2479.24047394852</v>
      </c>
      <c r="F24" s="18">
        <f>F8*'8_가정'!$C$96</f>
        <v>2538.56250784683</v>
      </c>
      <c r="G24" s="18">
        <f>G8*'8_가정'!$C$96</f>
        <v>2597.88454174514</v>
      </c>
      <c r="H24" s="18">
        <f>H8*'8_가정'!$C$96</f>
        <v>2657.20657564344</v>
      </c>
      <c r="I24" s="18">
        <f>I8*'8_가정'!$C$96</f>
        <v>3315.41749843063</v>
      </c>
      <c r="J24" s="18">
        <f>J8*'8_가정'!$C$96</f>
        <v>3623.62842121783</v>
      </c>
      <c r="K24" s="18">
        <f>K8*'8_가정'!$C$96</f>
        <v>3931.83934400502</v>
      </c>
      <c r="L24" s="18">
        <f>L8*'8_가정'!$C$96</f>
        <v>4402.08730382925</v>
      </c>
      <c r="M24" s="18">
        <f>M8*'8_가정'!$C$96</f>
        <v>5150.23526365348</v>
      </c>
      <c r="N24" s="18">
        <f>N8*'8_가정'!$C$96</f>
        <v>6523.38322347772</v>
      </c>
      <c r="O24" s="23">
        <f>SUM(C24:N24)</f>
        <v>42000</v>
      </c>
      <c r="P24" s="18">
        <f>P8*'8_가정'!$D$96</f>
        <v>10010.2151443817</v>
      </c>
      <c r="Q24" s="18">
        <f>Q8*'8_가정'!$D$96</f>
        <v>13893.0358166242</v>
      </c>
      <c r="R24" s="18">
        <f>R8*'8_가정'!$D$96</f>
        <v>17775.8564888667</v>
      </c>
      <c r="S24" s="18">
        <f>S8*'8_가정'!$D$96</f>
        <v>21599.355127211</v>
      </c>
      <c r="T24" s="18">
        <f>T8*'8_가정'!$D$96</f>
        <v>25422.8537655552</v>
      </c>
      <c r="U24" s="18">
        <f>U8*'8_가정'!$D$96</f>
        <v>31346.3524038994</v>
      </c>
      <c r="V24" s="18">
        <f>V8*'8_가정'!$D$96</f>
        <v>34920.9621533548</v>
      </c>
      <c r="W24" s="18">
        <f>W8*'8_가정'!$D$96</f>
        <v>38131.846412614</v>
      </c>
      <c r="X24" s="18">
        <f>X8*'8_가정'!$D$96</f>
        <v>39242.7306718733</v>
      </c>
      <c r="Y24" s="18">
        <f>Y8*'8_가정'!$D$96</f>
        <v>39242.7306718733</v>
      </c>
      <c r="Z24" s="18">
        <f>Z8*'8_가정'!$D$96</f>
        <v>39242.7306718733</v>
      </c>
      <c r="AA24" s="18">
        <f>AA8*'8_가정'!$D$96</f>
        <v>39242.7306718733</v>
      </c>
      <c r="AB24" s="23">
        <f>SUM(P24:AA24)</f>
        <v>350071.4</v>
      </c>
      <c r="AC24" s="24">
        <f>AC8*'8_가정'!$E$96</f>
        <v>1056000</v>
      </c>
      <c r="AD24" s="24">
        <f>AD8*'8_가정'!$F$96</f>
        <v>2030000</v>
      </c>
      <c r="AE24" s="24">
        <f>AE8*'8_가정'!$G$96</f>
        <v>4836000</v>
      </c>
      <c r="AF24" s="25">
        <f>O24+AB24+AC24+AD24+AE24</f>
        <v>8314071.4</v>
      </c>
    </row>
    <row r="25">
      <c r="A25" s="15" t="inlineStr">
        <is>
          <t>임차·운영비</t>
        </is>
      </c>
      <c r="B25" s="7" t="inlineStr">
        <is>
          <t>고정(연/12)</t>
        </is>
      </c>
      <c r="C25" s="18">
        <f>'8_가정'!$C$99/12</f>
        <v>3000</v>
      </c>
      <c r="D25" s="18">
        <f>'8_가정'!$C$99/12</f>
        <v>3000</v>
      </c>
      <c r="E25" s="18">
        <f>'8_가정'!$C$99/12</f>
        <v>3000</v>
      </c>
      <c r="F25" s="18">
        <f>'8_가정'!$C$99/12</f>
        <v>3000</v>
      </c>
      <c r="G25" s="18">
        <f>'8_가정'!$C$99/12</f>
        <v>3000</v>
      </c>
      <c r="H25" s="18">
        <f>'8_가정'!$C$99/12</f>
        <v>3000</v>
      </c>
      <c r="I25" s="18">
        <f>'8_가정'!$C$99/12</f>
        <v>3000</v>
      </c>
      <c r="J25" s="18">
        <f>'8_가정'!$C$99/12</f>
        <v>3000</v>
      </c>
      <c r="K25" s="18">
        <f>'8_가정'!$C$99/12</f>
        <v>3000</v>
      </c>
      <c r="L25" s="18">
        <f>'8_가정'!$C$99/12</f>
        <v>3000</v>
      </c>
      <c r="M25" s="18">
        <f>'8_가정'!$C$99/12</f>
        <v>3000</v>
      </c>
      <c r="N25" s="18">
        <f>'8_가정'!$C$99/12</f>
        <v>3000</v>
      </c>
      <c r="O25" s="23">
        <f>SUM(C25:N25)</f>
        <v>36000</v>
      </c>
      <c r="P25" s="18">
        <f>'8_가정'!$D$99/12</f>
        <v>12000</v>
      </c>
      <c r="Q25" s="18">
        <f>'8_가정'!$D$99/12</f>
        <v>12000</v>
      </c>
      <c r="R25" s="18">
        <f>'8_가정'!$D$99/12</f>
        <v>12000</v>
      </c>
      <c r="S25" s="18">
        <f>'8_가정'!$D$99/12</f>
        <v>12000</v>
      </c>
      <c r="T25" s="18">
        <f>'8_가정'!$D$99/12</f>
        <v>12000</v>
      </c>
      <c r="U25" s="18">
        <f>'8_가정'!$D$99/12</f>
        <v>12000</v>
      </c>
      <c r="V25" s="18">
        <f>'8_가정'!$D$99/12</f>
        <v>12000</v>
      </c>
      <c r="W25" s="18">
        <f>'8_가정'!$D$99/12</f>
        <v>12000</v>
      </c>
      <c r="X25" s="18">
        <f>'8_가정'!$D$99/12</f>
        <v>12000</v>
      </c>
      <c r="Y25" s="18">
        <f>'8_가정'!$D$99/12</f>
        <v>12000</v>
      </c>
      <c r="Z25" s="18">
        <f>'8_가정'!$D$99/12</f>
        <v>12000</v>
      </c>
      <c r="AA25" s="18">
        <f>'8_가정'!$D$99/12</f>
        <v>12000</v>
      </c>
      <c r="AB25" s="23">
        <f>SUM(P25:AA25)</f>
        <v>144000</v>
      </c>
      <c r="AC25" s="24">
        <f>'8_가정'!$E$99</f>
        <v>300000</v>
      </c>
      <c r="AD25" s="24">
        <f>'8_가정'!$F$99</f>
        <v>600000</v>
      </c>
      <c r="AE25" s="24">
        <f>'8_가정'!$G$99</f>
        <v>1000000</v>
      </c>
      <c r="AF25" s="25">
        <f>O25+AB25+AC25+AD25+AE25</f>
        <v>2080000</v>
      </c>
    </row>
    <row r="26">
      <c r="A26" s="15" t="inlineStr">
        <is>
          <t>해외영업·출장비</t>
        </is>
      </c>
      <c r="B26" s="7" t="inlineStr">
        <is>
          <t>고정(연/12)</t>
        </is>
      </c>
      <c r="C26" s="18">
        <f>'8_가정'!$C$100/12</f>
        <v>5000</v>
      </c>
      <c r="D26" s="18">
        <f>'8_가정'!$C$100/12</f>
        <v>5000</v>
      </c>
      <c r="E26" s="18">
        <f>'8_가정'!$C$100/12</f>
        <v>5000</v>
      </c>
      <c r="F26" s="18">
        <f>'8_가정'!$C$100/12</f>
        <v>5000</v>
      </c>
      <c r="G26" s="18">
        <f>'8_가정'!$C$100/12</f>
        <v>5000</v>
      </c>
      <c r="H26" s="18">
        <f>'8_가정'!$C$100/12</f>
        <v>5000</v>
      </c>
      <c r="I26" s="18">
        <f>'8_가정'!$C$100/12</f>
        <v>5000</v>
      </c>
      <c r="J26" s="18">
        <f>'8_가정'!$C$100/12</f>
        <v>5000</v>
      </c>
      <c r="K26" s="18">
        <f>'8_가정'!$C$100/12</f>
        <v>5000</v>
      </c>
      <c r="L26" s="18">
        <f>'8_가정'!$C$100/12</f>
        <v>5000</v>
      </c>
      <c r="M26" s="18">
        <f>'8_가정'!$C$100/12</f>
        <v>5000</v>
      </c>
      <c r="N26" s="18">
        <f>'8_가정'!$C$100/12</f>
        <v>5000</v>
      </c>
      <c r="O26" s="23">
        <f>SUM(C26:N26)</f>
        <v>60000</v>
      </c>
      <c r="P26" s="18">
        <f>'8_가정'!$D$100/12</f>
        <v>15000</v>
      </c>
      <c r="Q26" s="18">
        <f>'8_가정'!$D$100/12</f>
        <v>15000</v>
      </c>
      <c r="R26" s="18">
        <f>'8_가정'!$D$100/12</f>
        <v>15000</v>
      </c>
      <c r="S26" s="18">
        <f>'8_가정'!$D$100/12</f>
        <v>15000</v>
      </c>
      <c r="T26" s="18">
        <f>'8_가정'!$D$100/12</f>
        <v>15000</v>
      </c>
      <c r="U26" s="18">
        <f>'8_가정'!$D$100/12</f>
        <v>15000</v>
      </c>
      <c r="V26" s="18">
        <f>'8_가정'!$D$100/12</f>
        <v>15000</v>
      </c>
      <c r="W26" s="18">
        <f>'8_가정'!$D$100/12</f>
        <v>15000</v>
      </c>
      <c r="X26" s="18">
        <f>'8_가정'!$D$100/12</f>
        <v>15000</v>
      </c>
      <c r="Y26" s="18">
        <f>'8_가정'!$D$100/12</f>
        <v>15000</v>
      </c>
      <c r="Z26" s="18">
        <f>'8_가정'!$D$100/12</f>
        <v>15000</v>
      </c>
      <c r="AA26" s="18">
        <f>'8_가정'!$D$100/12</f>
        <v>15000</v>
      </c>
      <c r="AB26" s="23">
        <f>SUM(P26:AA26)</f>
        <v>180000</v>
      </c>
      <c r="AC26" s="24">
        <f>'8_가정'!$E$100</f>
        <v>400000</v>
      </c>
      <c r="AD26" s="24">
        <f>'8_가정'!$F$100</f>
        <v>800000</v>
      </c>
      <c r="AE26" s="24">
        <f>'8_가정'!$G$100</f>
        <v>1400000</v>
      </c>
      <c r="AF26" s="25">
        <f>O26+AB26+AC26+AD26+AE26</f>
        <v>2840000</v>
      </c>
    </row>
    <row r="27">
      <c r="A27" s="15" t="inlineStr">
        <is>
          <t>감가상각·무형자산상각비</t>
        </is>
      </c>
      <c r="B27" s="7" t="inlineStr">
        <is>
          <t>유형 + 개발비 상각</t>
        </is>
      </c>
      <c r="C27" s="18">
        <f>('8_가정'!$C$101+'8_가정'!$C$102)/12</f>
        <v>1500</v>
      </c>
      <c r="D27" s="18">
        <f>('8_가정'!$C$101+'8_가정'!$C$102)/12</f>
        <v>1500</v>
      </c>
      <c r="E27" s="18">
        <f>('8_가정'!$C$101+'8_가정'!$C$102)/12</f>
        <v>1500</v>
      </c>
      <c r="F27" s="18">
        <f>('8_가정'!$C$101+'8_가정'!$C$102)/12</f>
        <v>1500</v>
      </c>
      <c r="G27" s="18">
        <f>('8_가정'!$C$101+'8_가정'!$C$102)/12</f>
        <v>1500</v>
      </c>
      <c r="H27" s="18">
        <f>('8_가정'!$C$101+'8_가정'!$C$102)/12</f>
        <v>1500</v>
      </c>
      <c r="I27" s="18">
        <f>('8_가정'!$C$101+'8_가정'!$C$102)/12</f>
        <v>1500</v>
      </c>
      <c r="J27" s="18">
        <f>('8_가정'!$C$101+'8_가정'!$C$102)/12</f>
        <v>1500</v>
      </c>
      <c r="K27" s="18">
        <f>('8_가정'!$C$101+'8_가정'!$C$102)/12</f>
        <v>1500</v>
      </c>
      <c r="L27" s="18">
        <f>('8_가정'!$C$101+'8_가정'!$C$102)/12</f>
        <v>1500</v>
      </c>
      <c r="M27" s="18">
        <f>('8_가정'!$C$101+'8_가정'!$C$102)/12</f>
        <v>1500</v>
      </c>
      <c r="N27" s="18">
        <f>('8_가정'!$C$101+'8_가정'!$C$102)/12</f>
        <v>1500</v>
      </c>
      <c r="O27" s="23">
        <f>SUM(C27:N27)</f>
        <v>18000</v>
      </c>
      <c r="P27" s="18">
        <f>('8_가정'!$D$101+'8_가정'!$D$102)/12</f>
        <v>36329.4166666667</v>
      </c>
      <c r="Q27" s="18">
        <f>('8_가정'!$D$101+'8_가정'!$D$102)/12</f>
        <v>36329.4166666667</v>
      </c>
      <c r="R27" s="18">
        <f>('8_가정'!$D$101+'8_가정'!$D$102)/12</f>
        <v>36329.4166666667</v>
      </c>
      <c r="S27" s="18">
        <f>('8_가정'!$D$101+'8_가정'!$D$102)/12</f>
        <v>36329.4166666667</v>
      </c>
      <c r="T27" s="18">
        <f>('8_가정'!$D$101+'8_가정'!$D$102)/12</f>
        <v>36329.4166666667</v>
      </c>
      <c r="U27" s="18">
        <f>('8_가정'!$D$101+'8_가정'!$D$102)/12</f>
        <v>36329.4166666667</v>
      </c>
      <c r="V27" s="18">
        <f>('8_가정'!$D$101+'8_가정'!$D$102)/12</f>
        <v>36329.4166666667</v>
      </c>
      <c r="W27" s="18">
        <f>('8_가정'!$D$101+'8_가정'!$D$102)/12</f>
        <v>36329.4166666667</v>
      </c>
      <c r="X27" s="18">
        <f>('8_가정'!$D$101+'8_가정'!$D$102)/12</f>
        <v>36329.4166666667</v>
      </c>
      <c r="Y27" s="18">
        <f>('8_가정'!$D$101+'8_가정'!$D$102)/12</f>
        <v>36329.4166666667</v>
      </c>
      <c r="Z27" s="18">
        <f>('8_가정'!$D$101+'8_가정'!$D$102)/12</f>
        <v>36329.4166666667</v>
      </c>
      <c r="AA27" s="18">
        <f>('8_가정'!$D$101+'8_가정'!$D$102)/12</f>
        <v>36329.4166666667</v>
      </c>
      <c r="AB27" s="23">
        <f>SUM(P27:AA27)</f>
        <v>435953</v>
      </c>
      <c r="AC27" s="24">
        <f>('8_가정'!$E$101+'8_가정'!$E$102)</f>
        <v>485953</v>
      </c>
      <c r="AD27" s="24">
        <f>('8_가정'!$F$101+'8_가정'!$F$102)</f>
        <v>575953</v>
      </c>
      <c r="AE27" s="24">
        <f>('8_가정'!$G$101+'8_가정'!$G$102)</f>
        <v>695953</v>
      </c>
      <c r="AF27" s="25">
        <f>O27+AB27+AC27+AD27+AE27</f>
        <v>2211812</v>
      </c>
    </row>
    <row r="28">
      <c r="A28" s="15" t="inlineStr">
        <is>
          <t>대손상각비</t>
        </is>
      </c>
      <c r="B28" s="7" t="inlineStr">
        <is>
          <t>매출 %</t>
        </is>
      </c>
      <c r="C28" s="18">
        <f>C8*'8_가정'!$C$97</f>
        <v>269.782446417362</v>
      </c>
      <c r="D28" s="18">
        <f>D8*'8_가정'!$C$97</f>
        <v>276.562107434311</v>
      </c>
      <c r="E28" s="18">
        <f>E8*'8_가정'!$C$97</f>
        <v>283.34176845126</v>
      </c>
      <c r="F28" s="18">
        <f>F8*'8_가정'!$C$97</f>
        <v>290.121429468209</v>
      </c>
      <c r="G28" s="18">
        <f>G8*'8_가정'!$C$97</f>
        <v>296.901090485158</v>
      </c>
      <c r="H28" s="18">
        <f>H8*'8_가정'!$C$97</f>
        <v>303.680751502107</v>
      </c>
      <c r="I28" s="18">
        <f>I8*'8_가정'!$C$97</f>
        <v>378.904856963501</v>
      </c>
      <c r="J28" s="18">
        <f>J8*'8_가정'!$C$97</f>
        <v>414.128962424895</v>
      </c>
      <c r="K28" s="18">
        <f>K8*'8_가정'!$C$97</f>
        <v>449.353067886288</v>
      </c>
      <c r="L28" s="18">
        <f>L8*'8_가정'!$C$97</f>
        <v>503.0956918662</v>
      </c>
      <c r="M28" s="18">
        <f>M8*'8_가정'!$C$97</f>
        <v>588.598315846112</v>
      </c>
      <c r="N28" s="18">
        <f>N8*'8_가정'!$C$97</f>
        <v>745.529511254596</v>
      </c>
      <c r="O28" s="23">
        <f>SUM(C28:N28)</f>
        <v>4800</v>
      </c>
      <c r="P28" s="18">
        <f>P8*'8_가정'!$D$97</f>
        <v>1430.03073491167</v>
      </c>
      <c r="Q28" s="18">
        <f>Q8*'8_가정'!$D$97</f>
        <v>1984.71940237489</v>
      </c>
      <c r="R28" s="18">
        <f>R8*'8_가정'!$D$97</f>
        <v>2539.40806983811</v>
      </c>
      <c r="S28" s="18">
        <f>S8*'8_가정'!$D$97</f>
        <v>3085.62216103014</v>
      </c>
      <c r="T28" s="18">
        <f>T8*'8_가정'!$D$97</f>
        <v>3631.83625222217</v>
      </c>
      <c r="U28" s="18">
        <f>U8*'8_가정'!$D$97</f>
        <v>4478.0503434142</v>
      </c>
      <c r="V28" s="18">
        <f>V8*'8_가정'!$D$97</f>
        <v>4988.70887905068</v>
      </c>
      <c r="W28" s="18">
        <f>W8*'8_가정'!$D$97</f>
        <v>5447.40663037343</v>
      </c>
      <c r="X28" s="18">
        <f>X8*'8_가정'!$D$97</f>
        <v>5606.10438169618</v>
      </c>
      <c r="Y28" s="18">
        <f>Y8*'8_가정'!$D$97</f>
        <v>5606.10438169618</v>
      </c>
      <c r="Z28" s="18">
        <f>Z8*'8_가정'!$D$97</f>
        <v>5606.10438169618</v>
      </c>
      <c r="AA28" s="18">
        <f>AA8*'8_가정'!$D$97</f>
        <v>5606.10438169618</v>
      </c>
      <c r="AB28" s="23">
        <f>SUM(P28:AA28)</f>
        <v>50010.2</v>
      </c>
      <c r="AC28" s="24">
        <f>AC8*'8_가정'!$E$97</f>
        <v>165000</v>
      </c>
      <c r="AD28" s="24">
        <f>AD8*'8_가정'!$F$97</f>
        <v>350000</v>
      </c>
      <c r="AE28" s="24">
        <f>AE8*'8_가정'!$G$97</f>
        <v>780000</v>
      </c>
      <c r="AF28" s="25">
        <f>O28+AB28+AC28+AD28+AE28</f>
        <v>1349810.2</v>
      </c>
    </row>
    <row r="29">
      <c r="A29" s="15" t="inlineStr">
        <is>
          <t>기타 판관비</t>
        </is>
      </c>
      <c r="B29" s="7" t="inlineStr">
        <is>
          <t>매출 %</t>
        </is>
      </c>
      <c r="C29" s="18">
        <f>C8*'8_가정'!$C$98</f>
        <v>1686.14029010851</v>
      </c>
      <c r="D29" s="18">
        <f>D8*'8_가정'!$C$98</f>
        <v>1728.51317146444</v>
      </c>
      <c r="E29" s="18">
        <f>E8*'8_가정'!$C$98</f>
        <v>1770.88605282037</v>
      </c>
      <c r="F29" s="18">
        <f>F8*'8_가정'!$C$98</f>
        <v>1813.25893417631</v>
      </c>
      <c r="G29" s="18">
        <f>G8*'8_가정'!$C$98</f>
        <v>1855.63181553224</v>
      </c>
      <c r="H29" s="18">
        <f>H8*'8_가정'!$C$98</f>
        <v>1898.00469688817</v>
      </c>
      <c r="I29" s="18">
        <f>I8*'8_가정'!$C$98</f>
        <v>2368.15535602188</v>
      </c>
      <c r="J29" s="18">
        <f>J8*'8_가정'!$C$98</f>
        <v>2588.30601515559</v>
      </c>
      <c r="K29" s="18">
        <f>K8*'8_가정'!$C$98</f>
        <v>2808.4566742893</v>
      </c>
      <c r="L29" s="18">
        <f>L8*'8_가정'!$C$98</f>
        <v>3144.34807416375</v>
      </c>
      <c r="M29" s="18">
        <f>M8*'8_가정'!$C$98</f>
        <v>3678.7394740382</v>
      </c>
      <c r="N29" s="18">
        <f>N8*'8_가정'!$C$98</f>
        <v>4659.55944534123</v>
      </c>
      <c r="O29" s="23">
        <f>SUM(C29:N29)</f>
        <v>30000</v>
      </c>
      <c r="P29" s="18">
        <f>P8*'8_가정'!$D$98</f>
        <v>8580.18440947</v>
      </c>
      <c r="Q29" s="18">
        <f>Q8*'8_가정'!$D$98</f>
        <v>11908.3164142493</v>
      </c>
      <c r="R29" s="18">
        <f>R8*'8_가정'!$D$98</f>
        <v>15236.4484190286</v>
      </c>
      <c r="S29" s="18">
        <f>S8*'8_가정'!$D$98</f>
        <v>18513.7329661808</v>
      </c>
      <c r="T29" s="18">
        <f>T8*'8_가정'!$D$98</f>
        <v>21791.017513333</v>
      </c>
      <c r="U29" s="18">
        <f>U8*'8_가정'!$D$98</f>
        <v>26868.3020604852</v>
      </c>
      <c r="V29" s="18">
        <f>V8*'8_가정'!$D$98</f>
        <v>29932.2532743041</v>
      </c>
      <c r="W29" s="18">
        <f>W8*'8_가정'!$D$98</f>
        <v>32684.4397822406</v>
      </c>
      <c r="X29" s="18">
        <f>X8*'8_가정'!$D$98</f>
        <v>33636.6262901771</v>
      </c>
      <c r="Y29" s="18">
        <f>Y8*'8_가정'!$D$98</f>
        <v>33636.6262901771</v>
      </c>
      <c r="Z29" s="18">
        <f>Z8*'8_가정'!$D$98</f>
        <v>33636.6262901771</v>
      </c>
      <c r="AA29" s="18">
        <f>AA8*'8_가정'!$D$98</f>
        <v>33636.6262901771</v>
      </c>
      <c r="AB29" s="23">
        <f>SUM(P29:AA29)</f>
        <v>300061.2</v>
      </c>
      <c r="AC29" s="24">
        <f>AC8*'8_가정'!$E$98</f>
        <v>858000</v>
      </c>
      <c r="AD29" s="24">
        <f>AD8*'8_가정'!$F$98</f>
        <v>1540000</v>
      </c>
      <c r="AE29" s="24">
        <f>AE8*'8_가정'!$G$98</f>
        <v>3744000</v>
      </c>
      <c r="AF29" s="25">
        <f>O29+AB29+AC29+AD29+AE29</f>
        <v>6472061.2</v>
      </c>
    </row>
    <row r="30">
      <c r="A30" s="12" t="inlineStr">
        <is>
          <t>판관비 합계</t>
        </is>
      </c>
      <c r="C30" s="26">
        <f>SUM(C19:C29)</f>
        <v>48067.6909461035</v>
      </c>
      <c r="D30" s="26">
        <f>SUM(D19:D29)</f>
        <v>48264.301115595</v>
      </c>
      <c r="E30" s="26">
        <f>SUM(E19:E29)</f>
        <v>48460.9112850865</v>
      </c>
      <c r="F30" s="26">
        <f>SUM(F19:F29)</f>
        <v>48657.5214545781</v>
      </c>
      <c r="G30" s="26">
        <f>SUM(G19:G29)</f>
        <v>48854.1316240696</v>
      </c>
      <c r="H30" s="26">
        <f>SUM(H19:H29)</f>
        <v>49050.7417935611</v>
      </c>
      <c r="I30" s="26">
        <f>SUM(I19:I29)</f>
        <v>51232.2408519415</v>
      </c>
      <c r="J30" s="26">
        <f>SUM(J19:J29)</f>
        <v>52253.7399103219</v>
      </c>
      <c r="K30" s="26">
        <f>SUM(K19:K29)</f>
        <v>53275.2389687024</v>
      </c>
      <c r="L30" s="26">
        <f>SUM(L19:L29)</f>
        <v>59225.7750641198</v>
      </c>
      <c r="M30" s="26">
        <f>SUM(M19:M29)</f>
        <v>61705.3511595373</v>
      </c>
      <c r="N30" s="26">
        <f>SUM(N19:N29)</f>
        <v>70648.3558263833</v>
      </c>
      <c r="O30" s="27">
        <f>SUM(O19:O29)</f>
        <v>639696</v>
      </c>
      <c r="P30" s="26">
        <f>SUM(P19:P29)</f>
        <v>162350.338714017</v>
      </c>
      <c r="Q30" s="26">
        <f>SUM(Q19:Q29)</f>
        <v>184602.998737913</v>
      </c>
      <c r="R30" s="26">
        <f>SUM(R19:R29)</f>
        <v>206855.65876181</v>
      </c>
      <c r="S30" s="26">
        <f>SUM(S19:S29)</f>
        <v>228854.081497571</v>
      </c>
      <c r="T30" s="26">
        <f>SUM(T19:T29)</f>
        <v>250852.504233332</v>
      </c>
      <c r="U30" s="26">
        <f>SUM(U19:U29)</f>
        <v>281850.926969093</v>
      </c>
      <c r="V30" s="26">
        <f>SUM(V19:V29)</f>
        <v>302782.683038187</v>
      </c>
      <c r="W30" s="26">
        <f>SUM(W19:W29)</f>
        <v>322155.61557787</v>
      </c>
      <c r="X30" s="26">
        <f>SUM(X19:X29)</f>
        <v>332528.548117552</v>
      </c>
      <c r="Y30" s="26">
        <f>SUM(Y19:Y29)</f>
        <v>338140.548117552</v>
      </c>
      <c r="Z30" s="26">
        <f>SUM(Z19:Z29)</f>
        <v>343752.548117552</v>
      </c>
      <c r="AA30" s="26">
        <f>SUM(AA19:AA29)</f>
        <v>354976.548117552</v>
      </c>
      <c r="AB30" s="27">
        <f>SUM(AB19:AB29)</f>
        <v>3309703</v>
      </c>
      <c r="AC30" s="28">
        <f>SUM(AC19:AC29)</f>
        <v>9986153</v>
      </c>
      <c r="AD30" s="28">
        <f>SUM(AD19:AD29)</f>
        <v>19994473</v>
      </c>
      <c r="AE30" s="28">
        <f>SUM(AE19:AE29)</f>
        <v>42300313</v>
      </c>
      <c r="AF30" s="26">
        <f>SUM(AF19:AF29)</f>
        <v>76230338</v>
      </c>
    </row>
    <row r="32">
      <c r="A32" s="3" t="inlineStr">
        <is>
          <t>D. 영업외손익</t>
        </is>
      </c>
    </row>
    <row r="33">
      <c r="A33" s="15" t="inlineStr">
        <is>
          <t>정부보조금수익</t>
        </is>
      </c>
      <c r="B33" s="7" t="inlineStr">
        <is>
          <t>8_가정</t>
        </is>
      </c>
      <c r="C33" s="18">
        <f>'8_가정'!$C$108/12</f>
        <v>5416.66666666667</v>
      </c>
      <c r="D33" s="18">
        <f>'8_가정'!$C$108/12</f>
        <v>5416.66666666667</v>
      </c>
      <c r="E33" s="18">
        <f>'8_가정'!$C$108/12</f>
        <v>5416.66666666667</v>
      </c>
      <c r="F33" s="18">
        <f>'8_가정'!$C$108/12</f>
        <v>5416.66666666667</v>
      </c>
      <c r="G33" s="18">
        <f>'8_가정'!$C$108/12</f>
        <v>5416.66666666667</v>
      </c>
      <c r="H33" s="18">
        <f>'8_가정'!$C$108/12</f>
        <v>5416.66666666667</v>
      </c>
      <c r="I33" s="18">
        <f>'8_가정'!$C$108/12</f>
        <v>5416.66666666667</v>
      </c>
      <c r="J33" s="18">
        <f>'8_가정'!$C$108/12</f>
        <v>5416.66666666667</v>
      </c>
      <c r="K33" s="18">
        <f>'8_가정'!$C$108/12</f>
        <v>5416.66666666667</v>
      </c>
      <c r="L33" s="18">
        <f>'8_가정'!$C$108/12</f>
        <v>5416.66666666667</v>
      </c>
      <c r="M33" s="18">
        <f>'8_가정'!$C$108/12</f>
        <v>5416.66666666667</v>
      </c>
      <c r="N33" s="18">
        <f>'8_가정'!$C$108/12</f>
        <v>5416.66666666667</v>
      </c>
      <c r="O33" s="23">
        <f>SUM(C33:N33)</f>
        <v>65000</v>
      </c>
      <c r="P33" s="18">
        <f>'8_가정'!$D$108/12</f>
        <v>3333.33333333333</v>
      </c>
      <c r="Q33" s="18">
        <f>'8_가정'!$D$108/12</f>
        <v>3333.33333333333</v>
      </c>
      <c r="R33" s="18">
        <f>'8_가정'!$D$108/12</f>
        <v>3333.33333333333</v>
      </c>
      <c r="S33" s="18">
        <f>'8_가정'!$D$108/12</f>
        <v>3333.33333333333</v>
      </c>
      <c r="T33" s="18">
        <f>'8_가정'!$D$108/12</f>
        <v>3333.33333333333</v>
      </c>
      <c r="U33" s="18">
        <f>'8_가정'!$D$108/12</f>
        <v>3333.33333333333</v>
      </c>
      <c r="V33" s="18">
        <f>'8_가정'!$D$108/12</f>
        <v>3333.33333333333</v>
      </c>
      <c r="W33" s="18">
        <f>'8_가정'!$D$108/12</f>
        <v>3333.33333333333</v>
      </c>
      <c r="X33" s="18">
        <f>'8_가정'!$D$108/12</f>
        <v>3333.33333333333</v>
      </c>
      <c r="Y33" s="18">
        <f>'8_가정'!$D$108/12</f>
        <v>3333.33333333333</v>
      </c>
      <c r="Z33" s="18">
        <f>'8_가정'!$D$108/12</f>
        <v>3333.33333333333</v>
      </c>
      <c r="AA33" s="18">
        <f>'8_가정'!$D$108/12</f>
        <v>3333.33333333333</v>
      </c>
      <c r="AB33" s="23">
        <f>SUM(P33:AA33)</f>
        <v>40000</v>
      </c>
      <c r="AC33" s="24">
        <f>'8_가정'!$E$108</f>
        <v>30000</v>
      </c>
      <c r="AD33" s="24">
        <f>'8_가정'!$F$108</f>
        <v>0</v>
      </c>
      <c r="AE33" s="24">
        <f>'8_가정'!$G$108</f>
        <v>0</v>
      </c>
      <c r="AF33" s="25">
        <f>O33+AB33+AC33+AD33+AE33</f>
        <v>135000</v>
      </c>
    </row>
    <row r="34">
      <c r="A34" s="15" t="inlineStr">
        <is>
          <t>이자비용</t>
        </is>
      </c>
      <c r="B34" s="7" t="inlineStr">
        <is>
          <t>평균 차입금 × 이자율</t>
        </is>
      </c>
      <c r="C34" s="43">
        <f>O37/12</f>
        <v>4799.086</v>
      </c>
      <c r="D34" s="43">
        <f>O37/12</f>
        <v>4799.086</v>
      </c>
      <c r="E34" s="43">
        <f>O37/12</f>
        <v>4799.086</v>
      </c>
      <c r="F34" s="43">
        <f>O37/12</f>
        <v>4799.086</v>
      </c>
      <c r="G34" s="43">
        <f>O37/12</f>
        <v>4799.086</v>
      </c>
      <c r="H34" s="43">
        <f>O37/12</f>
        <v>4799.086</v>
      </c>
      <c r="I34" s="43">
        <f>O37/12</f>
        <v>4799.086</v>
      </c>
      <c r="J34" s="43">
        <f>O37/12</f>
        <v>4799.086</v>
      </c>
      <c r="K34" s="43">
        <f>O37/12</f>
        <v>4799.086</v>
      </c>
      <c r="L34" s="43">
        <f>O37/12</f>
        <v>4799.086</v>
      </c>
      <c r="M34" s="43">
        <f>O37/12</f>
        <v>4799.086</v>
      </c>
      <c r="N34" s="43">
        <f>O37/12</f>
        <v>4799.086</v>
      </c>
      <c r="O34" s="23">
        <f>SUM(C34:N34)</f>
        <v>57589.032</v>
      </c>
      <c r="P34" s="43">
        <f>AB37/12</f>
        <v>6400</v>
      </c>
      <c r="Q34" s="43">
        <f>AB37/12</f>
        <v>6400</v>
      </c>
      <c r="R34" s="43">
        <f>AB37/12</f>
        <v>6400</v>
      </c>
      <c r="S34" s="43">
        <f>AB37/12</f>
        <v>6400</v>
      </c>
      <c r="T34" s="43">
        <f>AB37/12</f>
        <v>6400</v>
      </c>
      <c r="U34" s="43">
        <f>AB37/12</f>
        <v>6400</v>
      </c>
      <c r="V34" s="43">
        <f>AB37/12</f>
        <v>6400</v>
      </c>
      <c r="W34" s="43">
        <f>AB37/12</f>
        <v>6400</v>
      </c>
      <c r="X34" s="43">
        <f>AB37/12</f>
        <v>6400</v>
      </c>
      <c r="Y34" s="43">
        <f>AB37/12</f>
        <v>6400</v>
      </c>
      <c r="Z34" s="43">
        <f>AB37/12</f>
        <v>6400</v>
      </c>
      <c r="AA34" s="43">
        <f>AB37/12</f>
        <v>6400</v>
      </c>
      <c r="AB34" s="23">
        <f>SUM(P34:AA34)</f>
        <v>76800</v>
      </c>
      <c r="AC34" s="45">
        <f>AC37</f>
        <v>192000</v>
      </c>
      <c r="AD34" s="45">
        <f>AD37</f>
        <v>384000</v>
      </c>
      <c r="AE34" s="45">
        <f>AE37</f>
        <v>528000</v>
      </c>
      <c r="AF34" s="25">
        <f>O34+AB34+AC34+AD34+AE34</f>
        <v>1238389.032</v>
      </c>
    </row>
    <row r="35">
      <c r="A35" s="15" t="inlineStr">
        <is>
          <t>차입금 기말 잔액(입력)</t>
        </is>
      </c>
      <c r="B35" s="7" t="inlineStr">
        <is>
          <t>파란색 입력</t>
        </is>
      </c>
      <c r="O35" s="65" t="n">
        <v>1200000</v>
      </c>
      <c r="AB35" s="65" t="n">
        <v>2000000</v>
      </c>
      <c r="AC35" s="65" t="n">
        <v>6000000</v>
      </c>
      <c r="AD35" s="65" t="n">
        <v>10000000</v>
      </c>
      <c r="AE35" s="65" t="n">
        <v>12000000</v>
      </c>
    </row>
    <row r="36">
      <c r="A36" s="15" t="inlineStr">
        <is>
          <t>평균 차입금</t>
        </is>
      </c>
      <c r="B36" s="7" t="inlineStr"/>
      <c r="O36" s="48">
        <f>AVERAGE('8_가정'!$C$106,O35)</f>
        <v>1199771.5</v>
      </c>
      <c r="AB36" s="44">
        <f>AVERAGE(O35,AB35)</f>
        <v>1600000</v>
      </c>
      <c r="AC36" s="45">
        <f>AVERAGE(AB35,AC35)</f>
        <v>4000000</v>
      </c>
      <c r="AD36" s="45">
        <f>AVERAGE(AC35,AD35)</f>
        <v>8000000</v>
      </c>
      <c r="AE36" s="45">
        <f>AVERAGE(AD35,AE35)</f>
        <v>11000000</v>
      </c>
    </row>
    <row r="37">
      <c r="A37" s="15" t="inlineStr">
        <is>
          <t>연 이자비용(산출)</t>
        </is>
      </c>
      <c r="B37" s="7" t="inlineStr"/>
      <c r="O37" s="48">
        <f>O36*'8_가정'!$C$107</f>
        <v>57589.032</v>
      </c>
      <c r="AB37" s="48">
        <f>AB36*'8_가정'!$D$107</f>
        <v>76800</v>
      </c>
      <c r="AC37" s="24">
        <f>AC36*'8_가정'!$E$107</f>
        <v>192000</v>
      </c>
      <c r="AD37" s="24">
        <f>AD36*'8_가정'!$F$107</f>
        <v>384000</v>
      </c>
      <c r="AE37" s="24">
        <f>AE36*'8_가정'!$G$107</f>
        <v>528000</v>
      </c>
    </row>
    <row r="39">
      <c r="A39" s="3" t="inlineStr">
        <is>
          <t>E. 법인세 산출(연간) 및 월 배분</t>
        </is>
      </c>
    </row>
    <row r="40">
      <c r="A40" s="15" t="inlineStr">
        <is>
          <t>법인세차감전순이익</t>
        </is>
      </c>
      <c r="O40" s="48">
        <f>'2_손익계산서'!O50</f>
        <v>-62682.1427344632</v>
      </c>
      <c r="AB40" s="48">
        <f>'2_손익계산서'!AB50</f>
        <v>624193.944</v>
      </c>
      <c r="AC40" s="24">
        <f>'2_손익계산서'!AC50</f>
        <v>2925930.16290429</v>
      </c>
      <c r="AD40" s="24">
        <f>'2_손익계산서'!AD50</f>
        <v>7546515.51401019</v>
      </c>
      <c r="AE40" s="24">
        <f>'2_손익계산서'!AE50</f>
        <v>20883992.5449323</v>
      </c>
    </row>
    <row r="41">
      <c r="A41" s="15" t="inlineStr">
        <is>
          <t>이월결손금 기초</t>
        </is>
      </c>
      <c r="O41" s="48">
        <f>'8_가정'!$C$109</f>
        <v>3032082</v>
      </c>
      <c r="AB41" s="44">
        <f>O44</f>
        <v>3094764.14273446</v>
      </c>
      <c r="AC41" s="45">
        <f>AB44</f>
        <v>2470570.19873446</v>
      </c>
      <c r="AD41" s="45">
        <f>AC44</f>
        <v>0</v>
      </c>
      <c r="AE41" s="45">
        <f>AD44</f>
        <v>0</v>
      </c>
    </row>
    <row r="42">
      <c r="A42" s="15" t="inlineStr">
        <is>
          <t>이월결손금 공제</t>
        </is>
      </c>
      <c r="O42" s="48">
        <f>MIN(O41,MAX(0,O40)*'8_가정'!$C$110)</f>
        <v>0</v>
      </c>
      <c r="AB42" s="48">
        <f>MIN(AB41,MAX(0,AB40)*'8_가정'!$C$110)</f>
        <v>624193.944</v>
      </c>
      <c r="AC42" s="24">
        <f>MIN(AC41,MAX(0,AC40)*'8_가정'!$C$110)</f>
        <v>2470570.19873446</v>
      </c>
      <c r="AD42" s="24">
        <f>MIN(AD41,MAX(0,AD40)*'8_가정'!$C$110)</f>
        <v>0</v>
      </c>
      <c r="AE42" s="24">
        <f>MIN(AE41,MAX(0,AE40)*'8_가정'!$C$110)</f>
        <v>0</v>
      </c>
    </row>
    <row r="43">
      <c r="A43" s="15" t="inlineStr">
        <is>
          <t>당기 결손 발생(가산)</t>
        </is>
      </c>
      <c r="O43" s="44">
        <f>MAX(0,-O40)</f>
        <v>62682.1427344632</v>
      </c>
      <c r="AB43" s="44">
        <f>MAX(0,-AB40)</f>
        <v>0</v>
      </c>
      <c r="AC43" s="45">
        <f>MAX(0,-AC40)</f>
        <v>0</v>
      </c>
      <c r="AD43" s="45">
        <f>MAX(0,-AD40)</f>
        <v>0</v>
      </c>
      <c r="AE43" s="45">
        <f>MAX(0,-AE40)</f>
        <v>0</v>
      </c>
    </row>
    <row r="44">
      <c r="A44" s="15" t="inlineStr">
        <is>
          <t>이월결손금 기말</t>
        </is>
      </c>
      <c r="O44" s="44">
        <f>O41-O42+O43</f>
        <v>3094764.14273446</v>
      </c>
      <c r="AB44" s="44">
        <f>AB41-AB42+AB43</f>
        <v>2470570.19873446</v>
      </c>
      <c r="AC44" s="45">
        <f>AC41-AC42+AC43</f>
        <v>0</v>
      </c>
      <c r="AD44" s="45">
        <f>AD41-AD42+AD43</f>
        <v>0</v>
      </c>
      <c r="AE44" s="45">
        <f>AE41-AE42+AE43</f>
        <v>0</v>
      </c>
    </row>
    <row r="45">
      <c r="A45" s="15" t="inlineStr">
        <is>
          <t>과세표준</t>
        </is>
      </c>
      <c r="O45" s="44">
        <f>MAX(0,O40)-O42</f>
        <v>0</v>
      </c>
      <c r="AB45" s="44">
        <f>MAX(0,AB40)-AB42</f>
        <v>0</v>
      </c>
      <c r="AC45" s="45">
        <f>MAX(0,AC40)-AC42</f>
        <v>455359.964169821</v>
      </c>
      <c r="AD45" s="45">
        <f>MAX(0,AD40)-AD42</f>
        <v>7546515.51401019</v>
      </c>
      <c r="AE45" s="45">
        <f>MAX(0,AE40)-AE42</f>
        <v>20883992.5449323</v>
      </c>
    </row>
    <row r="46">
      <c r="A46" s="15" t="inlineStr">
        <is>
          <t>산출세액(누진세율)</t>
        </is>
      </c>
      <c r="O46" s="48">
        <f>MIN(O45,'8_가정'!$C$111)*'8_가정'!$C$112+MAX(0,MIN(O45,'8_가정'!$D$111)-'8_가정'!$C$111)*'8_가정'!$D$112+MAX(0,MIN(O45,'8_가정'!$E$111)-'8_가정'!$D$111)*'8_가정'!$E$112+MAX(0,O45-'8_가정'!$E$111)*'8_가정'!$F$112</f>
        <v>0</v>
      </c>
      <c r="AB46" s="48">
        <f>MIN(AB45,'8_가정'!$C$111)*'8_가정'!$C$112+MAX(0,MIN(AB45,'8_가정'!$D$111)-'8_가정'!$C$111)*'8_가정'!$D$112+MAX(0,MIN(AB45,'8_가정'!$E$111)-'8_가정'!$D$111)*'8_가정'!$E$112+MAX(0,AB45-'8_가정'!$E$111)*'8_가정'!$F$112</f>
        <v>0</v>
      </c>
      <c r="AC46" s="24">
        <f>MIN(AC45,'8_가정'!$C$111)*'8_가정'!$C$112+MAX(0,MIN(AC45,'8_가정'!$D$111)-'8_가정'!$C$111)*'8_가정'!$D$112+MAX(0,MIN(AC45,'8_가정'!$E$111)-'8_가정'!$D$111)*'8_가정'!$E$112+MAX(0,AC45-'8_가정'!$E$111)*'8_가정'!$F$112</f>
        <v>71071.9928339643</v>
      </c>
      <c r="AD46" s="24">
        <f>MIN(AD45,'8_가정'!$C$111)*'8_가정'!$C$112+MAX(0,MIN(AD45,'8_가정'!$D$111)-'8_가정'!$C$111)*'8_가정'!$D$112+MAX(0,MIN(AD45,'8_가정'!$E$111)-'8_가정'!$D$111)*'8_가정'!$E$112+MAX(0,AD45-'8_가정'!$E$111)*'8_가정'!$F$112</f>
        <v>1489303.10280204</v>
      </c>
      <c r="AE46" s="24">
        <f>MIN(AE45,'8_가정'!$C$111)*'8_가정'!$C$112+MAX(0,MIN(AE45,'8_가정'!$D$111)-'8_가정'!$C$111)*'8_가정'!$D$112+MAX(0,MIN(AE45,'8_가정'!$E$111)-'8_가정'!$D$111)*'8_가정'!$E$112+MAX(0,AE45-'8_가정'!$E$111)*'8_가정'!$F$112</f>
        <v>4174478.35988511</v>
      </c>
    </row>
    <row r="47">
      <c r="A47" s="15" t="inlineStr">
        <is>
          <t>지방소득세</t>
        </is>
      </c>
      <c r="O47" s="48">
        <f>O46*'8_가정'!$C$113</f>
        <v>0</v>
      </c>
      <c r="AB47" s="48">
        <f>AB46*'8_가정'!$C$113</f>
        <v>0</v>
      </c>
      <c r="AC47" s="24">
        <f>AC46*'8_가정'!$C$113</f>
        <v>7107.19928339643</v>
      </c>
      <c r="AD47" s="24">
        <f>AD46*'8_가정'!$C$113</f>
        <v>148930.310280204</v>
      </c>
      <c r="AE47" s="24">
        <f>AE46*'8_가정'!$C$113</f>
        <v>417447.835988511</v>
      </c>
    </row>
    <row r="48">
      <c r="A48" s="12" t="inlineStr">
        <is>
          <t>법인세등</t>
        </is>
      </c>
      <c r="O48" s="23">
        <f>O46+O47</f>
        <v>0</v>
      </c>
      <c r="AB48" s="23">
        <f>AB46+AB47</f>
        <v>0</v>
      </c>
      <c r="AC48" s="34">
        <f>AC46+AC47</f>
        <v>78179.1921173607</v>
      </c>
      <c r="AD48" s="34">
        <f>AD46+AD47</f>
        <v>1638233.41308224</v>
      </c>
      <c r="AE48" s="34">
        <f>AE46+AE47</f>
        <v>4591926.19587363</v>
      </c>
    </row>
    <row r="49">
      <c r="A49" s="15" t="inlineStr">
        <is>
          <t>법인세등(월 배분: 매출 비중)</t>
        </is>
      </c>
      <c r="C49" s="18">
        <f>IFERROR(O48*'2_손익계산서'!C14/'2_손익계산서'!O14,0)</f>
        <v>0</v>
      </c>
      <c r="D49" s="18">
        <f>IFERROR(O48*'2_손익계산서'!D14/'2_손익계산서'!O14,0)</f>
        <v>0</v>
      </c>
      <c r="E49" s="18">
        <f>IFERROR(O48*'2_손익계산서'!E14/'2_손익계산서'!O14,0)</f>
        <v>0</v>
      </c>
      <c r="F49" s="18">
        <f>IFERROR(O48*'2_손익계산서'!F14/'2_손익계산서'!O14,0)</f>
        <v>0</v>
      </c>
      <c r="G49" s="18">
        <f>IFERROR(O48*'2_손익계산서'!G14/'2_손익계산서'!O14,0)</f>
        <v>0</v>
      </c>
      <c r="H49" s="18">
        <f>IFERROR(O48*'2_손익계산서'!H14/'2_손익계산서'!O14,0)</f>
        <v>0</v>
      </c>
      <c r="I49" s="18">
        <f>IFERROR(O48*'2_손익계산서'!I14/'2_손익계산서'!O14,0)</f>
        <v>0</v>
      </c>
      <c r="J49" s="18">
        <f>IFERROR(O48*'2_손익계산서'!J14/'2_손익계산서'!O14,0)</f>
        <v>0</v>
      </c>
      <c r="K49" s="18">
        <f>IFERROR(O48*'2_손익계산서'!K14/'2_손익계산서'!O14,0)</f>
        <v>0</v>
      </c>
      <c r="L49" s="18">
        <f>IFERROR(O48*'2_손익계산서'!L14/'2_손익계산서'!O14,0)</f>
        <v>0</v>
      </c>
      <c r="M49" s="18">
        <f>IFERROR(O48*'2_손익계산서'!M14/'2_손익계산서'!O14,0)</f>
        <v>0</v>
      </c>
      <c r="N49" s="18">
        <f>IFERROR(O48*'2_손익계산서'!N14/'2_손익계산서'!O14,0)</f>
        <v>0</v>
      </c>
      <c r="O49" s="23">
        <f>SUM(C49:N49)</f>
        <v>0</v>
      </c>
      <c r="P49" s="18">
        <f>IFERROR(AB48*'2_손익계산서'!P14/'2_손익계산서'!AB14,0)</f>
        <v>0</v>
      </c>
      <c r="Q49" s="18">
        <f>IFERROR(AB48*'2_손익계산서'!Q14/'2_손익계산서'!AB14,0)</f>
        <v>0</v>
      </c>
      <c r="R49" s="18">
        <f>IFERROR(AB48*'2_손익계산서'!R14/'2_손익계산서'!AB14,0)</f>
        <v>0</v>
      </c>
      <c r="S49" s="18">
        <f>IFERROR(AB48*'2_손익계산서'!S14/'2_손익계산서'!AB14,0)</f>
        <v>0</v>
      </c>
      <c r="T49" s="18">
        <f>IFERROR(AB48*'2_손익계산서'!T14/'2_손익계산서'!AB14,0)</f>
        <v>0</v>
      </c>
      <c r="U49" s="18">
        <f>IFERROR(AB48*'2_손익계산서'!U14/'2_손익계산서'!AB14,0)</f>
        <v>0</v>
      </c>
      <c r="V49" s="18">
        <f>IFERROR(AB48*'2_손익계산서'!V14/'2_손익계산서'!AB14,0)</f>
        <v>0</v>
      </c>
      <c r="W49" s="18">
        <f>IFERROR(AB48*'2_손익계산서'!W14/'2_손익계산서'!AB14,0)</f>
        <v>0</v>
      </c>
      <c r="X49" s="18">
        <f>IFERROR(AB48*'2_손익계산서'!X14/'2_손익계산서'!AB14,0)</f>
        <v>0</v>
      </c>
      <c r="Y49" s="18">
        <f>IFERROR(AB48*'2_손익계산서'!Y14/'2_손익계산서'!AB14,0)</f>
        <v>0</v>
      </c>
      <c r="Z49" s="18">
        <f>IFERROR(AB48*'2_손익계산서'!Z14/'2_손익계산서'!AB14,0)</f>
        <v>0</v>
      </c>
      <c r="AA49" s="18">
        <f>IFERROR(AB48*'2_손익계산서'!AA14/'2_손익계산서'!AB14,0)</f>
        <v>0</v>
      </c>
      <c r="AB49" s="23">
        <f>SUM(P49:AA49)</f>
        <v>0</v>
      </c>
      <c r="AC49" s="45">
        <f>AC48</f>
        <v>78179.1921173607</v>
      </c>
      <c r="AD49" s="45">
        <f>AD48</f>
        <v>1638233.41308224</v>
      </c>
      <c r="AE49" s="45">
        <f>AE48</f>
        <v>4591926.19587363</v>
      </c>
      <c r="AF49" s="25">
        <f>O49+AB49+AC49+AD49+AE49</f>
        <v>6308338.80107323</v>
      </c>
    </row>
    <row r="51">
      <c r="A51" s="52" t="inlineStr">
        <is>
          <t>※ 법인세는 연간 세전이익 기준으로 산출하고(이월결손금 공제 후 누진세율 + 지방소득세) 월별로는 매출 비중으로 배분합니다. 세액공제·최저한세·이연법인세는 미반영.</t>
        </is>
      </c>
    </row>
    <row r="53">
      <c r="A53" s="15" t="inlineStr">
        <is>
          <t>매출채권(매출 × 회전일수/365)</t>
        </is>
      </c>
      <c r="O53" s="48">
        <f>O8*'8_가정'!$C$114/365</f>
        <v>197260.273972603</v>
      </c>
      <c r="AB53" s="48">
        <f>AB8*'8_가정'!$C$114/365</f>
        <v>1644170.95890411</v>
      </c>
      <c r="AC53" s="24">
        <f>AC8*'8_가정'!$C$114/365</f>
        <v>5424657.53424658</v>
      </c>
      <c r="AD53" s="24">
        <f>AD8*'8_가정'!$C$114/365</f>
        <v>11506849.3150685</v>
      </c>
      <c r="AE53" s="24">
        <f>AE8*'8_가정'!$C$114/365</f>
        <v>25643835.6164384</v>
      </c>
    </row>
    <row r="54">
      <c r="A54" s="15" t="inlineStr">
        <is>
          <t>재고자산(매출원가 × 회전일수/365)</t>
        </is>
      </c>
      <c r="O54" s="48">
        <f>'2_손익계산서'!O25*'8_가정'!$C$115/365</f>
        <v>103626.922312515</v>
      </c>
      <c r="AB54" s="48">
        <f>'2_손익계산서'!AB25*'8_가정'!$C$115/365</f>
        <v>991453.653041096</v>
      </c>
      <c r="AC54" s="24">
        <f>'2_손익계산서'!AC25*'8_가정'!$C$115/365</f>
        <v>3275493.17870067</v>
      </c>
      <c r="AD54" s="24">
        <f>'2_손익계산서'!AD25*'8_가정'!$C$115/365</f>
        <v>6916440.2442723</v>
      </c>
      <c r="AE54" s="24">
        <f>'2_손익계산서'!AE25*'8_가정'!$C$115/365</f>
        <v>15170579.9104221</v>
      </c>
    </row>
    <row r="55">
      <c r="A55" s="15" t="inlineStr">
        <is>
          <t>매입채무(매출원가 × 회전일수/365)</t>
        </is>
      </c>
      <c r="O55" s="48">
        <f>'2_손익계산서'!O25*'8_가정'!$C$116/365</f>
        <v>77720.1917343859</v>
      </c>
      <c r="AB55" s="48">
        <f>'2_손익계산서'!AB25*'8_가정'!$C$116/365</f>
        <v>743590.239780822</v>
      </c>
      <c r="AC55" s="24">
        <f>'2_손익계산서'!AC25*'8_가정'!$C$116/365</f>
        <v>2456619.8840255</v>
      </c>
      <c r="AD55" s="24">
        <f>'2_손익계산서'!AD25*'8_가정'!$C$116/365</f>
        <v>5187330.18320422</v>
      </c>
      <c r="AE55" s="24">
        <f>'2_손익계산서'!AE25*'8_가정'!$C$116/365</f>
        <v>11377934.9328166</v>
      </c>
    </row>
    <row r="56">
      <c r="A56" s="12" t="inlineStr">
        <is>
          <t>순운전자본(매출채권 + 재고 − 매입채무)</t>
        </is>
      </c>
      <c r="O56" s="27">
        <f>O53+O54-O55</f>
        <v>223167.004550731</v>
      </c>
      <c r="AB56" s="27">
        <f>AB53+AB54-AB55</f>
        <v>1892034.37216438</v>
      </c>
      <c r="AC56" s="28">
        <f>AC53+AC54-AC55</f>
        <v>6243530.82892174</v>
      </c>
      <c r="AD56" s="28">
        <f>AD53+AD54-AD55</f>
        <v>13235959.3761366</v>
      </c>
      <c r="AE56" s="28">
        <f>AE53+AE54-AE55</f>
        <v>29436480.5940439</v>
      </c>
    </row>
    <row r="57">
      <c r="A57" s="15" t="inlineStr">
        <is>
          <t>순운전자본 증가(현금 유출)</t>
        </is>
      </c>
      <c r="O57" s="48">
        <f>O56-('3_연간손익'!$C$7*'8_가정'!$C$114/365+'3_연간손익'!$C$9*('8_가정'!$C$115-'8_가정'!$C$116)/365)</f>
        <v>66288.3716192245</v>
      </c>
      <c r="AB57" s="44">
        <f>AB56-O56</f>
        <v>1668867.36761365</v>
      </c>
      <c r="AC57" s="45">
        <f>AC56-AB56</f>
        <v>4351496.45675736</v>
      </c>
      <c r="AD57" s="45">
        <f>AD56-AC56</f>
        <v>6992428.54721483</v>
      </c>
      <c r="AE57" s="45">
        <f>AE56-AD56</f>
        <v>16200521.2179073</v>
      </c>
    </row>
    <row r="58">
      <c r="A58" s="15" t="inlineStr">
        <is>
          <t>차입금 기말 ÷ 순운전자본</t>
        </is>
      </c>
      <c r="O58" s="82">
        <f>IFERROR(O35/O56,0)</f>
        <v>5.37713898349705</v>
      </c>
      <c r="AB58" s="82">
        <f>IFERROR(AB35/AB56,0)</f>
        <v>1.0570632486513</v>
      </c>
      <c r="AC58" s="83">
        <f>IFERROR(AC35/AC56,0)</f>
        <v>0.960994694253188</v>
      </c>
      <c r="AD58" s="83">
        <f>IFERROR(AD35/AD56,0)</f>
        <v>0.75551758023897</v>
      </c>
      <c r="AE58" s="83">
        <f>IFERROR(AE35/AE56,0)</f>
        <v>0.407657429075542</v>
      </c>
    </row>
    <row r="59">
      <c r="A59" s="52" t="inlineStr">
        <is>
          <t>※ 운전자본은 손익계산서 범위 밖의 참고 추정입니다. 순운전자본 증가분은 영업이익·차입·증자로 조달해야 하며, 차입금 가정(위 D절)이 이를 충분히 덮는지 점검하세요.</t>
        </is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BF9000"/>
    <outlinePr summaryBelow="1" summaryRight="1"/>
    <pageSetUpPr fitToPage="1"/>
  </sheetPr>
  <dimension ref="A1:I12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70" customWidth="1" min="9" max="9"/>
  </cols>
  <sheetData>
    <row r="1">
      <c r="A1" s="1" t="inlineStr">
        <is>
          <t>8_가정 — 모델 가정</t>
        </is>
      </c>
    </row>
    <row r="2">
      <c r="A2" s="2" t="inlineStr">
        <is>
          <t>파란색 = 입력값 · 노란 배경 = 핵심 가정 · 검정/초록 = 수식. 단위: 천원(별도 표기 제외). 시나리오 선택은 1_요약!C4</t>
        </is>
      </c>
    </row>
    <row r="4">
      <c r="A4" s="84" t="inlineStr">
        <is>
          <t>1. IR 목표 · 환율 · 이용자 지표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</row>
    <row r="5">
      <c r="A5" s="22" t="inlineStr">
        <is>
          <t>구분</t>
        </is>
      </c>
      <c r="B5" s="22" t="inlineStr">
        <is>
          <t>설명</t>
        </is>
      </c>
      <c r="C5" s="22" t="n">
        <v>2026</v>
      </c>
      <c r="D5" s="22" t="n">
        <v>2027</v>
      </c>
      <c r="E5" s="22" t="n">
        <v>2028</v>
      </c>
      <c r="F5" s="22" t="n">
        <v>2029</v>
      </c>
      <c r="G5" s="22" t="n">
        <v>2030</v>
      </c>
      <c r="H5" s="22" t="inlineStr"/>
      <c r="I5" s="22" t="inlineStr">
        <is>
          <t>근거 · 비고</t>
        </is>
      </c>
    </row>
    <row r="6">
      <c r="A6" s="12" t="inlineStr">
        <is>
          <t>IR 매출 목표(천원)</t>
        </is>
      </c>
      <c r="B6" s="15" t="inlineStr">
        <is>
          <t>IR p.24 "2026–2030 글로벌 매출 전망"(백만원 → 천원)</t>
        </is>
      </c>
      <c r="C6" s="65" t="n">
        <v>1200000</v>
      </c>
      <c r="D6" s="65" t="n">
        <v>10005000</v>
      </c>
      <c r="E6" s="65" t="n">
        <v>33000000</v>
      </c>
      <c r="F6" s="65" t="n">
        <v>70000000</v>
      </c>
      <c r="G6" s="65" t="n">
        <v>156000000</v>
      </c>
      <c r="I6" s="86" t="inlineStr">
        <is>
          <t>IR 라벨 1,200 / 10,005 / 33,000 / 70,000 / 156,000을 백만원 단위로 해석. 2027 표(p.25) 합계는 10,302,040천원이며 차트(10,005)와의 차이 ≈ Sunway PoC 3.0억</t>
        </is>
      </c>
    </row>
    <row r="7">
      <c r="A7" s="15" t="inlineStr">
        <is>
          <t>USD/KRW</t>
        </is>
      </c>
      <c r="C7" s="87" t="n">
        <v>1400</v>
      </c>
      <c r="I7" s="86" t="inlineStr">
        <is>
          <t>IR p.35 고정 환율 1,400원/달러(2026-10-02 서울 종가 1,350.60). 참고용(계약 통화 환산 비교)</t>
        </is>
      </c>
    </row>
    <row r="8">
      <c r="A8" s="15" t="inlineStr">
        <is>
          <t>SGD/KRW</t>
        </is>
      </c>
      <c r="C8" s="87" t="n">
        <v>1096</v>
      </c>
      <c r="I8" s="86" t="inlineStr">
        <is>
          <t>1,400원/달러 기준 교차환율(USD/SGD 1.277). 현물 약 1,057~1,060</t>
        </is>
      </c>
    </row>
    <row r="9">
      <c r="A9" s="15" t="inlineStr">
        <is>
          <t>JPY 100엔/KRW</t>
        </is>
      </c>
      <c r="C9" s="87" t="n">
        <v>888</v>
      </c>
      <c r="I9" s="86" t="inlineStr">
        <is>
          <t>1,400원/달러 기준(USD/JPY 157.6). 현물 856.76(2026-10-02)</t>
        </is>
      </c>
    </row>
    <row r="10">
      <c r="A10" s="15" t="inlineStr">
        <is>
          <t>EUR/KRW</t>
        </is>
      </c>
      <c r="C10" s="87" t="n">
        <v>1576</v>
      </c>
      <c r="I10" s="86" t="inlineStr">
        <is>
          <t>1,400원/달러 기준(EUR/USD 1.126). 현물 1,520.64(2026-10-02)</t>
        </is>
      </c>
    </row>
    <row r="11">
      <c r="A11" s="15" t="inlineStr">
        <is>
          <t>ARPU(천원/인/년)</t>
        </is>
      </c>
      <c r="B11" s="15" t="inlineStr">
        <is>
          <t>IR p.36: 기저귀 8만원 + 센서·모니터링 2만원 = 월 10만원</t>
        </is>
      </c>
      <c r="C11" s="65" t="n">
        <v>1200</v>
      </c>
    </row>
    <row r="12">
      <c r="A12" s="15" t="inlineStr">
        <is>
          <t>시설당 유료 이용자(명)</t>
        </is>
      </c>
      <c r="B12" s="15" t="inlineStr">
        <is>
          <t>IR p.36 시설 공급: 시설당 150명</t>
        </is>
      </c>
      <c r="C12" s="65" t="n">
        <v>150</v>
      </c>
    </row>
    <row r="13">
      <c r="A13" s="15" t="inlineStr">
        <is>
          <t>IR SOM 유료 이용자(명) / 도입 시설(곳)</t>
        </is>
      </c>
      <c r="B13" s="15" t="inlineStr">
        <is>
          <t>IR p.3·36: 25만 명(시설 1,000개×150 + 재가·유통 20채널×5,000)</t>
        </is>
      </c>
      <c r="C13" s="55" t="n">
        <v>250000</v>
      </c>
      <c r="D13" s="55" t="n">
        <v>1000</v>
      </c>
    </row>
    <row r="15">
      <c r="A15" s="84" t="inlineStr">
        <is>
          <t>2. 시나리오 정의 — 단계별 확률 · 지연(개월)</t>
        </is>
      </c>
      <c r="B15" s="85" t="n"/>
      <c r="C15" s="85" t="n"/>
      <c r="D15" s="85" t="n"/>
      <c r="E15" s="85" t="n"/>
      <c r="F15" s="85" t="n"/>
      <c r="G15" s="85" t="n"/>
      <c r="H15" s="85" t="n"/>
      <c r="I15" s="85" t="n"/>
    </row>
    <row r="16">
      <c r="A16" s="22" t="inlineStr">
        <is>
          <t>단계 키</t>
        </is>
      </c>
      <c r="B16" s="22" t="inlineStr">
        <is>
          <t>설명</t>
        </is>
      </c>
      <c r="C16" s="22" t="inlineStr">
        <is>
          <t>확률 S1</t>
        </is>
      </c>
      <c r="D16" s="22" t="inlineStr">
        <is>
          <t>확률 S2</t>
        </is>
      </c>
      <c r="E16" s="22" t="inlineStr">
        <is>
          <t>확률 S3</t>
        </is>
      </c>
      <c r="F16" s="22" t="inlineStr">
        <is>
          <t>지연 S1</t>
        </is>
      </c>
      <c r="G16" s="22" t="inlineStr">
        <is>
          <t>지연 S2</t>
        </is>
      </c>
      <c r="H16" s="22" t="inlineStr">
        <is>
          <t>지연 S3</t>
        </is>
      </c>
    </row>
    <row r="17">
      <c r="A17" s="12" t="inlineStr">
        <is>
          <t>계약</t>
        </is>
      </c>
      <c r="B17" s="15" t="inlineStr">
        <is>
          <t>IR 단계 "계약" — 계약서/주문 확인</t>
        </is>
      </c>
      <c r="C17" s="88" t="n">
        <v>1</v>
      </c>
      <c r="D17" s="88" t="n">
        <v>0.9</v>
      </c>
      <c r="E17" s="88" t="n">
        <v>0.75</v>
      </c>
      <c r="F17" s="89" t="n">
        <v>0</v>
      </c>
      <c r="G17" s="89" t="n">
        <v>2</v>
      </c>
      <c r="H17" s="89" t="n">
        <v>4</v>
      </c>
      <c r="I17" s="86" t="inlineStr">
        <is>
          <t>확률 = 해당 단계 거래처 매출의 반영률, 지연 = 매출 개시를 늦추는 개월 수(램프 전체를 평행 이동). 기존 거래(HeartKium·Intega)는 지연 미적용</t>
        </is>
      </c>
    </row>
    <row r="18">
      <c r="A18" s="12" t="inlineStr">
        <is>
          <t>등록완료</t>
        </is>
      </c>
      <c r="B18" s="15" t="inlineStr">
        <is>
          <t>제도 등록 완료(NHIS·TAIS), 매출 미개시</t>
        </is>
      </c>
      <c r="C18" s="88" t="n">
        <v>1</v>
      </c>
      <c r="D18" s="88" t="n">
        <v>0.5</v>
      </c>
      <c r="E18" s="88" t="n">
        <v>0.3</v>
      </c>
      <c r="F18" s="89" t="n">
        <v>0</v>
      </c>
      <c r="G18" s="89" t="n">
        <v>3</v>
      </c>
      <c r="H18" s="89" t="n">
        <v>6</v>
      </c>
    </row>
    <row r="19">
      <c r="A19" s="12" t="inlineStr">
        <is>
          <t>입찰</t>
        </is>
      </c>
      <c r="B19" s="15" t="inlineStr">
        <is>
          <t>입찰 제안서 제출·LOA 대기(NHG)</t>
        </is>
      </c>
      <c r="C19" s="88" t="n">
        <v>1</v>
      </c>
      <c r="D19" s="88" t="n">
        <v>0.5</v>
      </c>
      <c r="E19" s="88" t="n">
        <v>0.3</v>
      </c>
      <c r="F19" s="89" t="n">
        <v>0</v>
      </c>
      <c r="G19" s="89" t="n">
        <v>3</v>
      </c>
      <c r="H19" s="89" t="n">
        <v>6</v>
      </c>
    </row>
    <row r="20">
      <c r="A20" s="12" t="inlineStr">
        <is>
          <t>진행중</t>
        </is>
      </c>
      <c r="B20" s="15" t="inlineStr">
        <is>
          <t>IR 단계 "진행 중" — 협의 단계</t>
        </is>
      </c>
      <c r="C20" s="88" t="n">
        <v>1</v>
      </c>
      <c r="D20" s="88" t="n">
        <v>0.3</v>
      </c>
      <c r="E20" s="88" t="n">
        <v>0.15</v>
      </c>
      <c r="F20" s="89" t="n">
        <v>0</v>
      </c>
      <c r="G20" s="89" t="n">
        <v>3</v>
      </c>
      <c r="H20" s="89" t="n">
        <v>6</v>
      </c>
    </row>
    <row r="21">
      <c r="A21" s="12" t="inlineStr">
        <is>
          <t>접촉</t>
        </is>
      </c>
      <c r="B21" s="15" t="inlineStr">
        <is>
          <t>IR 단계 "접촉" — 초기 접촉</t>
        </is>
      </c>
      <c r="C21" s="88" t="n">
        <v>1</v>
      </c>
      <c r="D21" s="88" t="n">
        <v>0.15</v>
      </c>
      <c r="E21" s="88" t="n">
        <v>0</v>
      </c>
      <c r="F21" s="89" t="n">
        <v>0</v>
      </c>
      <c r="G21" s="89" t="n">
        <v>3</v>
      </c>
      <c r="H21" s="89" t="n">
        <v>6</v>
      </c>
    </row>
    <row r="22">
      <c r="A22" s="12" t="inlineStr">
        <is>
          <t>PoC</t>
        </is>
      </c>
      <c r="B22" s="15" t="inlineStr">
        <is>
          <t>PoC/R&amp;D 단계 — 모든 시나리오에서 매출 미반영(상방)</t>
        </is>
      </c>
      <c r="C22" s="88" t="n">
        <v>0</v>
      </c>
      <c r="D22" s="88" t="n">
        <v>0</v>
      </c>
      <c r="E22" s="88" t="n">
        <v>0</v>
      </c>
      <c r="F22" s="89" t="n">
        <v>0</v>
      </c>
      <c r="G22" s="89" t="n">
        <v>0</v>
      </c>
      <c r="H22" s="89" t="n">
        <v>0</v>
      </c>
    </row>
    <row r="23">
      <c r="A23" s="12" t="inlineStr">
        <is>
          <t>기존</t>
        </is>
      </c>
      <c r="B23" s="15" t="inlineStr">
        <is>
          <t>기존 소액 거래처·기타(2025 매출 기반)</t>
        </is>
      </c>
      <c r="C23" s="88" t="n">
        <v>1</v>
      </c>
      <c r="D23" s="88" t="n">
        <v>0.85</v>
      </c>
      <c r="E23" s="88" t="n">
        <v>0.7</v>
      </c>
      <c r="F23" s="89" t="n">
        <v>0</v>
      </c>
      <c r="G23" s="89" t="n">
        <v>0</v>
      </c>
      <c r="H23" s="89" t="n">
        <v>0</v>
      </c>
    </row>
    <row r="24">
      <c r="A24" s="12" t="inlineStr">
        <is>
          <t>신규</t>
        </is>
      </c>
      <c r="B24" s="15" t="inlineStr">
        <is>
          <t>신규 파이프라인 코호트(별도 달성률 적용)</t>
        </is>
      </c>
      <c r="C24" s="88" t="n">
        <v>1</v>
      </c>
      <c r="D24" s="88" t="n">
        <v>1</v>
      </c>
      <c r="E24" s="88" t="n">
        <v>1</v>
      </c>
      <c r="F24" s="89" t="n">
        <v>0</v>
      </c>
      <c r="G24" s="89" t="n">
        <v>0</v>
      </c>
      <c r="H24" s="89" t="n">
        <v>0</v>
      </c>
    </row>
    <row r="26">
      <c r="A26" s="22" t="inlineStr">
        <is>
          <t>시나리오 계수</t>
        </is>
      </c>
      <c r="B26" s="22" t="inlineStr">
        <is>
          <t>설명</t>
        </is>
      </c>
      <c r="C26" s="22" t="inlineStr">
        <is>
          <t>S1 경영계획(IR 정합)</t>
        </is>
      </c>
      <c r="D26" s="22" t="inlineStr">
        <is>
          <t>S2 기준(확률가중)</t>
        </is>
      </c>
      <c r="E26" s="22" t="inlineStr">
        <is>
          <t>S3 보수</t>
        </is>
      </c>
      <c r="G26" s="22" t="inlineStr">
        <is>
          <t>선택값</t>
        </is>
      </c>
    </row>
    <row r="27">
      <c r="A27" s="15" t="inlineStr">
        <is>
          <t>기존 거래처 확장 성장 배수</t>
        </is>
      </c>
      <c r="B27" s="15" t="inlineStr">
        <is>
          <t>지정 거래처 2028~30 성장률(양수)에 곱함</t>
        </is>
      </c>
      <c r="C27" s="88" t="n">
        <v>1</v>
      </c>
      <c r="D27" s="88" t="n">
        <v>0.7</v>
      </c>
      <c r="E27" s="88" t="n">
        <v>0.4</v>
      </c>
      <c r="G27" s="90">
        <f>INDEX(C27:E27,'1_요약'!$C$5)</f>
        <v>1</v>
      </c>
    </row>
    <row r="28">
      <c r="A28" s="15" t="inlineStr">
        <is>
          <t>신규 파이프라인 달성률 2028</t>
        </is>
      </c>
      <c r="B28" s="15" t="inlineStr">
        <is>
          <t>코호트·삼성채널 S1 매출 대비 반영률</t>
        </is>
      </c>
      <c r="C28" s="88" t="n">
        <v>1</v>
      </c>
      <c r="D28" s="88" t="n">
        <v>0.6</v>
      </c>
      <c r="E28" s="88" t="n">
        <v>0.35</v>
      </c>
      <c r="G28" s="90">
        <f>INDEX(C28:E28,'1_요약'!$C$5)</f>
        <v>1</v>
      </c>
    </row>
    <row r="29">
      <c r="A29" s="15" t="inlineStr">
        <is>
          <t>신규 파이프라인 달성률 2029</t>
        </is>
      </c>
      <c r="B29" s="15" t="inlineStr">
        <is>
          <t>코호트·삼성채널 S1 매출 대비 반영률</t>
        </is>
      </c>
      <c r="C29" s="88" t="n">
        <v>1</v>
      </c>
      <c r="D29" s="88" t="n">
        <v>0.45</v>
      </c>
      <c r="E29" s="88" t="n">
        <v>0.2</v>
      </c>
      <c r="G29" s="90">
        <f>INDEX(C29:E29,'1_요약'!$C$5)</f>
        <v>1</v>
      </c>
    </row>
    <row r="30">
      <c r="A30" s="15" t="inlineStr">
        <is>
          <t>신규 파이프라인 달성률 2030</t>
        </is>
      </c>
      <c r="B30" s="15" t="inlineStr">
        <is>
          <t>코호트·삼성채널 S1 매출 대비 반영률</t>
        </is>
      </c>
      <c r="C30" s="88" t="n">
        <v>1</v>
      </c>
      <c r="D30" s="88" t="n">
        <v>0.35</v>
      </c>
      <c r="E30" s="88" t="n">
        <v>0.12</v>
      </c>
      <c r="G30" s="90">
        <f>INDEX(C30:E30,'1_요약'!$C$5)</f>
        <v>1</v>
      </c>
    </row>
    <row r="31">
      <c r="A31" s="15" t="inlineStr">
        <is>
          <t>인건비 탄력도(매출 연동 비율)</t>
        </is>
      </c>
      <c r="B31" s="15" t="inlineStr">
        <is>
          <t>인원 = S1 인원 × (1 − 탄력도 + 탄력도 × 매출달성률)</t>
        </is>
      </c>
      <c r="C31" s="88" t="n">
        <v>0.75</v>
      </c>
    </row>
    <row r="33">
      <c r="A33" s="84" t="inlineStr">
        <is>
          <t>3. 제품별 매출원가율(매출 대비)</t>
        </is>
      </c>
      <c r="B33" s="85" t="n"/>
      <c r="C33" s="85" t="n"/>
      <c r="D33" s="85" t="n"/>
      <c r="E33" s="85" t="n"/>
      <c r="F33" s="85" t="n"/>
      <c r="G33" s="85" t="n"/>
      <c r="H33" s="85" t="n"/>
      <c r="I33" s="85" t="n"/>
    </row>
    <row r="34">
      <c r="A34" s="22" t="inlineStr">
        <is>
          <t>제품</t>
        </is>
      </c>
      <c r="B34" s="22" t="inlineStr">
        <is>
          <t>코드</t>
        </is>
      </c>
      <c r="C34" s="22" t="n">
        <v>2026</v>
      </c>
      <c r="D34" s="22" t="n">
        <v>2027</v>
      </c>
      <c r="E34" s="22" t="n">
        <v>2028</v>
      </c>
      <c r="F34" s="22" t="n">
        <v>2029</v>
      </c>
      <c r="G34" s="22" t="n">
        <v>2030</v>
      </c>
      <c r="H34" s="22" t="inlineStr"/>
      <c r="I34" s="22" t="inlineStr">
        <is>
          <t>근거 · 비고</t>
        </is>
      </c>
    </row>
    <row r="35">
      <c r="A35" s="15" t="inlineStr">
        <is>
          <t>스마트 기저귀(전용 기저귀·패드, 소모품)</t>
        </is>
      </c>
      <c r="B35" s="15" t="inlineStr">
        <is>
          <t>P1</t>
        </is>
      </c>
      <c r="C35" s="91" t="n">
        <v>0.57</v>
      </c>
      <c r="D35" s="91" t="n">
        <v>0.63</v>
      </c>
      <c r="E35" s="91" t="n">
        <v>0.635</v>
      </c>
      <c r="F35" s="91" t="n">
        <v>0.635</v>
      </c>
      <c r="G35" s="91" t="n">
        <v>0.635</v>
      </c>
      <c r="I35" s="86" t="inlineStr">
        <is>
          <t>2025 실적 GM 53%(매출총이익 4.53억/매출 8.54억). 소모품(기저귀) 비중 확대에 따라 2027~ 41% 내외로 보수적 설정. Hansoms 현물출자(최대 USD 448k 상당 제품 납품) 효과는 미반영</t>
        </is>
      </c>
    </row>
    <row r="36">
      <c r="A36" s="15" t="inlineStr">
        <is>
          <t>센서·BLE 게이트웨이(하드웨어)</t>
        </is>
      </c>
      <c r="B36" s="15" t="inlineStr">
        <is>
          <t>P2</t>
        </is>
      </c>
      <c r="C36" s="91" t="n">
        <v>0.48</v>
      </c>
      <c r="D36" s="91" t="n">
        <v>0.57</v>
      </c>
      <c r="E36" s="91" t="n">
        <v>0.5600000000000001</v>
      </c>
      <c r="F36" s="91" t="n">
        <v>0.55</v>
      </c>
      <c r="G36" s="91" t="n">
        <v>0.54</v>
      </c>
    </row>
    <row r="37">
      <c r="A37" s="15" t="inlineStr">
        <is>
          <t>앱·웹 모니터링 구독(SW·AI)</t>
        </is>
      </c>
      <c r="B37" s="15" t="inlineStr">
        <is>
          <t>P3</t>
        </is>
      </c>
      <c r="C37" s="91" t="n">
        <v>0.2</v>
      </c>
      <c r="D37" s="91" t="n">
        <v>0.24</v>
      </c>
      <c r="E37" s="91" t="n">
        <v>0.23</v>
      </c>
      <c r="F37" s="91" t="n">
        <v>0.22</v>
      </c>
      <c r="G37" s="91" t="n">
        <v>0.21</v>
      </c>
    </row>
    <row r="38">
      <c r="A38" s="15" t="inlineStr">
        <is>
          <t>바이탈 모니터링 센서(60GHz, 2026 Q4 출시)</t>
        </is>
      </c>
      <c r="B38" s="15" t="inlineStr">
        <is>
          <t>P4</t>
        </is>
      </c>
      <c r="C38" s="91" t="n">
        <v>0.6</v>
      </c>
      <c r="D38" s="91" t="n">
        <v>0.6</v>
      </c>
      <c r="E38" s="91" t="n">
        <v>0.58</v>
      </c>
      <c r="F38" s="91" t="n">
        <v>0.5600000000000001</v>
      </c>
      <c r="G38" s="91" t="n">
        <v>0.54</v>
      </c>
    </row>
    <row r="39">
      <c r="A39" s="15" t="inlineStr">
        <is>
          <t>스마트 욕창 케어(2027 Q4 출시)</t>
        </is>
      </c>
      <c r="B39" s="15" t="inlineStr">
        <is>
          <t>P5</t>
        </is>
      </c>
      <c r="C39" s="91" t="n">
        <v>0.6</v>
      </c>
      <c r="D39" s="91" t="n">
        <v>0.58</v>
      </c>
      <c r="E39" s="91" t="n">
        <v>0.57</v>
      </c>
      <c r="F39" s="91" t="n">
        <v>0.55</v>
      </c>
      <c r="G39" s="91" t="n">
        <v>0.53</v>
      </c>
    </row>
    <row r="40">
      <c r="A40" s="15" t="inlineStr">
        <is>
          <t>R&amp;D·PoC 용역</t>
        </is>
      </c>
      <c r="B40" s="15" t="inlineStr">
        <is>
          <t>P6</t>
        </is>
      </c>
      <c r="C40" s="91" t="n">
        <v>0.55</v>
      </c>
      <c r="D40" s="91" t="n">
        <v>0.55</v>
      </c>
      <c r="E40" s="91" t="n">
        <v>0.55</v>
      </c>
      <c r="F40" s="91" t="n">
        <v>0.55</v>
      </c>
      <c r="G40" s="91" t="n">
        <v>0.55</v>
      </c>
    </row>
    <row r="41">
      <c r="A41" s="15" t="inlineStr">
        <is>
          <t>운영성 매출원가(물류·관세·보증·클라우드)</t>
        </is>
      </c>
      <c r="B41" s="15" t="inlineStr">
        <is>
          <t>전체 매출 대비</t>
        </is>
      </c>
      <c r="C41" s="91" t="n">
        <v>0.015</v>
      </c>
      <c r="D41" s="91" t="n">
        <v>0.025</v>
      </c>
      <c r="E41" s="91" t="n">
        <v>0.03</v>
      </c>
      <c r="F41" s="91" t="n">
        <v>0.035</v>
      </c>
      <c r="G41" s="91" t="n">
        <v>0.035</v>
      </c>
    </row>
    <row r="43">
      <c r="A43" s="84" t="inlineStr">
        <is>
          <t>4. 거래처 유형별 제품 믹스(매출 대비 %, 프로파일 × 제품 × 연도)</t>
        </is>
      </c>
      <c r="B43" s="85" t="n"/>
      <c r="C43" s="85" t="n"/>
      <c r="D43" s="85" t="n"/>
      <c r="E43" s="85" t="n"/>
      <c r="F43" s="85" t="n"/>
      <c r="G43" s="85" t="n"/>
      <c r="H43" s="85" t="n"/>
      <c r="I43" s="85" t="n"/>
    </row>
    <row r="44">
      <c r="A44" s="22" t="inlineStr">
        <is>
          <t>프로파일|제품</t>
        </is>
      </c>
      <c r="B44" s="22" t="inlineStr">
        <is>
          <t>설명</t>
        </is>
      </c>
      <c r="C44" s="22" t="n">
        <v>2026</v>
      </c>
      <c r="D44" s="22" t="n">
        <v>2027</v>
      </c>
      <c r="E44" s="22" t="n">
        <v>2028</v>
      </c>
      <c r="F44" s="22" t="n">
        <v>2029</v>
      </c>
      <c r="G44" s="22" t="n">
        <v>2030</v>
      </c>
      <c r="H44" s="22" t="inlineStr"/>
      <c r="I44" s="22" t="inlineStr">
        <is>
          <t>근거 · 비고</t>
        </is>
      </c>
    </row>
    <row r="45">
      <c r="A45" s="15" t="inlineStr">
        <is>
          <t>SUB|P1</t>
        </is>
      </c>
      <c r="B45" s="15" t="inlineStr">
        <is>
          <t>정액 구독형(시설·정부·기관) — 스마트 기저귀(전용 기저귀·패드, 소모품)</t>
        </is>
      </c>
      <c r="C45" s="67" t="n">
        <v>0.8</v>
      </c>
      <c r="D45" s="67" t="n">
        <v>0.78</v>
      </c>
      <c r="E45" s="67" t="n">
        <v>0.74</v>
      </c>
      <c r="F45" s="67" t="n">
        <v>0.7</v>
      </c>
      <c r="G45" s="67" t="n">
        <v>0.67</v>
      </c>
    </row>
    <row r="46">
      <c r="A46" s="15" t="inlineStr">
        <is>
          <t>SUB|P2</t>
        </is>
      </c>
      <c r="B46" s="15" t="inlineStr">
        <is>
          <t>정액 구독형(시설·정부·기관) — 센서·BLE 게이트웨이(하드웨어)</t>
        </is>
      </c>
      <c r="C46" s="67" t="n">
        <v>0.08</v>
      </c>
      <c r="D46" s="67" t="n">
        <v>0.08</v>
      </c>
      <c r="E46" s="67" t="n">
        <v>0.08</v>
      </c>
      <c r="F46" s="67" t="n">
        <v>0.08</v>
      </c>
      <c r="G46" s="67" t="n">
        <v>0.08</v>
      </c>
    </row>
    <row r="47">
      <c r="A47" s="15" t="inlineStr">
        <is>
          <t>SUB|P3</t>
        </is>
      </c>
      <c r="B47" s="15" t="inlineStr">
        <is>
          <t>정액 구독형(시설·정부·기관) — 앱·웹 모니터링 구독(SW·AI)</t>
        </is>
      </c>
      <c r="C47" s="67" t="n">
        <v>0.12</v>
      </c>
      <c r="D47" s="67" t="n">
        <v>0.11</v>
      </c>
      <c r="E47" s="67" t="n">
        <v>0.12</v>
      </c>
      <c r="F47" s="67" t="n">
        <v>0.12</v>
      </c>
      <c r="G47" s="67" t="n">
        <v>0.12</v>
      </c>
    </row>
    <row r="48">
      <c r="A48" s="15" t="inlineStr">
        <is>
          <t>SUB|P4</t>
        </is>
      </c>
      <c r="B48" s="15" t="inlineStr">
        <is>
          <t>정액 구독형(시설·정부·기관) — 바이탈 모니터링 센서(60GHz, 2026 Q4 출시)</t>
        </is>
      </c>
      <c r="C48" s="67" t="n">
        <v>0</v>
      </c>
      <c r="D48" s="67" t="n">
        <v>0.03</v>
      </c>
      <c r="E48" s="67" t="n">
        <v>0.05</v>
      </c>
      <c r="F48" s="67" t="n">
        <v>0.07000000000000001</v>
      </c>
      <c r="G48" s="67" t="n">
        <v>0.09</v>
      </c>
    </row>
    <row r="49">
      <c r="A49" s="15" t="inlineStr">
        <is>
          <t>SUB|P5</t>
        </is>
      </c>
      <c r="B49" s="15" t="inlineStr">
        <is>
          <t>정액 구독형(시설·정부·기관) — 스마트 욕창 케어(2027 Q4 출시)</t>
        </is>
      </c>
      <c r="C49" s="67" t="n">
        <v>0</v>
      </c>
      <c r="D49" s="67" t="n">
        <v>0</v>
      </c>
      <c r="E49" s="67" t="n">
        <v>0.01</v>
      </c>
      <c r="F49" s="67" t="n">
        <v>0.03</v>
      </c>
      <c r="G49" s="67" t="n">
        <v>0.04</v>
      </c>
    </row>
    <row r="50">
      <c r="A50" s="15" t="inlineStr">
        <is>
          <t>SUB|P6</t>
        </is>
      </c>
      <c r="B50" s="15" t="inlineStr">
        <is>
          <t>정액 구독형(시설·정부·기관) — R&amp;D·PoC 용역</t>
        </is>
      </c>
      <c r="C50" s="67" t="n">
        <v>0</v>
      </c>
      <c r="D50" s="67" t="n">
        <v>0</v>
      </c>
      <c r="E50" s="67" t="n">
        <v>0</v>
      </c>
      <c r="F50" s="67" t="n">
        <v>0</v>
      </c>
      <c r="G50" s="67" t="n">
        <v>0</v>
      </c>
    </row>
    <row r="51">
      <c r="A51" s="15" t="inlineStr">
        <is>
          <t>NHIS|P1</t>
        </is>
      </c>
      <c r="B51" s="15" t="inlineStr">
        <is>
          <t>복지용구(기저귀센서 급여) — 센서·스티커 중심 — 스마트 기저귀(전용 기저귀·패드, 소모품)</t>
        </is>
      </c>
      <c r="C51" s="67" t="n">
        <v>0.35</v>
      </c>
      <c r="D51" s="67" t="n">
        <v>0.35</v>
      </c>
      <c r="E51" s="67" t="n">
        <v>0.33</v>
      </c>
      <c r="F51" s="67" t="n">
        <v>0.31</v>
      </c>
      <c r="G51" s="67" t="n">
        <v>0.3</v>
      </c>
    </row>
    <row r="52">
      <c r="A52" s="15" t="inlineStr">
        <is>
          <t>NHIS|P2</t>
        </is>
      </c>
      <c r="B52" s="15" t="inlineStr">
        <is>
          <t>복지용구(기저귀센서 급여) — 센서·스티커 중심 — 센서·BLE 게이트웨이(하드웨어)</t>
        </is>
      </c>
      <c r="C52" s="67" t="n">
        <v>0.5</v>
      </c>
      <c r="D52" s="67" t="n">
        <v>0.5</v>
      </c>
      <c r="E52" s="67" t="n">
        <v>0.48</v>
      </c>
      <c r="F52" s="67" t="n">
        <v>0.46</v>
      </c>
      <c r="G52" s="67" t="n">
        <v>0.45</v>
      </c>
    </row>
    <row r="53">
      <c r="A53" s="15" t="inlineStr">
        <is>
          <t>NHIS|P3</t>
        </is>
      </c>
      <c r="B53" s="15" t="inlineStr">
        <is>
          <t>복지용구(기저귀센서 급여) — 센서·스티커 중심 — 앱·웹 모니터링 구독(SW·AI)</t>
        </is>
      </c>
      <c r="C53" s="67" t="n">
        <v>0.15</v>
      </c>
      <c r="D53" s="67" t="n">
        <v>0.15</v>
      </c>
      <c r="E53" s="67" t="n">
        <v>0.15</v>
      </c>
      <c r="F53" s="67" t="n">
        <v>0.15</v>
      </c>
      <c r="G53" s="67" t="n">
        <v>0.15</v>
      </c>
    </row>
    <row r="54">
      <c r="A54" s="15" t="inlineStr">
        <is>
          <t>NHIS|P4</t>
        </is>
      </c>
      <c r="B54" s="15" t="inlineStr">
        <is>
          <t>복지용구(기저귀센서 급여) — 센서·스티커 중심 — 바이탈 모니터링 센서(60GHz, 2026 Q4 출시)</t>
        </is>
      </c>
      <c r="C54" s="67" t="n">
        <v>0</v>
      </c>
      <c r="D54" s="67" t="n">
        <v>0</v>
      </c>
      <c r="E54" s="67" t="n">
        <v>0.02</v>
      </c>
      <c r="F54" s="67" t="n">
        <v>0.04</v>
      </c>
      <c r="G54" s="67" t="n">
        <v>0.05</v>
      </c>
    </row>
    <row r="55">
      <c r="A55" s="15" t="inlineStr">
        <is>
          <t>NHIS|P5</t>
        </is>
      </c>
      <c r="B55" s="15" t="inlineStr">
        <is>
          <t>복지용구(기저귀센서 급여) — 센서·스티커 중심 — 스마트 욕창 케어(2027 Q4 출시)</t>
        </is>
      </c>
      <c r="C55" s="67" t="n">
        <v>0</v>
      </c>
      <c r="D55" s="67" t="n">
        <v>0</v>
      </c>
      <c r="E55" s="67" t="n">
        <v>0.02</v>
      </c>
      <c r="F55" s="67" t="n">
        <v>0.04</v>
      </c>
      <c r="G55" s="67" t="n">
        <v>0.05</v>
      </c>
    </row>
    <row r="56">
      <c r="A56" s="15" t="inlineStr">
        <is>
          <t>NHIS|P6</t>
        </is>
      </c>
      <c r="B56" s="15" t="inlineStr">
        <is>
          <t>복지용구(기저귀센서 급여) — 센서·스티커 중심 — R&amp;D·PoC 용역</t>
        </is>
      </c>
      <c r="C56" s="67" t="n">
        <v>0</v>
      </c>
      <c r="D56" s="67" t="n">
        <v>0</v>
      </c>
      <c r="E56" s="67" t="n">
        <v>0</v>
      </c>
      <c r="F56" s="67" t="n">
        <v>0</v>
      </c>
      <c r="G56" s="67" t="n">
        <v>0</v>
      </c>
    </row>
    <row r="57">
      <c r="A57" s="15" t="inlineStr">
        <is>
          <t>DIST|P1</t>
        </is>
      </c>
      <c r="B57" s="15" t="inlineStr">
        <is>
          <t>총판 공급형(소모품+센서) — 스마트 기저귀(전용 기저귀·패드, 소모품)</t>
        </is>
      </c>
      <c r="C57" s="67" t="n">
        <v>0.62</v>
      </c>
      <c r="D57" s="67" t="n">
        <v>0.62</v>
      </c>
      <c r="E57" s="67" t="n">
        <v>0.6</v>
      </c>
      <c r="F57" s="67" t="n">
        <v>0.58</v>
      </c>
      <c r="G57" s="67" t="n">
        <v>0.5600000000000001</v>
      </c>
    </row>
    <row r="58">
      <c r="A58" s="15" t="inlineStr">
        <is>
          <t>DIST|P2</t>
        </is>
      </c>
      <c r="B58" s="15" t="inlineStr">
        <is>
          <t>총판 공급형(소모품+센서) — 센서·BLE 게이트웨이(하드웨어)</t>
        </is>
      </c>
      <c r="C58" s="67" t="n">
        <v>0.28</v>
      </c>
      <c r="D58" s="67" t="n">
        <v>0.26</v>
      </c>
      <c r="E58" s="67" t="n">
        <v>0.24</v>
      </c>
      <c r="F58" s="67" t="n">
        <v>0.22</v>
      </c>
      <c r="G58" s="67" t="n">
        <v>0.2</v>
      </c>
    </row>
    <row r="59">
      <c r="A59" s="15" t="inlineStr">
        <is>
          <t>DIST|P3</t>
        </is>
      </c>
      <c r="B59" s="15" t="inlineStr">
        <is>
          <t>총판 공급형(소모품+센서) — 앱·웹 모니터링 구독(SW·AI)</t>
        </is>
      </c>
      <c r="C59" s="67" t="n">
        <v>0.1</v>
      </c>
      <c r="D59" s="67" t="n">
        <v>0.09</v>
      </c>
      <c r="E59" s="67" t="n">
        <v>0.1</v>
      </c>
      <c r="F59" s="67" t="n">
        <v>0.1</v>
      </c>
      <c r="G59" s="67" t="n">
        <v>0.1</v>
      </c>
    </row>
    <row r="60">
      <c r="A60" s="15" t="inlineStr">
        <is>
          <t>DIST|P4</t>
        </is>
      </c>
      <c r="B60" s="15" t="inlineStr">
        <is>
          <t>총판 공급형(소모품+센서) — 바이탈 모니터링 센서(60GHz, 2026 Q4 출시)</t>
        </is>
      </c>
      <c r="C60" s="67" t="n">
        <v>0</v>
      </c>
      <c r="D60" s="67" t="n">
        <v>0.03</v>
      </c>
      <c r="E60" s="67" t="n">
        <v>0.05</v>
      </c>
      <c r="F60" s="67" t="n">
        <v>0.07000000000000001</v>
      </c>
      <c r="G60" s="67" t="n">
        <v>0.09</v>
      </c>
    </row>
    <row r="61">
      <c r="A61" s="15" t="inlineStr">
        <is>
          <t>DIST|P5</t>
        </is>
      </c>
      <c r="B61" s="15" t="inlineStr">
        <is>
          <t>총판 공급형(소모품+센서) — 스마트 욕창 케어(2027 Q4 출시)</t>
        </is>
      </c>
      <c r="C61" s="67" t="n">
        <v>0</v>
      </c>
      <c r="D61" s="67" t="n">
        <v>0</v>
      </c>
      <c r="E61" s="67" t="n">
        <v>0.01</v>
      </c>
      <c r="F61" s="67" t="n">
        <v>0.03</v>
      </c>
      <c r="G61" s="67" t="n">
        <v>0.05</v>
      </c>
    </row>
    <row r="62">
      <c r="A62" s="15" t="inlineStr">
        <is>
          <t>DIST|P6</t>
        </is>
      </c>
      <c r="B62" s="15" t="inlineStr">
        <is>
          <t>총판 공급형(소모품+센서) — R&amp;D·PoC 용역</t>
        </is>
      </c>
      <c r="C62" s="67" t="n">
        <v>0</v>
      </c>
      <c r="D62" s="67" t="n">
        <v>0</v>
      </c>
      <c r="E62" s="67" t="n">
        <v>0</v>
      </c>
      <c r="F62" s="67" t="n">
        <v>0</v>
      </c>
      <c r="G62" s="67" t="n">
        <v>0</v>
      </c>
    </row>
    <row r="63">
      <c r="A63" s="15" t="inlineStr">
        <is>
          <t>BABY|P1</t>
        </is>
      </c>
      <c r="B63" s="15" t="inlineStr">
        <is>
          <t>베이비 B2C 구독 — 스마트 기저귀(전용 기저귀·패드, 소모품)</t>
        </is>
      </c>
      <c r="C63" s="67" t="n">
        <v>0.85</v>
      </c>
      <c r="D63" s="67" t="n">
        <v>0.85</v>
      </c>
      <c r="E63" s="67" t="n">
        <v>0.85</v>
      </c>
      <c r="F63" s="67" t="n">
        <v>0.85</v>
      </c>
      <c r="G63" s="67" t="n">
        <v>0.85</v>
      </c>
    </row>
    <row r="64">
      <c r="A64" s="15" t="inlineStr">
        <is>
          <t>BABY|P2</t>
        </is>
      </c>
      <c r="B64" s="15" t="inlineStr">
        <is>
          <t>베이비 B2C 구독 — 센서·BLE 게이트웨이(하드웨어)</t>
        </is>
      </c>
      <c r="C64" s="67" t="n">
        <v>0.05</v>
      </c>
      <c r="D64" s="67" t="n">
        <v>0.05</v>
      </c>
      <c r="E64" s="67" t="n">
        <v>0.05</v>
      </c>
      <c r="F64" s="67" t="n">
        <v>0.05</v>
      </c>
      <c r="G64" s="67" t="n">
        <v>0.05</v>
      </c>
    </row>
    <row r="65">
      <c r="A65" s="15" t="inlineStr">
        <is>
          <t>BABY|P3</t>
        </is>
      </c>
      <c r="B65" s="15" t="inlineStr">
        <is>
          <t>베이비 B2C 구독 — 앱·웹 모니터링 구독(SW·AI)</t>
        </is>
      </c>
      <c r="C65" s="67" t="n">
        <v>0.1</v>
      </c>
      <c r="D65" s="67" t="n">
        <v>0.1</v>
      </c>
      <c r="E65" s="67" t="n">
        <v>0.1</v>
      </c>
      <c r="F65" s="67" t="n">
        <v>0.1</v>
      </c>
      <c r="G65" s="67" t="n">
        <v>0.1</v>
      </c>
    </row>
    <row r="66">
      <c r="A66" s="15" t="inlineStr">
        <is>
          <t>BABY|P4</t>
        </is>
      </c>
      <c r="B66" s="15" t="inlineStr">
        <is>
          <t>베이비 B2C 구독 — 바이탈 모니터링 센서(60GHz, 2026 Q4 출시)</t>
        </is>
      </c>
      <c r="C66" s="67" t="n">
        <v>0</v>
      </c>
      <c r="D66" s="67" t="n">
        <v>0</v>
      </c>
      <c r="E66" s="67" t="n">
        <v>0</v>
      </c>
      <c r="F66" s="67" t="n">
        <v>0</v>
      </c>
      <c r="G66" s="67" t="n">
        <v>0</v>
      </c>
    </row>
    <row r="67">
      <c r="A67" s="15" t="inlineStr">
        <is>
          <t>BABY|P5</t>
        </is>
      </c>
      <c r="B67" s="15" t="inlineStr">
        <is>
          <t>베이비 B2C 구독 — 스마트 욕창 케어(2027 Q4 출시)</t>
        </is>
      </c>
      <c r="C67" s="67" t="n">
        <v>0</v>
      </c>
      <c r="D67" s="67" t="n">
        <v>0</v>
      </c>
      <c r="E67" s="67" t="n">
        <v>0</v>
      </c>
      <c r="F67" s="67" t="n">
        <v>0</v>
      </c>
      <c r="G67" s="67" t="n">
        <v>0</v>
      </c>
    </row>
    <row r="68">
      <c r="A68" s="15" t="inlineStr">
        <is>
          <t>BABY|P6</t>
        </is>
      </c>
      <c r="B68" s="15" t="inlineStr">
        <is>
          <t>베이비 B2C 구독 — R&amp;D·PoC 용역</t>
        </is>
      </c>
      <c r="C68" s="67" t="n">
        <v>0</v>
      </c>
      <c r="D68" s="67" t="n">
        <v>0</v>
      </c>
      <c r="E68" s="67" t="n">
        <v>0</v>
      </c>
      <c r="F68" s="67" t="n">
        <v>0</v>
      </c>
      <c r="G68" s="67" t="n">
        <v>0</v>
      </c>
    </row>
    <row r="69">
      <c r="A69" s="15" t="inlineStr">
        <is>
          <t>HWPROJ|P1</t>
        </is>
      </c>
      <c r="B69" s="15" t="inlineStr">
        <is>
          <t>병원 하드웨어 프로젝트(NHG) — 스마트 기저귀(전용 기저귀·패드, 소모품)</t>
        </is>
      </c>
      <c r="C69" s="67" t="n">
        <v>0</v>
      </c>
      <c r="D69" s="67" t="n">
        <v>0</v>
      </c>
      <c r="E69" s="67" t="n">
        <v>0</v>
      </c>
      <c r="F69" s="67" t="n">
        <v>0</v>
      </c>
      <c r="G69" s="67" t="n">
        <v>0</v>
      </c>
    </row>
    <row r="70">
      <c r="A70" s="15" t="inlineStr">
        <is>
          <t>HWPROJ|P2</t>
        </is>
      </c>
      <c r="B70" s="15" t="inlineStr">
        <is>
          <t>병원 하드웨어 프로젝트(NHG) — 센서·BLE 게이트웨이(하드웨어)</t>
        </is>
      </c>
      <c r="C70" s="67" t="n">
        <v>0.7</v>
      </c>
      <c r="D70" s="67" t="n">
        <v>0.7</v>
      </c>
      <c r="E70" s="67" t="n">
        <v>0.7</v>
      </c>
      <c r="F70" s="67" t="n">
        <v>0.7</v>
      </c>
      <c r="G70" s="67" t="n">
        <v>0.7</v>
      </c>
    </row>
    <row r="71">
      <c r="A71" s="15" t="inlineStr">
        <is>
          <t>HWPROJ|P3</t>
        </is>
      </c>
      <c r="B71" s="15" t="inlineStr">
        <is>
          <t>병원 하드웨어 프로젝트(NHG) — 앱·웹 모니터링 구독(SW·AI)</t>
        </is>
      </c>
      <c r="C71" s="67" t="n">
        <v>0.15</v>
      </c>
      <c r="D71" s="67" t="n">
        <v>0.15</v>
      </c>
      <c r="E71" s="67" t="n">
        <v>0.15</v>
      </c>
      <c r="F71" s="67" t="n">
        <v>0.15</v>
      </c>
      <c r="G71" s="67" t="n">
        <v>0.15</v>
      </c>
    </row>
    <row r="72">
      <c r="A72" s="15" t="inlineStr">
        <is>
          <t>HWPROJ|P4</t>
        </is>
      </c>
      <c r="B72" s="15" t="inlineStr">
        <is>
          <t>병원 하드웨어 프로젝트(NHG) — 바이탈 모니터링 센서(60GHz, 2026 Q4 출시)</t>
        </is>
      </c>
      <c r="C72" s="67" t="n">
        <v>0</v>
      </c>
      <c r="D72" s="67" t="n">
        <v>0</v>
      </c>
      <c r="E72" s="67" t="n">
        <v>0</v>
      </c>
      <c r="F72" s="67" t="n">
        <v>0</v>
      </c>
      <c r="G72" s="67" t="n">
        <v>0</v>
      </c>
    </row>
    <row r="73">
      <c r="A73" s="15" t="inlineStr">
        <is>
          <t>HWPROJ|P5</t>
        </is>
      </c>
      <c r="B73" s="15" t="inlineStr">
        <is>
          <t>병원 하드웨어 프로젝트(NHG) — 스마트 욕창 케어(2027 Q4 출시)</t>
        </is>
      </c>
      <c r="C73" s="67" t="n">
        <v>0</v>
      </c>
      <c r="D73" s="67" t="n">
        <v>0</v>
      </c>
      <c r="E73" s="67" t="n">
        <v>0</v>
      </c>
      <c r="F73" s="67" t="n">
        <v>0</v>
      </c>
      <c r="G73" s="67" t="n">
        <v>0</v>
      </c>
    </row>
    <row r="74">
      <c r="A74" s="15" t="inlineStr">
        <is>
          <t>HWPROJ|P6</t>
        </is>
      </c>
      <c r="B74" s="15" t="inlineStr">
        <is>
          <t>병원 하드웨어 프로젝트(NHG) — R&amp;D·PoC 용역</t>
        </is>
      </c>
      <c r="C74" s="67" t="n">
        <v>0.15</v>
      </c>
      <c r="D74" s="67" t="n">
        <v>0.15</v>
      </c>
      <c r="E74" s="67" t="n">
        <v>0.15</v>
      </c>
      <c r="F74" s="67" t="n">
        <v>0.15</v>
      </c>
      <c r="G74" s="67" t="n">
        <v>0.15</v>
      </c>
    </row>
    <row r="75">
      <c r="A75" s="15" t="inlineStr">
        <is>
          <t>RND|P1</t>
        </is>
      </c>
      <c r="B75" s="15" t="inlineStr">
        <is>
          <t>R&amp;D·PoC 용역 — 스마트 기저귀(전용 기저귀·패드, 소모품)</t>
        </is>
      </c>
      <c r="C75" s="67" t="n">
        <v>0</v>
      </c>
      <c r="D75" s="67" t="n">
        <v>0</v>
      </c>
      <c r="E75" s="67" t="n">
        <v>0</v>
      </c>
      <c r="F75" s="67" t="n">
        <v>0</v>
      </c>
      <c r="G75" s="67" t="n">
        <v>0</v>
      </c>
    </row>
    <row r="76">
      <c r="A76" s="15" t="inlineStr">
        <is>
          <t>RND|P2</t>
        </is>
      </c>
      <c r="B76" s="15" t="inlineStr">
        <is>
          <t>R&amp;D·PoC 용역 — 센서·BLE 게이트웨이(하드웨어)</t>
        </is>
      </c>
      <c r="C76" s="67" t="n">
        <v>0</v>
      </c>
      <c r="D76" s="67" t="n">
        <v>0</v>
      </c>
      <c r="E76" s="67" t="n">
        <v>0</v>
      </c>
      <c r="F76" s="67" t="n">
        <v>0</v>
      </c>
      <c r="G76" s="67" t="n">
        <v>0</v>
      </c>
    </row>
    <row r="77">
      <c r="A77" s="15" t="inlineStr">
        <is>
          <t>RND|P3</t>
        </is>
      </c>
      <c r="B77" s="15" t="inlineStr">
        <is>
          <t>R&amp;D·PoC 용역 — 앱·웹 모니터링 구독(SW·AI)</t>
        </is>
      </c>
      <c r="C77" s="67" t="n">
        <v>0</v>
      </c>
      <c r="D77" s="67" t="n">
        <v>0</v>
      </c>
      <c r="E77" s="67" t="n">
        <v>0</v>
      </c>
      <c r="F77" s="67" t="n">
        <v>0</v>
      </c>
      <c r="G77" s="67" t="n">
        <v>0</v>
      </c>
    </row>
    <row r="78">
      <c r="A78" s="15" t="inlineStr">
        <is>
          <t>RND|P4</t>
        </is>
      </c>
      <c r="B78" s="15" t="inlineStr">
        <is>
          <t>R&amp;D·PoC 용역 — 바이탈 모니터링 센서(60GHz, 2026 Q4 출시)</t>
        </is>
      </c>
      <c r="C78" s="67" t="n">
        <v>0</v>
      </c>
      <c r="D78" s="67" t="n">
        <v>0</v>
      </c>
      <c r="E78" s="67" t="n">
        <v>0</v>
      </c>
      <c r="F78" s="67" t="n">
        <v>0</v>
      </c>
      <c r="G78" s="67" t="n">
        <v>0</v>
      </c>
    </row>
    <row r="79">
      <c r="A79" s="15" t="inlineStr">
        <is>
          <t>RND|P5</t>
        </is>
      </c>
      <c r="B79" s="15" t="inlineStr">
        <is>
          <t>R&amp;D·PoC 용역 — 스마트 욕창 케어(2027 Q4 출시)</t>
        </is>
      </c>
      <c r="C79" s="67" t="n">
        <v>0</v>
      </c>
      <c r="D79" s="67" t="n">
        <v>0</v>
      </c>
      <c r="E79" s="67" t="n">
        <v>0</v>
      </c>
      <c r="F79" s="67" t="n">
        <v>0</v>
      </c>
      <c r="G79" s="67" t="n">
        <v>0</v>
      </c>
    </row>
    <row r="80">
      <c r="A80" s="15" t="inlineStr">
        <is>
          <t>RND|P6</t>
        </is>
      </c>
      <c r="B80" s="15" t="inlineStr">
        <is>
          <t>R&amp;D·PoC 용역 — R&amp;D·PoC 용역</t>
        </is>
      </c>
      <c r="C80" s="67" t="n">
        <v>1</v>
      </c>
      <c r="D80" s="67" t="n">
        <v>1</v>
      </c>
      <c r="E80" s="67" t="n">
        <v>1</v>
      </c>
      <c r="F80" s="67" t="n">
        <v>1</v>
      </c>
      <c r="G80" s="67" t="n">
        <v>1</v>
      </c>
    </row>
    <row r="81">
      <c r="A81" s="15" t="inlineStr">
        <is>
          <t>COH|P1</t>
        </is>
      </c>
      <c r="B81" s="15" t="inlineStr">
        <is>
          <t>신규 파이프라인(신제품 비중 확대) — 스마트 기저귀(전용 기저귀·패드, 소모품)</t>
        </is>
      </c>
      <c r="C81" s="67" t="n">
        <v>0.66</v>
      </c>
      <c r="D81" s="67" t="n">
        <v>0.66</v>
      </c>
      <c r="E81" s="67" t="n">
        <v>0.66</v>
      </c>
      <c r="F81" s="67" t="n">
        <v>0.6</v>
      </c>
      <c r="G81" s="67" t="n">
        <v>0.5600000000000001</v>
      </c>
    </row>
    <row r="82">
      <c r="A82" s="15" t="inlineStr">
        <is>
          <t>COH|P2</t>
        </is>
      </c>
      <c r="B82" s="15" t="inlineStr">
        <is>
          <t>신규 파이프라인(신제품 비중 확대) — 센서·BLE 게이트웨이(하드웨어)</t>
        </is>
      </c>
      <c r="C82" s="67" t="n">
        <v>0.1</v>
      </c>
      <c r="D82" s="67" t="n">
        <v>0.1</v>
      </c>
      <c r="E82" s="67" t="n">
        <v>0.1</v>
      </c>
      <c r="F82" s="67" t="n">
        <v>0.11</v>
      </c>
      <c r="G82" s="67" t="n">
        <v>0.11</v>
      </c>
    </row>
    <row r="83">
      <c r="A83" s="15" t="inlineStr">
        <is>
          <t>COH|P3</t>
        </is>
      </c>
      <c r="B83" s="15" t="inlineStr">
        <is>
          <t>신규 파이프라인(신제품 비중 확대) — 앱·웹 모니터링 구독(SW·AI)</t>
        </is>
      </c>
      <c r="C83" s="67" t="n">
        <v>0.12</v>
      </c>
      <c r="D83" s="67" t="n">
        <v>0.12</v>
      </c>
      <c r="E83" s="67" t="n">
        <v>0.12</v>
      </c>
      <c r="F83" s="67" t="n">
        <v>0.12</v>
      </c>
      <c r="G83" s="67" t="n">
        <v>0.12</v>
      </c>
    </row>
    <row r="84">
      <c r="A84" s="15" t="inlineStr">
        <is>
          <t>COH|P4</t>
        </is>
      </c>
      <c r="B84" s="15" t="inlineStr">
        <is>
          <t>신규 파이프라인(신제품 비중 확대) — 바이탈 모니터링 센서(60GHz, 2026 Q4 출시)</t>
        </is>
      </c>
      <c r="C84" s="67" t="n">
        <v>0.08</v>
      </c>
      <c r="D84" s="67" t="n">
        <v>0.08</v>
      </c>
      <c r="E84" s="67" t="n">
        <v>0.08</v>
      </c>
      <c r="F84" s="67" t="n">
        <v>0.11</v>
      </c>
      <c r="G84" s="67" t="n">
        <v>0.13</v>
      </c>
    </row>
    <row r="85">
      <c r="A85" s="15" t="inlineStr">
        <is>
          <t>COH|P5</t>
        </is>
      </c>
      <c r="B85" s="15" t="inlineStr">
        <is>
          <t>신규 파이프라인(신제품 비중 확대) — 스마트 욕창 케어(2027 Q4 출시)</t>
        </is>
      </c>
      <c r="C85" s="67" t="n">
        <v>0.02</v>
      </c>
      <c r="D85" s="67" t="n">
        <v>0.02</v>
      </c>
      <c r="E85" s="67" t="n">
        <v>0.02</v>
      </c>
      <c r="F85" s="67" t="n">
        <v>0.04</v>
      </c>
      <c r="G85" s="67" t="n">
        <v>0.06</v>
      </c>
    </row>
    <row r="86">
      <c r="A86" s="15" t="inlineStr">
        <is>
          <t>COH|P6</t>
        </is>
      </c>
      <c r="B86" s="15" t="inlineStr">
        <is>
          <t>신규 파이프라인(신제품 비중 확대) — R&amp;D·PoC 용역</t>
        </is>
      </c>
      <c r="C86" s="67" t="n">
        <v>0.02</v>
      </c>
      <c r="D86" s="67" t="n">
        <v>0.02</v>
      </c>
      <c r="E86" s="67" t="n">
        <v>0.02</v>
      </c>
      <c r="F86" s="67" t="n">
        <v>0.02</v>
      </c>
      <c r="G86" s="67" t="n">
        <v>0.02</v>
      </c>
    </row>
    <row r="87">
      <c r="A87" s="12" t="inlineStr">
        <is>
          <t>믹스 합계 점검(각 프로파일·연도 100%)</t>
        </is>
      </c>
      <c r="C87" s="12" t="str">
        <f>IF(AND(ABS(SUM(C45:C50)-1)&lt;0.0001,ABS(SUM(D45:D50)-1)&lt;0.0001,ABS(SUM(E45:E50)-1)&lt;0.0001,ABS(SUM(F45:F50)-1)&lt;0.0001,ABS(SUM(G45:G50)-1)&lt;0.0001,ABS(SUM(C51:C56)-1)&lt;0.0001,ABS(SUM(D51:D56)-1)&lt;0.0001,ABS(SUM(E51:E56)-1)&lt;0.0001,ABS(SUM(F51:F56)-1)&lt;0.0001,ABS(SUM(G51:G56)-1)&lt;0.0001,ABS(SUM(C57:C62)-1)&lt;0.0001,ABS(SUM(D57:D62)-1)&lt;0.0001,ABS(SUM(E57:E62)-1)&lt;0.0001,ABS(SUM(F57:F62)-1)&lt;0.0001,ABS(SUM(G57:G62)-1)&lt;0.0001,ABS(SUM(C63:C68)-1)&lt;0.0001,ABS(SUM(D63:D68)-1)&lt;0.0001,ABS(SUM(E63:E68)-1)&lt;0.0001,ABS(SUM(F63:F68)-1)&lt;0.0001,ABS(SUM(G63:G68)-1)&lt;0.0001,ABS(SUM(C69:C74)-1)&lt;0.0001,ABS(SUM(D69:D74)-1)&lt;0.0001,ABS(SUM(E69:E74)-1)&lt;0.0001,ABS(SUM(F69:F74)-1)&lt;0.0001,ABS(SUM(G69:G74)-1)&lt;0.0001,ABS(SUM(C75:C80)-1)&lt;0.0001,ABS(SUM(D75:D80)-1)&lt;0.0001,ABS(SUM(E75:E80)-1)&lt;0.0001,ABS(SUM(F75:F80)-1)&lt;0.0001,ABS(SUM(G75:G80)-1)&lt;0.0001,ABS(SUM(C81:C86)-1)&lt;0.0001,ABS(SUM(D81:D86)-1)&lt;0.0001,ABS(SUM(E81:E86)-1)&lt;0.0001,ABS(SUM(F81:F86)-1)&lt;0.0001,ABS(SUM(G81:G86)-1)&lt;0.0001),"OK","확인")</f>
        <v>OK</v>
      </c>
    </row>
    <row r="89">
      <c r="A89" s="84" t="inlineStr">
        <is>
          <t>5. 판매비와관리비 가정</t>
        </is>
      </c>
      <c r="B89" s="85" t="n"/>
      <c r="C89" s="85" t="n"/>
      <c r="D89" s="85" t="n"/>
      <c r="E89" s="85" t="n"/>
      <c r="F89" s="85" t="n"/>
      <c r="G89" s="85" t="n"/>
      <c r="H89" s="85" t="n"/>
      <c r="I89" s="85" t="n"/>
    </row>
    <row r="90">
      <c r="A90" s="22" t="inlineStr">
        <is>
          <t>구분</t>
        </is>
      </c>
      <c r="B90" s="22" t="inlineStr">
        <is>
          <t>설명</t>
        </is>
      </c>
      <c r="C90" s="22" t="n">
        <v>2026</v>
      </c>
      <c r="D90" s="22" t="n">
        <v>2027</v>
      </c>
      <c r="E90" s="22" t="n">
        <v>2028</v>
      </c>
      <c r="F90" s="22" t="n">
        <v>2029</v>
      </c>
      <c r="G90" s="22" t="n">
        <v>2030</v>
      </c>
      <c r="H90" s="22" t="inlineStr"/>
      <c r="I90" s="22" t="inlineStr">
        <is>
          <t>근거 · 비고</t>
        </is>
      </c>
    </row>
    <row r="91">
      <c r="A91" s="15" t="inlineStr">
        <is>
          <t>1인당 월 급여(천원)</t>
        </is>
      </c>
      <c r="B91" s="15" t="inlineStr">
        <is>
          <t>급여만(퇴직·4대보험·복리 별도)</t>
        </is>
      </c>
      <c r="C91" s="65" t="n">
        <v>3600</v>
      </c>
      <c r="D91" s="65" t="n">
        <v>4600</v>
      </c>
      <c r="E91" s="65" t="n">
        <v>5000</v>
      </c>
      <c r="F91" s="65" t="n">
        <v>5400</v>
      </c>
      <c r="G91" s="65" t="n">
        <v>5700</v>
      </c>
      <c r="I91" s="86" t="inlineStr">
        <is>
          <t>2025 판관비 4.27억/직원 6~7명 기준 환산 + 영업·해외·인허가 인력 영입(고연봉) 가정. 연 3~5% 상승 반영</t>
        </is>
      </c>
    </row>
    <row r="92">
      <c r="A92" s="15" t="inlineStr">
        <is>
          <t>퇴직급여·4대보험·복리후생 비율(급여 대비)</t>
        </is>
      </c>
      <c r="C92" s="88" t="n">
        <v>0.22</v>
      </c>
    </row>
    <row r="93">
      <c r="A93" s="15" t="inlineStr">
        <is>
          <t>마케팅·광고선전비(매출 %)</t>
        </is>
      </c>
      <c r="B93" s="15" t="inlineStr">
        <is>
          <t>전시회·해외 마케팅·샘플</t>
        </is>
      </c>
      <c r="C93" s="91" t="n">
        <v>0.015</v>
      </c>
      <c r="D93" s="91" t="n">
        <v>0.025</v>
      </c>
      <c r="E93" s="91" t="n">
        <v>0.028</v>
      </c>
      <c r="F93" s="91" t="n">
        <v>0.026</v>
      </c>
      <c r="G93" s="91" t="n">
        <v>0.03</v>
      </c>
    </row>
    <row r="94">
      <c r="A94" s="15" t="inlineStr">
        <is>
          <t>지급수수료(매출 %)</t>
        </is>
      </c>
      <c r="B94" s="15" t="inlineStr">
        <is>
          <t>총판 수수료·법무·회계·컨설팅·플랫폼</t>
        </is>
      </c>
      <c r="C94" s="91" t="n">
        <v>0.012</v>
      </c>
      <c r="D94" s="91" t="n">
        <v>0.02</v>
      </c>
      <c r="E94" s="91" t="n">
        <v>0.022</v>
      </c>
      <c r="F94" s="91" t="n">
        <v>0.022</v>
      </c>
      <c r="G94" s="91" t="n">
        <v>0.022</v>
      </c>
    </row>
    <row r="95">
      <c r="A95" s="15" t="inlineStr">
        <is>
          <t>판매물류·CS비(매출 %)</t>
        </is>
      </c>
      <c r="B95" s="15" t="inlineStr">
        <is>
          <t>출고·설치·고객지원</t>
        </is>
      </c>
      <c r="C95" s="91" t="n">
        <v>0.025</v>
      </c>
      <c r="D95" s="91" t="n">
        <v>0.035</v>
      </c>
      <c r="E95" s="91" t="n">
        <v>0.035</v>
      </c>
      <c r="F95" s="91" t="n">
        <v>0.032</v>
      </c>
      <c r="G95" s="91" t="n">
        <v>0.035</v>
      </c>
    </row>
    <row r="96">
      <c r="A96" s="15" t="inlineStr">
        <is>
          <t>연구개발비-경상(매출 %)</t>
        </is>
      </c>
      <c r="B96" s="15" t="inlineStr">
        <is>
          <t>인증(CE-MDR·FDA·KC·PMDA)·시험·외주</t>
        </is>
      </c>
      <c r="C96" s="91" t="n">
        <v>0.035</v>
      </c>
      <c r="D96" s="91" t="n">
        <v>0.035</v>
      </c>
      <c r="E96" s="91" t="n">
        <v>0.032</v>
      </c>
      <c r="F96" s="91" t="n">
        <v>0.029</v>
      </c>
      <c r="G96" s="91" t="n">
        <v>0.031</v>
      </c>
      <c r="I96" s="86" t="inlineStr">
        <is>
          <t>개발비 자본화(BS 개발비 19.8억)는 별도. 신규 자본화·상각 증가분은 미반영(보수적 가정은 상각에서 반영)</t>
        </is>
      </c>
    </row>
    <row r="97">
      <c r="A97" s="15" t="inlineStr">
        <is>
          <t>대손상각비(매출 %)</t>
        </is>
      </c>
      <c r="B97" s="15" t="inlineStr"/>
      <c r="C97" s="91" t="n">
        <v>0.004</v>
      </c>
      <c r="D97" s="91" t="n">
        <v>0.005</v>
      </c>
      <c r="E97" s="91" t="n">
        <v>0.005</v>
      </c>
      <c r="F97" s="91" t="n">
        <v>0.005</v>
      </c>
      <c r="G97" s="91" t="n">
        <v>0.005</v>
      </c>
    </row>
    <row r="98">
      <c r="A98" s="15" t="inlineStr">
        <is>
          <t>기타 판관비(매출 %)</t>
        </is>
      </c>
      <c r="B98" s="15" t="inlineStr">
        <is>
          <t>보험·세금과공과·소모품·복리 외</t>
        </is>
      </c>
      <c r="C98" s="91" t="n">
        <v>0.025</v>
      </c>
      <c r="D98" s="91" t="n">
        <v>0.03</v>
      </c>
      <c r="E98" s="91" t="n">
        <v>0.026</v>
      </c>
      <c r="F98" s="91" t="n">
        <v>0.022</v>
      </c>
      <c r="G98" s="91" t="n">
        <v>0.024</v>
      </c>
    </row>
    <row r="99">
      <c r="A99" s="15" t="inlineStr">
        <is>
          <t>임차·운영비(연, 천원)</t>
        </is>
      </c>
      <c r="B99" s="15" t="inlineStr">
        <is>
          <t>본사·해외 거점(일본·싱가포르·미국)</t>
        </is>
      </c>
      <c r="C99" s="65" t="n">
        <v>36000</v>
      </c>
      <c r="D99" s="65" t="n">
        <v>144000</v>
      </c>
      <c r="E99" s="65" t="n">
        <v>300000</v>
      </c>
      <c r="F99" s="65" t="n">
        <v>600000</v>
      </c>
      <c r="G99" s="65" t="n">
        <v>1000000</v>
      </c>
    </row>
    <row r="100">
      <c r="A100" s="15" t="inlineStr">
        <is>
          <t>해외영업·출장비(연, 천원)</t>
        </is>
      </c>
      <c r="B100" s="15" t="inlineStr"/>
      <c r="C100" s="65" t="n">
        <v>60000</v>
      </c>
      <c r="D100" s="65" t="n">
        <v>180000</v>
      </c>
      <c r="E100" s="65" t="n">
        <v>400000</v>
      </c>
      <c r="F100" s="65" t="n">
        <v>800000</v>
      </c>
      <c r="G100" s="65" t="n">
        <v>1400000</v>
      </c>
    </row>
    <row r="101">
      <c r="A101" s="15" t="inlineStr">
        <is>
          <t>감가상각비-유형(연, 천원)</t>
        </is>
      </c>
      <c r="B101" s="15" t="inlineStr">
        <is>
          <t>설비·금형·사무기기</t>
        </is>
      </c>
      <c r="C101" s="65" t="n">
        <v>18000</v>
      </c>
      <c r="D101" s="65" t="n">
        <v>40000</v>
      </c>
      <c r="E101" s="65" t="n">
        <v>90000</v>
      </c>
      <c r="F101" s="65" t="n">
        <v>180000</v>
      </c>
      <c r="G101" s="65" t="n">
        <v>300000</v>
      </c>
    </row>
    <row r="102">
      <c r="A102" s="15" t="inlineStr">
        <is>
          <t>개발비 무형자산상각(연, 천원)</t>
        </is>
      </c>
      <c r="B102" s="15" t="inlineStr">
        <is>
          <t>2025.12 개발비 잔액 19.8억을 5년 정액 상각, 2027-01 개시(신규 자본화는 미반영)</t>
        </is>
      </c>
      <c r="C102" s="65" t="n">
        <v>0</v>
      </c>
      <c r="D102" s="65" t="n">
        <v>395953</v>
      </c>
      <c r="E102" s="65" t="n">
        <v>395953</v>
      </c>
      <c r="F102" s="65" t="n">
        <v>395953</v>
      </c>
      <c r="G102" s="65" t="n">
        <v>395953</v>
      </c>
      <c r="I102" s="86" t="inlineStr">
        <is>
          <t>확인 필요: 2025 감사보고서상 상각 개시 시점·내용연수. 2025 판관비에 상각이 보이지 않아 상품화 시점(2027)부터 반영하는 보수적 가정</t>
        </is>
      </c>
    </row>
    <row r="104">
      <c r="A104" s="84" t="inlineStr">
        <is>
          <t>6. 영업외손익 · 법인세</t>
        </is>
      </c>
      <c r="B104" s="85" t="n"/>
      <c r="C104" s="85" t="n"/>
      <c r="D104" s="85" t="n"/>
      <c r="E104" s="85" t="n"/>
      <c r="F104" s="85" t="n"/>
      <c r="G104" s="85" t="n"/>
      <c r="H104" s="85" t="n"/>
      <c r="I104" s="85" t="n"/>
    </row>
    <row r="105">
      <c r="A105" s="22" t="inlineStr">
        <is>
          <t>구분</t>
        </is>
      </c>
      <c r="B105" s="22" t="inlineStr">
        <is>
          <t>설명</t>
        </is>
      </c>
      <c r="C105" s="22" t="n">
        <v>2026</v>
      </c>
      <c r="D105" s="22" t="n">
        <v>2027</v>
      </c>
      <c r="E105" s="22" t="n">
        <v>2028</v>
      </c>
      <c r="F105" s="22" t="n">
        <v>2029</v>
      </c>
      <c r="G105" s="22" t="n">
        <v>2030</v>
      </c>
      <c r="H105" s="22" t="inlineStr"/>
      <c r="I105" s="22" t="inlineStr">
        <is>
          <t>근거 · 비고</t>
        </is>
      </c>
    </row>
    <row r="106">
      <c r="A106" s="15" t="inlineStr">
        <is>
          <t>차입금 기초(2025.12, 천원)</t>
        </is>
      </c>
      <c r="B106" s="15" t="inlineStr">
        <is>
          <t>단기 1,135,833 + 장기 63,710</t>
        </is>
      </c>
      <c r="C106" s="55" t="n">
        <v>1199543</v>
      </c>
      <c r="I106" s="86" t="inlineStr">
        <is>
          <t>투자사 양식 차입금 현황(2025감사보고서 주석 5). 현재 잔액·만기 확인 필요</t>
        </is>
      </c>
    </row>
    <row r="107">
      <c r="A107" s="15" t="inlineStr">
        <is>
          <t>차입금 연 이자율</t>
        </is>
      </c>
      <c r="B107" s="15" t="inlineStr">
        <is>
          <t>2025 이자비용 0.50억/평균 차입금 ≈ 4.2% (우리 4.48~4.89%, 하나 5.00~5.58%)</t>
        </is>
      </c>
      <c r="C107" s="91" t="n">
        <v>0.048</v>
      </c>
      <c r="D107" s="91" t="n">
        <v>0.048</v>
      </c>
      <c r="E107" s="91" t="n">
        <v>0.048</v>
      </c>
      <c r="F107" s="91" t="n">
        <v>0.048</v>
      </c>
      <c r="G107" s="91" t="n">
        <v>0.048</v>
      </c>
    </row>
    <row r="108">
      <c r="A108" s="15" t="inlineStr">
        <is>
          <t>정부보조금수익(천원)</t>
        </is>
      </c>
      <c r="B108" s="15" t="inlineStr">
        <is>
          <t>2026: GDIN 지원금 3,500만원 포함</t>
        </is>
      </c>
      <c r="C108" s="65" t="n">
        <v>65000</v>
      </c>
      <c r="D108" s="65" t="n">
        <v>40000</v>
      </c>
      <c r="E108" s="65" t="n">
        <v>30000</v>
      </c>
      <c r="F108" s="65" t="n">
        <v>0</v>
      </c>
      <c r="G108" s="65" t="n">
        <v>0</v>
      </c>
      <c r="I108" s="86" t="inlineStr">
        <is>
          <t>2024 0.88억, 2025 0.31억 실적. 이후 보수적으로 체감, 2029~ 미반영</t>
        </is>
      </c>
    </row>
    <row r="109">
      <c r="A109" s="15" t="inlineStr">
        <is>
          <t>이월결손금 기초(천원)</t>
        </is>
      </c>
      <c r="B109" s="15" t="inlineStr">
        <is>
          <t>자본총계 − 자본금 − 주식발행초과금 역산(2025.12)</t>
        </is>
      </c>
      <c r="C109" s="65" t="n">
        <v>3032082</v>
      </c>
      <c r="I109" s="86" t="inlineStr">
        <is>
          <t>계산: 12.375억 − 4.276억 − 38.420억 ≈ −30.3억. 세무상 결손금과 다를 수 있음(세무사 확인)</t>
        </is>
      </c>
    </row>
    <row r="110">
      <c r="A110" s="15" t="inlineStr">
        <is>
          <t>이월결손금 공제 한도(과세소득 대비)</t>
        </is>
      </c>
      <c r="C110" s="88" t="n">
        <v>1</v>
      </c>
      <c r="I110" s="86" t="inlineStr">
        <is>
          <t>중소기업 100% (일반법인 80%). 중소기업 졸업 시 한도 80% 적용 가능 — 보수적으로 보려면 80%로 변경</t>
        </is>
      </c>
    </row>
    <row r="111">
      <c r="A111" s="15" t="inlineStr">
        <is>
          <t>법인세율 구간(과세표준 상한, 천원)</t>
        </is>
      </c>
      <c r="C111" s="55" t="n">
        <v>200000</v>
      </c>
      <c r="D111" s="55" t="n">
        <v>20000000</v>
      </c>
      <c r="E111" s="55" t="n">
        <v>300000000</v>
      </c>
    </row>
    <row r="112">
      <c r="A112" s="15" t="inlineStr">
        <is>
          <t>법인세율(구간별)</t>
        </is>
      </c>
      <c r="C112" s="92" t="n">
        <v>0.1</v>
      </c>
      <c r="D112" s="92" t="n">
        <v>0.2</v>
      </c>
      <c r="E112" s="92" t="n">
        <v>0.22</v>
      </c>
      <c r="F112" s="92" t="n">
        <v>0.25</v>
      </c>
      <c r="I112" s="86" t="inlineStr">
        <is>
          <t>2026 귀속 10%/20%/22%/25% 가정(2025 세법개정 반영 여부 8_가정 하단 출처 메모 확인). 세액공제·최저한세 미반영</t>
        </is>
      </c>
    </row>
    <row r="113">
      <c r="A113" s="15" t="inlineStr">
        <is>
          <t>지방소득세율(법인세 대비)</t>
        </is>
      </c>
      <c r="C113" s="67" t="n">
        <v>0.1</v>
      </c>
    </row>
    <row r="114">
      <c r="A114" s="15" t="inlineStr">
        <is>
          <t>매출채권 회전일수(참고)</t>
        </is>
      </c>
      <c r="C114" s="89" t="n">
        <v>60</v>
      </c>
      <c r="I114" s="86" t="inlineStr">
        <is>
          <t>손익계산서 범위 밖의 참고 지표(운전자본 소요 추정)용. 2025 BS: 매출채권 2,304만원·선급금 8,557만원. 총판 공급 비중이 커지면 회전일수가 길어질 수 있음</t>
        </is>
      </c>
    </row>
    <row r="115">
      <c r="A115" s="15" t="inlineStr">
        <is>
          <t>재고자산 회전일수(매출원가 기준, 참고)</t>
        </is>
      </c>
      <c r="C115" s="89" t="n">
        <v>60</v>
      </c>
    </row>
    <row r="116">
      <c r="A116" s="15" t="inlineStr">
        <is>
          <t>매입채무 회전일수(매출원가 기준, 참고)</t>
        </is>
      </c>
      <c r="C116" s="89" t="n">
        <v>45</v>
      </c>
    </row>
    <row r="118">
      <c r="A118" s="84" t="inlineStr">
        <is>
          <t>7. 근거 구분 범례 · 출처 메모</t>
        </is>
      </c>
      <c r="B118" s="85" t="n"/>
      <c r="C118" s="85" t="n"/>
      <c r="D118" s="85" t="n"/>
      <c r="E118" s="85" t="n"/>
      <c r="F118" s="85" t="n"/>
      <c r="G118" s="85" t="n"/>
      <c r="H118" s="85" t="n"/>
      <c r="I118" s="85" t="n"/>
    </row>
    <row r="119">
      <c r="A119" s="15" t="inlineStr">
        <is>
          <t>IR 근거 = IR 자료(2026-09-27판) 페이지 표기. 계약/등록/입찰/PoC 단계는 IR 표기에 입찰 자료(저장소)·회사연혁을 교차 반영.</t>
        </is>
      </c>
    </row>
    <row r="120">
      <c r="A120" s="15" t="inlineStr">
        <is>
          <t>가정 = IR에 없는 시작월·램프·성장률·비용률. 모두 파란색 입력이며 투자사 질의 시 근거 설명이 필요한 항목.</t>
        </is>
      </c>
    </row>
    <row r="121">
      <c r="A121" s="15" t="inlineStr">
        <is>
          <t>회사실적 = 투자사 양식 IS(2025 감사보고서 기준: 2024·2025). 2026 상반기 실적은 자료 없음 → 추정.</t>
        </is>
      </c>
    </row>
    <row r="123">
      <c r="A123" s="9" t="inlineStr">
        <is>
          <t>외부 팩트 조사 요약(출처 URL 포함)</t>
        </is>
      </c>
    </row>
    <row r="124">
      <c r="A124" s="69" t="inlineStr">
        <is>
          <t>환율: 2026-10-02 서울 종가 USD/KRW 1,350.60 · JPY 856.76/100엔 · EUR 1,520.64 (서울신문 2026/10/02, snmnews). 본 계획은 IR 고정환율 1,400원/달러 기준이며 SGD·JPY·EUR은 1,400 기준 교차환율을 사용(현물환 대비 USD 약 +3.7%).</t>
        </is>
      </c>
    </row>
    <row r="125">
      <c r="A125" s="69" t="inlineStr">
        <is>
          <t>법인세: 2026 귀속 10/20/22/25%(+1%p, 2025-12-02 국회 통과·12-23 공포), 지방소득세 1.0/2.0/2.2/2.5%(국세청 nts.go.kr, 국회예산정책처 nabo.go.kr). 결손금 15년 이월, 중소기업은 소득의 100%까지 공제, 중소기업 졸업 유예 5년, 최저한세(중소) 7%.</t>
        </is>
      </c>
    </row>
    <row r="126">
      <c r="A126" s="69" t="inlineStr">
        <is>
          <t>일본: 介護テクノロジー導入支援事業(2025년 통합) 보조율 3/4~4/5, 배설예측·검지 기기 1대당 상한 30만엔, TAIS 介護テクノロジー 선정이 보조금 신청 조건(techno-aids.or.jp). TAIS 등록 자체는 보험급여가 아님 → IR의 "TAIS 등록 완료"가 보조금 대상 선정을 뜻하는지 확인 필요. 시설 수(MHLW 2024): 특양 8,621 · 老健 4,214 · GH 14,341 · 유료노인홈 16,543.</t>
        </is>
      </c>
    </row>
    <row r="127">
      <c r="A127" s="69" t="inlineStr">
        <is>
          <t>한국: 기저귀센서는 2025-05 정규 복지용구 급여 편입(고시상 1개 제품), 재가 본인부담 15%(85% 지원)·연 한도 160만원, 성인용 기저귀 자체는 급여 품목이 아님(nhis.or.kr). 장기요양기관 29,734곳(시설 6,361·재가 23,373, 2025), 요양병원 약 1,300곳(감소 추세), 요양병원 간병비 건보 적용 2027~(보도).</t>
        </is>
      </c>
    </row>
    <row r="128">
      <c r="A128" s="69" t="inlineStr">
        <is>
          <t>동종 벤치마크: Essity FY2025 EBITA 마진 14.1%, Ontex FY2025 조정 EBITDA 마진 10.0% → 본 계획 S1의 2030 영업이익률은 약 14% 이내로 설정(상한 근거). 일부 공식 사이트 접근 제한으로 보도·2차 자료를 포함하므로 제출 전 재확인 권장.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H5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60" customWidth="1" min="9" max="9"/>
  </cols>
  <sheetData>
    <row r="1">
      <c r="A1" s="1" t="inlineStr">
        <is>
          <t>9_시나리오 — S1 / S2 / S3 비교</t>
        </is>
      </c>
    </row>
    <row r="2">
      <c r="A2" s="2" t="inlineStr">
        <is>
          <t>단위: 억원. 값은 시나리오별로 재계산한 스냅샷입니다. 모델 입력을 바꾼 뒤에는 "라이브" 행과 비교해 일치 여부(점검 행)를 확인하세요.</t>
        </is>
      </c>
    </row>
    <row r="3"/>
    <row r="4">
      <c r="A4" s="3" t="inlineStr">
        <is>
          <t>S1 경영계획(IR 정합)</t>
        </is>
      </c>
    </row>
    <row r="5">
      <c r="A5" s="21" t="inlineStr">
        <is>
          <t>지표</t>
        </is>
      </c>
      <c r="B5" s="11" t="inlineStr"/>
      <c r="C5" s="11" t="n">
        <v>2026</v>
      </c>
      <c r="D5" s="11" t="n">
        <v>2027</v>
      </c>
      <c r="E5" s="11" t="n">
        <v>2028</v>
      </c>
      <c r="F5" s="11" t="n">
        <v>2029</v>
      </c>
      <c r="G5" s="11" t="n">
        <v>2030</v>
      </c>
      <c r="H5" s="11" t="inlineStr">
        <is>
          <t>CAGR('25~'30)</t>
        </is>
      </c>
    </row>
    <row r="6">
      <c r="A6" s="15" t="inlineStr">
        <is>
          <t>매출액</t>
        </is>
      </c>
      <c r="C6" s="93" t="n">
        <v>12</v>
      </c>
      <c r="D6" s="93" t="n">
        <v>100.0204</v>
      </c>
      <c r="E6" s="93" t="n">
        <v>330</v>
      </c>
      <c r="F6" s="93" t="n">
        <v>700</v>
      </c>
      <c r="G6" s="93" t="n">
        <v>1560</v>
      </c>
      <c r="H6" s="14">
        <f>IFERROR((G6*100000/'3_연간손익'!$C$7)^(1/5)-1,"n/a")</f>
        <v>1.83345786870168</v>
      </c>
    </row>
    <row r="7">
      <c r="A7" s="15" t="inlineStr">
        <is>
          <t>매출총이익</t>
        </is>
      </c>
      <c r="C7" s="93" t="n">
        <v>5.69602889265537</v>
      </c>
      <c r="D7" s="93" t="n">
        <v>39.70696944</v>
      </c>
      <c r="E7" s="93" t="n">
        <v>130.740831629043</v>
      </c>
      <c r="F7" s="93" t="n">
        <v>279.249885140102</v>
      </c>
      <c r="G7" s="93" t="n">
        <v>637.123055449323</v>
      </c>
    </row>
    <row r="8">
      <c r="A8" s="15" t="inlineStr">
        <is>
          <t>영업이익</t>
        </is>
      </c>
      <c r="C8" s="93" t="n">
        <v>-0.700931107344632</v>
      </c>
      <c r="D8" s="93" t="n">
        <v>6.60993944</v>
      </c>
      <c r="E8" s="93" t="n">
        <v>30.8793016290429</v>
      </c>
      <c r="F8" s="93" t="n">
        <v>79.3051551401019</v>
      </c>
      <c r="G8" s="93" t="n">
        <v>214.119925449323</v>
      </c>
    </row>
    <row r="9">
      <c r="A9" s="15" t="inlineStr">
        <is>
          <t>영업이익률</t>
        </is>
      </c>
      <c r="C9" s="94" t="n">
        <v>-0.0584109256120527</v>
      </c>
      <c r="D9" s="94" t="n">
        <v>0.0660859128737737</v>
      </c>
      <c r="E9" s="94" t="n">
        <v>0.09357364130012991</v>
      </c>
      <c r="F9" s="94" t="n">
        <v>0.113293078771574</v>
      </c>
      <c r="G9" s="94" t="n">
        <v>0.137256362467515</v>
      </c>
    </row>
    <row r="10">
      <c r="A10" s="15" t="inlineStr">
        <is>
          <t>당기순이익</t>
        </is>
      </c>
      <c r="C10" s="93" t="n">
        <v>-0.626821427344632</v>
      </c>
      <c r="D10" s="93" t="n">
        <v>6.24193944</v>
      </c>
      <c r="E10" s="93" t="n">
        <v>28.4775097078692</v>
      </c>
      <c r="F10" s="93" t="n">
        <v>59.0828210092795</v>
      </c>
      <c r="G10" s="93" t="n">
        <v>162.920663490587</v>
      </c>
    </row>
    <row r="11">
      <c r="A11" s="15" t="inlineStr">
        <is>
          <t>추정 유료 이용자(명)</t>
        </is>
      </c>
      <c r="C11" s="95" t="n">
        <v>950</v>
      </c>
      <c r="D11" s="95" t="n">
        <v>8012.73233333333</v>
      </c>
      <c r="E11" s="95" t="n">
        <v>25314.3276219453</v>
      </c>
      <c r="F11" s="95" t="n">
        <v>50824.2010157023</v>
      </c>
      <c r="G11" s="95" t="n">
        <v>106776.188196769</v>
      </c>
    </row>
    <row r="12">
      <c r="A12" s="15" t="inlineStr">
        <is>
          <t>IR 대비 달성률</t>
        </is>
      </c>
      <c r="C12" s="94" t="n">
        <v>1</v>
      </c>
      <c r="D12" s="94" t="n">
        <v>0.999704147926037</v>
      </c>
      <c r="E12" s="94" t="n">
        <v>1</v>
      </c>
      <c r="F12" s="94" t="n">
        <v>1</v>
      </c>
      <c r="G12" s="94" t="n">
        <v>1</v>
      </c>
    </row>
    <row r="13"/>
    <row r="14"/>
    <row r="15">
      <c r="A15" s="3" t="inlineStr">
        <is>
          <t>S2 기준(확률가중)</t>
        </is>
      </c>
    </row>
    <row r="16">
      <c r="A16" s="21" t="inlineStr">
        <is>
          <t>지표</t>
        </is>
      </c>
      <c r="B16" s="11" t="inlineStr"/>
      <c r="C16" s="11" t="n">
        <v>2026</v>
      </c>
      <c r="D16" s="11" t="n">
        <v>2027</v>
      </c>
      <c r="E16" s="11" t="n">
        <v>2028</v>
      </c>
      <c r="F16" s="11" t="n">
        <v>2029</v>
      </c>
      <c r="G16" s="11" t="n">
        <v>2030</v>
      </c>
      <c r="H16" s="11" t="inlineStr">
        <is>
          <t>CAGR('25~'30)</t>
        </is>
      </c>
    </row>
    <row r="17">
      <c r="A17" s="15" t="inlineStr">
        <is>
          <t>매출액</t>
        </is>
      </c>
      <c r="C17" s="93" t="n">
        <v>9.941734869518431</v>
      </c>
      <c r="D17" s="93" t="n">
        <v>53.4707597152194</v>
      </c>
      <c r="E17" s="93" t="n">
        <v>193.742176438788</v>
      </c>
      <c r="F17" s="93" t="n">
        <v>333.375772432319</v>
      </c>
      <c r="G17" s="93" t="n">
        <v>596.630567009663</v>
      </c>
      <c r="H17" s="14">
        <f>IFERROR((G17*100000/'3_연간손익'!$C$7)^(1/5)-1,"n/a")</f>
        <v>1.3379377297111</v>
      </c>
    </row>
    <row r="18">
      <c r="A18" s="15" t="inlineStr">
        <is>
          <t>매출총이익</t>
        </is>
      </c>
      <c r="C18" s="93" t="n">
        <v>4.71942249350713</v>
      </c>
      <c r="D18" s="93" t="n">
        <v>21.2115992788123</v>
      </c>
      <c r="E18" s="93" t="n">
        <v>76.63788467946141</v>
      </c>
      <c r="F18" s="93" t="n">
        <v>132.712604303856</v>
      </c>
      <c r="G18" s="93" t="n">
        <v>242.996605322923</v>
      </c>
    </row>
    <row r="19">
      <c r="A19" s="15" t="inlineStr">
        <is>
          <t>영업이익</t>
        </is>
      </c>
      <c r="C19" s="93" t="n">
        <v>-0.941584226437879</v>
      </c>
      <c r="D19" s="93" t="n">
        <v>-1.23988889758329</v>
      </c>
      <c r="E19" s="93" t="n">
        <v>9.38711946871755</v>
      </c>
      <c r="F19" s="93" t="n">
        <v>13.2187182532477</v>
      </c>
      <c r="G19" s="93" t="n">
        <v>33.1598912347684</v>
      </c>
    </row>
    <row r="20">
      <c r="A20" s="15" t="inlineStr">
        <is>
          <t>영업이익률</t>
        </is>
      </c>
      <c r="C20" s="94" t="n">
        <v>-0.0947102531696752</v>
      </c>
      <c r="D20" s="94" t="n">
        <v>-0.0231881668445863</v>
      </c>
      <c r="E20" s="94" t="n">
        <v>0.0484516053306718</v>
      </c>
      <c r="F20" s="94" t="n">
        <v>0.0396511064880436</v>
      </c>
      <c r="G20" s="94" t="n">
        <v>0.0555785993348734</v>
      </c>
    </row>
    <row r="21">
      <c r="A21" s="15" t="inlineStr">
        <is>
          <t>당기순이익</t>
        </is>
      </c>
      <c r="C21" s="93" t="n">
        <v>-0.867474546437879</v>
      </c>
      <c r="D21" s="93" t="n">
        <v>-1.60788889758329</v>
      </c>
      <c r="E21" s="93" t="n">
        <v>7.767119468717549</v>
      </c>
      <c r="F21" s="93" t="n">
        <v>9.37871825324768</v>
      </c>
      <c r="G21" s="93" t="n">
        <v>25.4093912219717</v>
      </c>
    </row>
    <row r="22">
      <c r="A22" s="15" t="inlineStr">
        <is>
          <t>추정 유료 이용자(명)</t>
        </is>
      </c>
      <c r="C22" s="95" t="n">
        <v>798.477905793203</v>
      </c>
      <c r="D22" s="95" t="n">
        <v>4250.92186782991</v>
      </c>
      <c r="E22" s="95" t="n">
        <v>14856.397714467</v>
      </c>
      <c r="F22" s="95" t="n">
        <v>24346.4317211893</v>
      </c>
      <c r="G22" s="95" t="n">
        <v>41227.8318993304</v>
      </c>
    </row>
    <row r="23">
      <c r="A23" s="15" t="inlineStr">
        <is>
          <t>IR 대비 달성률</t>
        </is>
      </c>
      <c r="C23" s="94" t="n">
        <v>0.828477905793203</v>
      </c>
      <c r="D23" s="94" t="n">
        <v>0.534440376963712</v>
      </c>
      <c r="E23" s="94" t="n">
        <v>0.587097504359965</v>
      </c>
      <c r="F23" s="94" t="n">
        <v>0.476251103474742</v>
      </c>
      <c r="G23" s="94" t="n">
        <v>0.382455491672861</v>
      </c>
    </row>
    <row r="24"/>
    <row r="25"/>
    <row r="26">
      <c r="A26" s="3" t="inlineStr">
        <is>
          <t>S3 보수</t>
        </is>
      </c>
    </row>
    <row r="27">
      <c r="A27" s="21" t="inlineStr">
        <is>
          <t>지표</t>
        </is>
      </c>
      <c r="B27" s="11" t="inlineStr"/>
      <c r="C27" s="11" t="n">
        <v>2026</v>
      </c>
      <c r="D27" s="11" t="n">
        <v>2027</v>
      </c>
      <c r="E27" s="11" t="n">
        <v>2028</v>
      </c>
      <c r="F27" s="11" t="n">
        <v>2029</v>
      </c>
      <c r="G27" s="11" t="n">
        <v>2030</v>
      </c>
      <c r="H27" s="11" t="inlineStr">
        <is>
          <t>CAGR('25~'30)</t>
        </is>
      </c>
    </row>
    <row r="28">
      <c r="A28" s="15" t="inlineStr">
        <is>
          <t>매출액</t>
        </is>
      </c>
      <c r="C28" s="93" t="n">
        <v>8.12591725047081</v>
      </c>
      <c r="D28" s="93" t="n">
        <v>31.6659511554622</v>
      </c>
      <c r="E28" s="93" t="n">
        <v>121.921519861036</v>
      </c>
      <c r="F28" s="93" t="n">
        <v>169.662813262411</v>
      </c>
      <c r="G28" s="93" t="n">
        <v>242.1625908615</v>
      </c>
      <c r="H28" s="14">
        <f>IFERROR((G28*100000/'3_연간손익'!$C$7)^(1/5)-1,"n/a")</f>
        <v>0.952150294572546</v>
      </c>
    </row>
    <row r="29">
      <c r="A29" s="15" t="inlineStr">
        <is>
          <t>매출총이익</t>
        </is>
      </c>
      <c r="C29" s="93" t="n">
        <v>3.86346715856121</v>
      </c>
      <c r="D29" s="93" t="n">
        <v>12.5435352277311</v>
      </c>
      <c r="E29" s="93" t="n">
        <v>48.1676516879981</v>
      </c>
      <c r="F29" s="93" t="n">
        <v>67.38635189416171</v>
      </c>
      <c r="G29" s="93" t="n">
        <v>98.2688073169506</v>
      </c>
    </row>
    <row r="30">
      <c r="A30" s="15" t="inlineStr">
        <is>
          <t>영업이익</t>
        </is>
      </c>
      <c r="C30" s="93" t="n">
        <v>-1.14827581351714</v>
      </c>
      <c r="D30" s="93" t="n">
        <v>-4.92136228848975</v>
      </c>
      <c r="E30" s="93" t="n">
        <v>-2.05908565359656</v>
      </c>
      <c r="F30" s="93" t="n">
        <v>-15.344760076104</v>
      </c>
      <c r="G30" s="93" t="n">
        <v>-31.4595648089956</v>
      </c>
    </row>
    <row r="31">
      <c r="A31" s="15" t="inlineStr">
        <is>
          <t>영업이익률</t>
        </is>
      </c>
      <c r="C31" s="94" t="n">
        <v>-0.141310301117158</v>
      </c>
      <c r="D31" s="94" t="n">
        <v>-0.155414952304088</v>
      </c>
      <c r="E31" s="94" t="n">
        <v>-0.0168886153645679</v>
      </c>
      <c r="F31" s="94" t="n">
        <v>-0.0904426832317751</v>
      </c>
      <c r="G31" s="94" t="n">
        <v>-0.129910919341742</v>
      </c>
    </row>
    <row r="32">
      <c r="A32" s="15" t="inlineStr">
        <is>
          <t>당기순이익</t>
        </is>
      </c>
      <c r="C32" s="93" t="n">
        <v>-1.07416613351714</v>
      </c>
      <c r="D32" s="93" t="n">
        <v>-5.28936228848975</v>
      </c>
      <c r="E32" s="93" t="n">
        <v>-3.67908565359656</v>
      </c>
      <c r="F32" s="93" t="n">
        <v>-19.184760076104</v>
      </c>
      <c r="G32" s="93" t="n">
        <v>-36.7395648089956</v>
      </c>
    </row>
    <row r="33">
      <c r="A33" s="15" t="inlineStr">
        <is>
          <t>추정 유료 이용자(명)</t>
        </is>
      </c>
      <c r="C33" s="95" t="n">
        <v>664.6597708725679</v>
      </c>
      <c r="D33" s="95" t="n">
        <v>2498.13644389006</v>
      </c>
      <c r="E33" s="95" t="n">
        <v>9359.57940320056</v>
      </c>
      <c r="F33" s="95" t="n">
        <v>12484.9304710239</v>
      </c>
      <c r="G33" s="95" t="n">
        <v>16957.0995423584</v>
      </c>
    </row>
    <row r="34">
      <c r="A34" s="15" t="inlineStr">
        <is>
          <t>IR 대비 달성률</t>
        </is>
      </c>
      <c r="C34" s="94" t="n">
        <v>0.677159770872567</v>
      </c>
      <c r="D34" s="94" t="n">
        <v>0.31650126092416</v>
      </c>
      <c r="E34" s="94" t="n">
        <v>0.369459151094048</v>
      </c>
      <c r="F34" s="94" t="n">
        <v>0.24237544751773</v>
      </c>
      <c r="G34" s="94" t="n">
        <v>0.155232430039423</v>
      </c>
    </row>
    <row r="35"/>
    <row r="36"/>
    <row r="37">
      <c r="A37" s="3" t="inlineStr">
        <is>
          <t>현재 선택 시나리오 (라이브)</t>
        </is>
      </c>
    </row>
    <row r="38">
      <c r="A38" s="21" t="inlineStr">
        <is>
          <t>지표</t>
        </is>
      </c>
      <c r="B38" s="11" t="inlineStr"/>
      <c r="C38" s="11" t="n">
        <v>2026</v>
      </c>
      <c r="D38" s="11" t="n">
        <v>2027</v>
      </c>
      <c r="E38" s="11" t="n">
        <v>2028</v>
      </c>
      <c r="F38" s="11" t="n">
        <v>2029</v>
      </c>
      <c r="G38" s="11" t="n">
        <v>2030</v>
      </c>
    </row>
    <row r="39">
      <c r="A39" s="15" t="inlineStr">
        <is>
          <t>매출액</t>
        </is>
      </c>
      <c r="B39" s="29" t="str">
        <f>'1_요약'!$C$4</f>
        <v>S1 경영계획(IR 정합)</v>
      </c>
      <c r="C39" s="17">
        <f>'3_연간손익'!D7/100000</f>
        <v>12</v>
      </c>
      <c r="D39" s="17">
        <f>'3_연간손익'!E7/100000</f>
        <v>100.0204</v>
      </c>
      <c r="E39" s="17">
        <f>'3_연간손익'!F7/100000</f>
        <v>330</v>
      </c>
      <c r="F39" s="17">
        <f>'3_연간손익'!G7/100000</f>
        <v>700</v>
      </c>
      <c r="G39" s="17">
        <f>'3_연간손익'!H7/100000</f>
        <v>1560</v>
      </c>
    </row>
    <row r="40">
      <c r="A40" s="15" t="inlineStr">
        <is>
          <t>매출총이익</t>
        </is>
      </c>
      <c r="B40" s="29" t="str">
        <f>'1_요약'!$C$4</f>
        <v>S1 경영계획(IR 정합)</v>
      </c>
      <c r="C40" s="17">
        <f>'3_연간손익'!D10/100000</f>
        <v>5.69602889265537</v>
      </c>
      <c r="D40" s="17">
        <f>'3_연간손익'!E10/100000</f>
        <v>39.70696944</v>
      </c>
      <c r="E40" s="17">
        <f>'3_연간손익'!F10/100000</f>
        <v>130.740831629043</v>
      </c>
      <c r="F40" s="17">
        <f>'3_연간손익'!G10/100000</f>
        <v>279.249885140102</v>
      </c>
      <c r="G40" s="17">
        <f>'3_연간손익'!H10/100000</f>
        <v>637.123055449323</v>
      </c>
    </row>
    <row r="41">
      <c r="A41" s="15" t="inlineStr">
        <is>
          <t>영업이익</t>
        </is>
      </c>
      <c r="B41" s="29" t="str">
        <f>'1_요약'!$C$4</f>
        <v>S1 경영계획(IR 정합)</v>
      </c>
      <c r="C41" s="17">
        <f>'3_연간손익'!D13/100000</f>
        <v>-0.700931107344632</v>
      </c>
      <c r="D41" s="17">
        <f>'3_연간손익'!E13/100000</f>
        <v>6.60993944</v>
      </c>
      <c r="E41" s="17">
        <f>'3_연간손익'!F13/100000</f>
        <v>30.8793016290429</v>
      </c>
      <c r="F41" s="17">
        <f>'3_연간손익'!G13/100000</f>
        <v>79.3051551401019</v>
      </c>
      <c r="G41" s="17">
        <f>'3_연간손익'!H13/100000</f>
        <v>214.119925449323</v>
      </c>
    </row>
    <row r="42">
      <c r="A42" s="15" t="inlineStr">
        <is>
          <t>영업이익률</t>
        </is>
      </c>
      <c r="B42" s="29" t="str">
        <f>'1_요약'!$C$4</f>
        <v>S1 경영계획(IR 정합)</v>
      </c>
      <c r="C42" s="16">
        <f>'3_연간손익'!D14</f>
        <v>-0.0584109256120527</v>
      </c>
      <c r="D42" s="16">
        <f>'3_연간손익'!E14</f>
        <v>0.0660859128737737</v>
      </c>
      <c r="E42" s="16">
        <f>'3_연간손익'!F14</f>
        <v>0.0935736413001299</v>
      </c>
      <c r="F42" s="16">
        <f>'3_연간손익'!G14</f>
        <v>0.113293078771574</v>
      </c>
      <c r="G42" s="16">
        <f>'3_연간손익'!H14</f>
        <v>0.137256362467515</v>
      </c>
    </row>
    <row r="43">
      <c r="A43" s="15" t="inlineStr">
        <is>
          <t>당기순이익</t>
        </is>
      </c>
      <c r="B43" s="29" t="str">
        <f>'1_요약'!$C$4</f>
        <v>S1 경영계획(IR 정합)</v>
      </c>
      <c r="C43" s="17">
        <f>'3_연간손익'!D21/100000</f>
        <v>-0.626821427344632</v>
      </c>
      <c r="D43" s="17">
        <f>'3_연간손익'!E21/100000</f>
        <v>6.24193944</v>
      </c>
      <c r="E43" s="17">
        <f>'3_연간손익'!F21/100000</f>
        <v>28.4775097078692</v>
      </c>
      <c r="F43" s="17">
        <f>'3_연간손익'!G21/100000</f>
        <v>59.0828210092795</v>
      </c>
      <c r="G43" s="17">
        <f>'3_연간손익'!H21/100000</f>
        <v>162.920663490587</v>
      </c>
    </row>
    <row r="44">
      <c r="A44" s="15" t="inlineStr">
        <is>
          <t>추정 유료 이용자(명)</t>
        </is>
      </c>
      <c r="B44" s="29" t="str">
        <f>'1_요약'!$C$4</f>
        <v>S1 경영계획(IR 정합)</v>
      </c>
      <c r="C44" s="18">
        <f>'3_연간손익'!D26</f>
        <v>950</v>
      </c>
      <c r="D44" s="18">
        <f>'3_연간손익'!E26</f>
        <v>8012.73233333333</v>
      </c>
      <c r="E44" s="18">
        <f>'3_연간손익'!F26</f>
        <v>25314.3276219453</v>
      </c>
      <c r="F44" s="18">
        <f>'3_연간손익'!G26</f>
        <v>50824.2010157023</v>
      </c>
      <c r="G44" s="18">
        <f>'3_연간손익'!H26</f>
        <v>106776.188196769</v>
      </c>
    </row>
    <row r="45">
      <c r="A45" s="15" t="inlineStr">
        <is>
          <t>IR 대비 달성률</t>
        </is>
      </c>
      <c r="B45" s="29" t="str">
        <f>'1_요약'!$C$4</f>
        <v>S1 경영계획(IR 정합)</v>
      </c>
      <c r="C45" s="16">
        <f>'3_연간손익'!D28</f>
        <v>1</v>
      </c>
      <c r="D45" s="16">
        <f>'3_연간손익'!E28</f>
        <v>0.999704147926037</v>
      </c>
      <c r="E45" s="16">
        <f>'3_연간손익'!F28</f>
        <v>1</v>
      </c>
      <c r="F45" s="16">
        <f>'3_연간손익'!G28</f>
        <v>1</v>
      </c>
      <c r="G45" s="16">
        <f>'3_연간손익'!H28</f>
        <v>1</v>
      </c>
    </row>
    <row r="46"/>
    <row r="47">
      <c r="A47" s="12" t="inlineStr">
        <is>
          <t>점검: 라이브 매출 = 선택 시나리오 스냅샷</t>
        </is>
      </c>
      <c r="C47" s="96" t="str">
        <f>IF(ISNUMBER(C6),IF(ABS(C39-CHOOSE('1_요약'!$C$5,C6,C17,C28))&lt;0.05,"OK","갱신 필요"),"스냅샷 없음")</f>
        <v>OK</v>
      </c>
      <c r="D47" s="96" t="str">
        <f>IF(ISNUMBER(D6),IF(ABS(D39-CHOOSE('1_요약'!$C$5,D6,D17,D28))&lt;0.05,"OK","갱신 필요"),"스냅샷 없음")</f>
        <v>OK</v>
      </c>
      <c r="E47" s="96" t="str">
        <f>IF(ISNUMBER(E6),IF(ABS(E39-CHOOSE('1_요약'!$C$5,E6,E17,E28))&lt;0.05,"OK","갱신 필요"),"스냅샷 없음")</f>
        <v>OK</v>
      </c>
      <c r="F47" s="96" t="str">
        <f>IF(ISNUMBER(F6),IF(ABS(F39-CHOOSE('1_요약'!$C$5,F6,F17,F28))&lt;0.05,"OK","갱신 필요"),"스냅샷 없음")</f>
        <v>OK</v>
      </c>
      <c r="G47" s="96" t="str">
        <f>IF(ISNUMBER(G6),IF(ABS(G39-CHOOSE('1_요약'!$C$5,G6,G17,G28))&lt;0.05,"OK","갱신 필요"),"스냅샷 없음")</f>
        <v>OK</v>
      </c>
    </row>
    <row r="48"/>
    <row r="49"/>
    <row r="50">
      <c r="A50" s="3" t="inlineStr">
        <is>
          <t>시나리오 정의</t>
        </is>
      </c>
    </row>
    <row r="51">
      <c r="A51" s="20" t="inlineStr">
        <is>
          <t>S1 경영계획(IR 정합): 모든 지정 거래처 100% 반영(Sunway PoC 제외), 신규 파이프라인 100%, 삼성 채널은 IR 목표 대비 잔여. IR 매출 목표와 일치.</t>
        </is>
      </c>
    </row>
    <row r="52">
      <c r="A52" s="20" t="inlineStr">
        <is>
          <t>S2 기준(확률가중): 계약 90%·등록완료 50%·입찰 50%·진행중 30%·접촉 15%, 개시 +2~3개월 지연, 기존 확장 성장 70%, 신규 파이프라인 60%/45%/35%(2028/29/30), 기존 소액 85%.</t>
        </is>
      </c>
    </row>
    <row r="53">
      <c r="A53" s="20" t="inlineStr">
        <is>
          <t>S3 보수: 계약 75%·등록완료 30%·입찰 30%·진행중 15%·접촉 0%, 개시 +4~6개월 지연, 기존 확장 성장 40%, 신규 파이프라인 35%/20%/12%, 기존 소액 70%.</t>
        </is>
      </c>
    </row>
    <row r="54">
      <c r="A54" s="20" t="inlineStr">
        <is>
          <t>인원은 매출 달성률에 75% 탄력적으로 연동(25%는 고정). 임차·출장·상각 등 고정비는 유지되어 규모 하락 시 이익률이 낮아집니다.</t>
        </is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77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50" customWidth="1" min="9" max="9"/>
  </cols>
  <sheetData>
    <row r="1">
      <c r="A1" s="1" t="inlineStr">
        <is>
          <t>10_IR정합 — IR 전망 대비 모델 정합성 및 내재 KPI</t>
        </is>
      </c>
    </row>
    <row r="2">
      <c r="A2" s="2" t="inlineStr">
        <is>
          <t>단위: 천원(별도 표기 제외).</t>
        </is>
      </c>
    </row>
    <row r="3"/>
    <row r="4">
      <c r="A4" s="3" t="inlineStr">
        <is>
          <t>1. IR 매출 전망(p.24) 대비 모델</t>
        </is>
      </c>
    </row>
    <row r="5">
      <c r="A5" s="11" t="inlineStr">
        <is>
          <t>구분</t>
        </is>
      </c>
      <c r="B5" s="11" t="inlineStr"/>
      <c r="C5" s="11" t="n">
        <v>2026</v>
      </c>
      <c r="D5" s="11" t="n">
        <v>2027</v>
      </c>
      <c r="E5" s="11" t="n">
        <v>2028</v>
      </c>
      <c r="F5" s="11" t="n">
        <v>2029</v>
      </c>
      <c r="G5" s="11" t="n">
        <v>2030</v>
      </c>
    </row>
    <row r="6">
      <c r="A6" s="12" t="inlineStr">
        <is>
          <t>IR 매출 목표</t>
        </is>
      </c>
      <c r="C6" s="18">
        <f>'8_가정'!$C$6</f>
        <v>1200000</v>
      </c>
      <c r="D6" s="18">
        <f>'8_가정'!$D$6</f>
        <v>10005000</v>
      </c>
      <c r="E6" s="18">
        <f>'8_가정'!$E$6</f>
        <v>33000000</v>
      </c>
      <c r="F6" s="18">
        <f>'8_가정'!$F$6</f>
        <v>70000000</v>
      </c>
      <c r="G6" s="18">
        <f>'8_가정'!$G$6</f>
        <v>156000000</v>
      </c>
    </row>
    <row r="7" ht="36" customHeight="1">
      <c r="A7" s="12" t="inlineStr">
        <is>
          <t>S1 기준안(A블록, 확률 가중)</t>
        </is>
      </c>
      <c r="C7" s="18">
        <f>'4_매출_거래처'!AV32</f>
        <v>1200000</v>
      </c>
      <c r="D7" s="18">
        <f>'4_매출_거래처'!AW32</f>
        <v>10002040</v>
      </c>
      <c r="E7" s="18">
        <f>'4_매출_거래처'!AX32</f>
        <v>33000000</v>
      </c>
      <c r="F7" s="18">
        <f>'4_매출_거래처'!AY32</f>
        <v>70000000</v>
      </c>
      <c r="G7" s="18">
        <f>'4_매출_거래처'!AZ32</f>
        <v>156000000</v>
      </c>
      <c r="I7" s="97" t="inlineStr">
        <is>
          <t>2027은 IR p.25 표 합계에서 Sunway PoC(3.0억)를 제외한 값 ≈ IR 차트 10,005(차이 −2,960천원(약 −3백만원), 반올림 수준). 2026은 지정 거래처 + 기존 소액 조정, 2028~30은 삼성 채널 잔차로 일치</t>
        </is>
      </c>
    </row>
    <row r="8">
      <c r="A8" s="15" t="inlineStr">
        <is>
          <t>차이(S1 − IR)</t>
        </is>
      </c>
      <c r="C8" s="43">
        <f>C7-C6</f>
        <v>0</v>
      </c>
      <c r="D8" s="43">
        <f>D7-D6</f>
        <v>-2960</v>
      </c>
      <c r="E8" s="43">
        <f>E7-E6</f>
        <v>0</v>
      </c>
      <c r="F8" s="43">
        <f>F7-F6</f>
        <v>0</v>
      </c>
      <c r="G8" s="43">
        <f>G7-G6</f>
        <v>0</v>
      </c>
    </row>
    <row r="9">
      <c r="A9" s="15" t="inlineStr">
        <is>
          <t>차이 %</t>
        </is>
      </c>
      <c r="C9" s="70">
        <f>IFERROR(C8/C6,0)</f>
        <v>0</v>
      </c>
      <c r="D9" s="70">
        <f>IFERROR(D8/D6,0)</f>
        <v>-0.000295852073963019</v>
      </c>
      <c r="E9" s="70">
        <f>IFERROR(E8/E6,0)</f>
        <v>0</v>
      </c>
      <c r="F9" s="70">
        <f>IFERROR(F8/F6,0)</f>
        <v>0</v>
      </c>
      <c r="G9" s="70">
        <f>IFERROR(G8/G6,0)</f>
        <v>0</v>
      </c>
    </row>
    <row r="10">
      <c r="A10" s="15" t="inlineStr">
        <is>
          <t>선택 시나리오 매출(B블록)</t>
        </is>
      </c>
      <c r="C10" s="18">
        <f>'4_매출_거래처'!AV61</f>
        <v>1200000</v>
      </c>
      <c r="D10" s="18">
        <f>'4_매출_거래처'!AW61</f>
        <v>10002040</v>
      </c>
      <c r="E10" s="18">
        <f>'4_매출_거래처'!AX61</f>
        <v>33000000</v>
      </c>
      <c r="F10" s="18">
        <f>'4_매출_거래처'!AY61</f>
        <v>70000000</v>
      </c>
      <c r="G10" s="18">
        <f>'4_매출_거래처'!AZ61</f>
        <v>156000000</v>
      </c>
    </row>
    <row r="11">
      <c r="A11" s="15" t="inlineStr">
        <is>
          <t>선택 시나리오 / IR</t>
        </is>
      </c>
      <c r="C11" s="57">
        <f>IFERROR(C10/C6,0)</f>
        <v>1</v>
      </c>
      <c r="D11" s="57">
        <f>IFERROR(D10/D6,0)</f>
        <v>0.999704147926037</v>
      </c>
      <c r="E11" s="57">
        <f>IFERROR(E10/E6,0)</f>
        <v>1</v>
      </c>
      <c r="F11" s="57">
        <f>IFERROR(F10/F6,0)</f>
        <v>1</v>
      </c>
      <c r="G11" s="57">
        <f>IFERROR(G10/G6,0)</f>
        <v>1</v>
      </c>
    </row>
    <row r="12"/>
    <row r="13">
      <c r="A13" s="3" t="inlineStr">
        <is>
          <t>2. 2027 거래처 표(IR p.25) 대비 모델</t>
        </is>
      </c>
    </row>
    <row r="14">
      <c r="A14" s="11" t="inlineStr">
        <is>
          <t>국가</t>
        </is>
      </c>
      <c r="B14" s="11" t="inlineStr">
        <is>
          <t>거래처</t>
        </is>
      </c>
      <c r="C14" s="11" t="inlineStr">
        <is>
          <t>IR 단계</t>
        </is>
      </c>
      <c r="D14" s="11" t="inlineStr">
        <is>
          <t>IR 2027 매출</t>
        </is>
      </c>
      <c r="E14" s="11" t="inlineStr">
        <is>
          <t>S1 모델 2027</t>
        </is>
      </c>
      <c r="F14" s="11" t="inlineStr">
        <is>
          <t>차이</t>
        </is>
      </c>
      <c r="G14" s="11" t="inlineStr">
        <is>
          <t>선택 시나리오 2027</t>
        </is>
      </c>
      <c r="H14" s="11" t="inlineStr">
        <is>
          <t>비고</t>
        </is>
      </c>
    </row>
    <row r="15">
      <c r="A15" s="15" t="inlineStr">
        <is>
          <t>한국</t>
        </is>
      </c>
      <c r="B15" s="15" t="inlineStr">
        <is>
          <t>국민건강보험공단 혁신 복지용구(NHIS)</t>
        </is>
      </c>
      <c r="C15" s="15" t="inlineStr">
        <is>
          <t>등록 완료</t>
        </is>
      </c>
      <c r="D15" s="55" t="n">
        <v>500000</v>
      </c>
      <c r="E15" s="18">
        <f>'4_매출_거래처'!AW10*'4_매출_거래처'!$S10</f>
        <v>500000</v>
      </c>
      <c r="F15" s="43">
        <f>E15-D15</f>
        <v>0</v>
      </c>
      <c r="G15" s="18">
        <f>'4_매출_거래처'!AW39</f>
        <v>500000</v>
      </c>
    </row>
    <row r="16">
      <c r="A16" s="15" t="inlineStr">
        <is>
          <t>한국</t>
        </is>
      </c>
      <c r="B16" s="15" t="inlineStr">
        <is>
          <t>노인요양병원·시설(프리미엄 요양, 요양시설 기저귀 1위 유통사 경유)</t>
        </is>
      </c>
      <c r="C16" s="15" t="inlineStr">
        <is>
          <t>진행 중</t>
        </is>
      </c>
      <c r="D16" s="55" t="n">
        <v>1986200</v>
      </c>
      <c r="E16" s="18">
        <f>'4_매출_거래처'!AW11*'4_매출_거래처'!$S11</f>
        <v>1986200</v>
      </c>
      <c r="F16" s="43">
        <f>E16-D16</f>
        <v>0</v>
      </c>
      <c r="G16" s="18">
        <f>'4_매출_거래처'!AW40</f>
        <v>1986200</v>
      </c>
    </row>
    <row r="17">
      <c r="A17" s="15" t="inlineStr">
        <is>
          <t>한국</t>
        </is>
      </c>
      <c r="B17" s="15" t="inlineStr">
        <is>
          <t>APP 파트너십(키퍼스 시니어 팬티형 구독)</t>
        </is>
      </c>
      <c r="C17" s="15" t="inlineStr">
        <is>
          <t>계약</t>
        </is>
      </c>
      <c r="D17" s="55" t="n">
        <v>1500000</v>
      </c>
      <c r="E17" s="18">
        <f>'4_매출_거래처'!AW12*'4_매출_거래처'!$S12</f>
        <v>1500000</v>
      </c>
      <c r="F17" s="43">
        <f>E17-D17</f>
        <v>0</v>
      </c>
      <c r="G17" s="18">
        <f>'4_매출_거래처'!AW41</f>
        <v>1500000</v>
      </c>
    </row>
    <row r="18">
      <c r="A18" s="15" t="inlineStr">
        <is>
          <t>한국</t>
        </is>
      </c>
      <c r="B18" s="15" t="inlineStr">
        <is>
          <t>APP B2C(스마트 베이비·시니어 기저귀 구독)</t>
        </is>
      </c>
      <c r="C18" s="15" t="inlineStr">
        <is>
          <t>계약</t>
        </is>
      </c>
      <c r="D18" s="55" t="n">
        <v>1000000</v>
      </c>
      <c r="E18" s="18">
        <f>'4_매출_거래처'!AW13*'4_매출_거래처'!$S13</f>
        <v>1000000</v>
      </c>
      <c r="F18" s="43">
        <f>E18-D18</f>
        <v>0</v>
      </c>
      <c r="G18" s="18">
        <f>'4_매출_거래처'!AW42</f>
        <v>1000000</v>
      </c>
    </row>
    <row r="19">
      <c r="A19" s="15" t="inlineStr">
        <is>
          <t>일본</t>
        </is>
      </c>
      <c r="B19" s="15" t="inlineStr">
        <is>
          <t>HeartKium 총판(HEARTCARE 오사카 요양시설 23곳 포함)</t>
        </is>
      </c>
      <c r="C19" s="15" t="inlineStr">
        <is>
          <t>계약</t>
        </is>
      </c>
      <c r="D19" s="55" t="n">
        <v>1600000</v>
      </c>
      <c r="E19" s="18">
        <f>'4_매출_거래처'!AW14*'4_매출_거래처'!$S14</f>
        <v>1600000</v>
      </c>
      <c r="F19" s="43">
        <f>E19-D19</f>
        <v>0</v>
      </c>
      <c r="G19" s="18">
        <f>'4_매출_거래처'!AW43</f>
        <v>1600000</v>
      </c>
    </row>
    <row r="20">
      <c r="A20" s="15" t="inlineStr">
        <is>
          <t>일본</t>
        </is>
      </c>
      <c r="B20" s="15" t="inlineStr">
        <is>
          <t>일본 TAIS 등록 기반 복지용구 채널(JAIS)</t>
        </is>
      </c>
      <c r="C20" s="15" t="inlineStr">
        <is>
          <t>등록 완료</t>
        </is>
      </c>
      <c r="D20" s="55" t="n">
        <v>2000000</v>
      </c>
      <c r="E20" s="18">
        <f>'4_매출_거래처'!AW15*'4_매출_거래처'!$S15</f>
        <v>2000000</v>
      </c>
      <c r="F20" s="43">
        <f>E20-D20</f>
        <v>0</v>
      </c>
      <c r="G20" s="18">
        <f>'4_매출_거래처'!AW44</f>
        <v>2000000</v>
      </c>
    </row>
    <row r="21">
      <c r="A21" s="15" t="inlineStr">
        <is>
          <t>싱가포르</t>
        </is>
      </c>
      <c r="B21" s="15" t="inlineStr">
        <is>
          <t>NHG(KTPH·TTSH·Woodlands) 스마트 병동</t>
        </is>
      </c>
      <c r="C21" s="15" t="inlineStr">
        <is>
          <t>계약</t>
        </is>
      </c>
      <c r="D21" s="55" t="n">
        <v>180000</v>
      </c>
      <c r="E21" s="18">
        <f>'4_매출_거래처'!AW16*'4_매출_거래처'!$S16</f>
        <v>180000</v>
      </c>
      <c r="F21" s="43">
        <f>E21-D21</f>
        <v>0</v>
      </c>
      <c r="G21" s="18">
        <f>'4_매출_거래처'!AW45</f>
        <v>180000</v>
      </c>
    </row>
    <row r="22">
      <c r="A22" s="15" t="inlineStr">
        <is>
          <t>싱가포르</t>
        </is>
      </c>
      <c r="B22" s="15" t="inlineStr">
        <is>
          <t>IMH 스마트 욕창 케어 R&amp;D(연 SGD 120,000)</t>
        </is>
      </c>
      <c r="C22" s="15" t="inlineStr">
        <is>
          <t>계약</t>
        </is>
      </c>
      <c r="D22" s="55" t="n">
        <v>120000</v>
      </c>
      <c r="E22" s="18">
        <f>'4_매출_거래처'!AW17*'4_매출_거래처'!$S17</f>
        <v>120000</v>
      </c>
      <c r="F22" s="43">
        <f>E22-D22</f>
        <v>0</v>
      </c>
      <c r="G22" s="18">
        <f>'4_매출_거래처'!AW46</f>
        <v>120000</v>
      </c>
    </row>
    <row r="23">
      <c r="A23" s="15" t="inlineStr">
        <is>
          <t>싱가포르</t>
        </is>
      </c>
      <c r="B23" s="15" t="inlineStr">
        <is>
          <t>Vanguard Healthcare(요양원 5곳, 입소자 300명 구독)</t>
        </is>
      </c>
      <c r="C23" s="15" t="inlineStr">
        <is>
          <t>계약</t>
        </is>
      </c>
      <c r="D23" s="55" t="n">
        <v>285840</v>
      </c>
      <c r="E23" s="18">
        <f>'4_매출_거래처'!AW18*'4_매출_거래처'!$S18</f>
        <v>285840</v>
      </c>
      <c r="F23" s="43">
        <f>E23-D23</f>
        <v>0</v>
      </c>
      <c r="G23" s="18">
        <f>'4_매출_거래처'!AW47</f>
        <v>285840</v>
      </c>
    </row>
    <row r="24">
      <c r="A24" s="15" t="inlineStr">
        <is>
          <t>싱가포르</t>
        </is>
      </c>
      <c r="B24" s="15" t="inlineStr">
        <is>
          <t>Intega Healthcare(싱가포르 총판)</t>
        </is>
      </c>
      <c r="C24" s="15" t="inlineStr">
        <is>
          <t>계약</t>
        </is>
      </c>
      <c r="D24" s="55" t="n">
        <v>300000</v>
      </c>
      <c r="E24" s="18">
        <f>'4_매출_거래처'!AW19*'4_매출_거래처'!$S19</f>
        <v>300000</v>
      </c>
      <c r="F24" s="43">
        <f>E24-D24</f>
        <v>0</v>
      </c>
      <c r="G24" s="18">
        <f>'4_매출_거래처'!AW48</f>
        <v>300000</v>
      </c>
    </row>
    <row r="25">
      <c r="A25" s="15" t="inlineStr">
        <is>
          <t>말레이시아</t>
        </is>
      </c>
      <c r="B25" s="15" t="inlineStr">
        <is>
          <t>Sunway Sanctuary(PoC / R&amp;D)</t>
        </is>
      </c>
      <c r="C25" s="15" t="inlineStr">
        <is>
          <t>PoC / R&amp;D</t>
        </is>
      </c>
      <c r="D25" s="55" t="n">
        <v>300000</v>
      </c>
      <c r="E25" s="18">
        <f>'4_매출_거래처'!AW20*'4_매출_거래처'!$S20</f>
        <v>0</v>
      </c>
      <c r="F25" s="43">
        <f>E25-D25</f>
        <v>-300000</v>
      </c>
      <c r="G25" s="18">
        <f>'4_매출_거래처'!AW49</f>
        <v>0</v>
      </c>
      <c r="H25" s="69" t="inlineStr">
        <is>
          <t>PoC → 모든 시나리오 제외(상방)</t>
        </is>
      </c>
    </row>
    <row r="26">
      <c r="A26" s="15" t="inlineStr">
        <is>
          <t>태국</t>
        </is>
      </c>
      <c r="B26" s="15" t="inlineStr">
        <is>
          <t>Punnita(태국, 베이비)</t>
        </is>
      </c>
      <c r="C26" s="15" t="inlineStr">
        <is>
          <t>계약</t>
        </is>
      </c>
      <c r="D26" s="55" t="n">
        <v>90000</v>
      </c>
      <c r="E26" s="18">
        <f>'4_매출_거래처'!AW21*'4_매출_거래처'!$S21</f>
        <v>90000</v>
      </c>
      <c r="F26" s="43">
        <f>E26-D26</f>
        <v>0</v>
      </c>
      <c r="G26" s="18">
        <f>'4_매출_거래처'!AW50</f>
        <v>90000</v>
      </c>
    </row>
    <row r="27">
      <c r="A27" s="15" t="inlineStr">
        <is>
          <t>대만</t>
        </is>
      </c>
      <c r="B27" s="15" t="inlineStr">
        <is>
          <t>Littleloft(대만, 베이비)</t>
        </is>
      </c>
      <c r="C27" s="15" t="inlineStr">
        <is>
          <t>계약</t>
        </is>
      </c>
      <c r="D27" s="55" t="n">
        <v>120000</v>
      </c>
      <c r="E27" s="18">
        <f>'4_매출_거래처'!AW22*'4_매출_거래처'!$S22</f>
        <v>120000</v>
      </c>
      <c r="F27" s="43">
        <f>E27-D27</f>
        <v>0</v>
      </c>
      <c r="G27" s="18">
        <f>'4_매출_거래처'!AW51</f>
        <v>120000</v>
      </c>
    </row>
    <row r="28">
      <c r="A28" s="15" t="inlineStr">
        <is>
          <t>네덜란드</t>
        </is>
      </c>
      <c r="B28" s="15" t="inlineStr">
        <is>
          <t>GIV(네덜란드; IR 지도 표기 GISI Distribution)</t>
        </is>
      </c>
      <c r="C28" s="15" t="inlineStr">
        <is>
          <t>계약</t>
        </is>
      </c>
      <c r="D28" s="55" t="n">
        <v>100000</v>
      </c>
      <c r="E28" s="18">
        <f>'4_매출_거래처'!AW23*'4_매출_거래처'!$S23</f>
        <v>100000</v>
      </c>
      <c r="F28" s="43">
        <f>E28-D28</f>
        <v>0</v>
      </c>
      <c r="G28" s="18">
        <f>'4_매출_거래처'!AW52</f>
        <v>100000</v>
      </c>
    </row>
    <row r="29">
      <c r="A29" s="15" t="inlineStr">
        <is>
          <t>스페인</t>
        </is>
      </c>
      <c r="B29" s="15" t="inlineStr">
        <is>
          <t>NEUCA(스페인)</t>
        </is>
      </c>
      <c r="C29" s="15" t="inlineStr">
        <is>
          <t>접촉</t>
        </is>
      </c>
      <c r="D29" s="55" t="n">
        <v>100000</v>
      </c>
      <c r="E29" s="18">
        <f>'4_매출_거래처'!AW24*'4_매출_거래처'!$S24</f>
        <v>100000</v>
      </c>
      <c r="F29" s="43">
        <f>E29-D29</f>
        <v>0</v>
      </c>
      <c r="G29" s="18">
        <f>'4_매출_거래처'!AW53</f>
        <v>100000</v>
      </c>
    </row>
    <row r="30">
      <c r="A30" s="15" t="inlineStr">
        <is>
          <t>호주</t>
        </is>
      </c>
      <c r="B30" s="15" t="inlineStr">
        <is>
          <t>Healthbeat(호주)</t>
        </is>
      </c>
      <c r="C30" s="15" t="inlineStr">
        <is>
          <t>계약</t>
        </is>
      </c>
      <c r="D30" s="55" t="n">
        <v>120000</v>
      </c>
      <c r="E30" s="18">
        <f>'4_매출_거래처'!AW25*'4_매출_거래처'!$S25</f>
        <v>120000</v>
      </c>
      <c r="F30" s="43">
        <f>E30-D30</f>
        <v>0</v>
      </c>
      <c r="G30" s="18">
        <f>'4_매출_거래처'!AW54</f>
        <v>120000</v>
      </c>
    </row>
    <row r="31">
      <c r="B31" s="15" t="inlineStr">
        <is>
          <t>Econ Healthcare (MY)</t>
        </is>
      </c>
      <c r="C31" s="15" t="inlineStr">
        <is>
          <t>PoC</t>
        </is>
      </c>
      <c r="D31" s="98" t="inlineStr">
        <is>
          <t>미정</t>
        </is>
      </c>
      <c r="E31" s="43" t="n">
        <v>0</v>
      </c>
      <c r="H31" s="69" t="inlineStr">
        <is>
          <t>금액 미정 — 미반영</t>
        </is>
      </c>
    </row>
    <row r="32">
      <c r="B32" s="15" t="inlineStr">
        <is>
          <t>ACG (MY)</t>
        </is>
      </c>
      <c r="C32" s="15" t="inlineStr">
        <is>
          <t>진행 중</t>
        </is>
      </c>
      <c r="D32" s="98" t="inlineStr">
        <is>
          <t>미정</t>
        </is>
      </c>
      <c r="E32" s="43" t="n">
        <v>0</v>
      </c>
      <c r="H32" s="69" t="inlineStr">
        <is>
          <t>금액 미정 — 미반영</t>
        </is>
      </c>
    </row>
    <row r="33">
      <c r="B33" s="15" t="inlineStr">
        <is>
          <t>HITecosystem (PT)</t>
        </is>
      </c>
      <c r="C33" s="15" t="inlineStr">
        <is>
          <t>진행 중</t>
        </is>
      </c>
      <c r="D33" s="98" t="inlineStr">
        <is>
          <t>미정</t>
        </is>
      </c>
      <c r="E33" s="43" t="n">
        <v>0</v>
      </c>
      <c r="H33" s="69" t="inlineStr">
        <is>
          <t>금액 미정 — 미반영</t>
        </is>
      </c>
    </row>
    <row r="34">
      <c r="B34" s="15" t="inlineStr">
        <is>
          <t>Shelter Device (US)</t>
        </is>
      </c>
      <c r="C34" s="15" t="inlineStr">
        <is>
          <t>진행 중</t>
        </is>
      </c>
      <c r="D34" s="98" t="inlineStr">
        <is>
          <t>미정</t>
        </is>
      </c>
      <c r="E34" s="43" t="n">
        <v>0</v>
      </c>
      <c r="H34" s="69" t="inlineStr">
        <is>
          <t>금액 미정 — 미반영</t>
        </is>
      </c>
    </row>
    <row r="35">
      <c r="B35" s="12" t="inlineStr">
        <is>
          <t>합계</t>
        </is>
      </c>
      <c r="D35" s="26">
        <f>SUM(D15:D34)</f>
        <v>10302040</v>
      </c>
      <c r="E35" s="26">
        <f>SUM(E15:E34)</f>
        <v>10002040</v>
      </c>
      <c r="F35" s="26">
        <f>E35-D35</f>
        <v>-300000</v>
      </c>
      <c r="G35" s="26">
        <f>SUM(G15:G34)</f>
        <v>10002040</v>
      </c>
      <c r="H35" s="69" t="inlineStr">
        <is>
          <t>IR 표 합계 10,302,040 / 차트 10,005,000</t>
        </is>
      </c>
    </row>
    <row r="36"/>
    <row r="37"/>
    <row r="38">
      <c r="A38" s="3" t="inlineStr">
        <is>
          <t>3. IR 2027 표의 단계 구성(Sunway 포함 전체)</t>
        </is>
      </c>
    </row>
    <row r="39">
      <c r="A39" s="11" t="inlineStr">
        <is>
          <t>단계</t>
        </is>
      </c>
      <c r="B39" s="11" t="inlineStr"/>
      <c r="C39" s="11" t="inlineStr">
        <is>
          <t>금액</t>
        </is>
      </c>
      <c r="D39" s="11" t="inlineStr">
        <is>
          <t>비중</t>
        </is>
      </c>
    </row>
    <row r="40">
      <c r="A40" s="15" t="inlineStr">
        <is>
          <t>계약</t>
        </is>
      </c>
      <c r="C40" s="43">
        <f>SUMIF($C$15:$C$34,A40,$D$15:$D$34)</f>
        <v>5415840</v>
      </c>
      <c r="D40" s="57">
        <f>IFERROR(C40/$D$35,0)</f>
        <v>0.525705588407733</v>
      </c>
      <c r="E40" s="99" t="inlineStr">
        <is>
          <t>※ NHG는 IR에 "계약"이나 입찰자료상 LOA 미확인(★확인사항). NHG를 입찰 단계로 보면 "계약" 비중은 더 낮아집니다.</t>
        </is>
      </c>
    </row>
    <row r="41">
      <c r="A41" s="15" t="inlineStr">
        <is>
          <t>등록 완료</t>
        </is>
      </c>
      <c r="C41" s="43">
        <f>SUMIF($C$15:$C$34,A41,$D$15:$D$34)</f>
        <v>2500000</v>
      </c>
      <c r="D41" s="57">
        <f>IFERROR(C41/$D$35,0)</f>
        <v>0.242670383729824</v>
      </c>
    </row>
    <row r="42">
      <c r="A42" s="15" t="inlineStr">
        <is>
          <t>진행 중</t>
        </is>
      </c>
      <c r="C42" s="43">
        <f>SUMIF($C$15:$C$34,A42,$D$15:$D$34)</f>
        <v>1986200</v>
      </c>
      <c r="D42" s="57">
        <f>IFERROR(C42/$D$35,0)</f>
        <v>0.192796766465671</v>
      </c>
    </row>
    <row r="43">
      <c r="A43" s="15" t="inlineStr">
        <is>
          <t>PoC / R&amp;D</t>
        </is>
      </c>
      <c r="C43" s="43">
        <f>SUMIF($C$15:$C$34,A43,$D$15:$D$34)</f>
        <v>300000</v>
      </c>
      <c r="D43" s="57">
        <f>IFERROR(C43/$D$35,0)</f>
        <v>0.0291204460475789</v>
      </c>
    </row>
    <row r="44">
      <c r="A44" s="15" t="inlineStr">
        <is>
          <t>접촉</t>
        </is>
      </c>
      <c r="C44" s="43">
        <f>SUMIF($C$15:$C$34,A44,$D$15:$D$34)</f>
        <v>100000</v>
      </c>
      <c r="D44" s="57">
        <f>IFERROR(C44/$D$35,0)</f>
        <v>0.00970681534919298</v>
      </c>
    </row>
    <row r="45">
      <c r="A45" s="12" t="inlineStr">
        <is>
          <t>합계</t>
        </is>
      </c>
      <c r="C45" s="26">
        <f>SUM(C40:C44)</f>
        <v>10302040</v>
      </c>
      <c r="D45" s="100">
        <f>SUM(D40:D44)</f>
        <v>1</v>
      </c>
    </row>
    <row r="46"/>
    <row r="47"/>
    <row r="48">
      <c r="A48" s="3" t="inlineStr">
        <is>
          <t>4. 내재 KPI — IR 목표가 요구하는 이용자·시설 수 vs IR SOM</t>
        </is>
      </c>
    </row>
    <row r="49">
      <c r="A49" s="11" t="inlineStr">
        <is>
          <t>지표</t>
        </is>
      </c>
      <c r="B49" s="11" t="inlineStr"/>
      <c r="C49" s="11" t="n">
        <v>2026</v>
      </c>
      <c r="D49" s="11" t="n">
        <v>2027</v>
      </c>
      <c r="E49" s="11" t="n">
        <v>2028</v>
      </c>
      <c r="F49" s="11" t="n">
        <v>2029</v>
      </c>
      <c r="G49" s="11" t="n">
        <v>2030</v>
      </c>
    </row>
    <row r="50">
      <c r="A50" s="15" t="inlineStr">
        <is>
          <t>IR 목표가 요구하는 평균 유료 이용자(명)</t>
        </is>
      </c>
      <c r="C50" s="18">
        <f>C6/'8_가정'!$C$11</f>
        <v>1000</v>
      </c>
      <c r="D50" s="18">
        <f>D6/'8_가정'!$C$11</f>
        <v>8337.5</v>
      </c>
      <c r="E50" s="18">
        <f>E6/'8_가정'!$C$11</f>
        <v>27500</v>
      </c>
      <c r="F50" s="18">
        <f>F6/'8_가정'!$C$11</f>
        <v>58333.3333333333</v>
      </c>
      <c r="G50" s="18">
        <f>G6/'8_가정'!$C$11</f>
        <v>130000</v>
      </c>
      <c r="H50" s="99" t="inlineStr">
        <is>
          <t>IR 매출 ÷ ARPU(120만원)</t>
        </is>
      </c>
    </row>
    <row r="51">
      <c r="A51" s="15" t="inlineStr">
        <is>
          <t>선택 시나리오 추정 유료 이용자(명)</t>
        </is>
      </c>
      <c r="C51" s="18">
        <f>'3_연간손익'!D26</f>
        <v>950</v>
      </c>
      <c r="D51" s="18">
        <f>'3_연간손익'!E26</f>
        <v>8012.73233333333</v>
      </c>
      <c r="E51" s="18">
        <f>'3_연간손익'!F26</f>
        <v>25314.3276219453</v>
      </c>
      <c r="F51" s="18">
        <f>'3_연간손익'!G26</f>
        <v>50824.2010157023</v>
      </c>
      <c r="G51" s="18">
        <f>'3_연간손익'!H26</f>
        <v>106776.188196769</v>
      </c>
      <c r="H51" s="99" t="inlineStr">
        <is>
          <t>구독형 매출 ÷ ARPU</t>
        </is>
      </c>
    </row>
    <row r="52">
      <c r="A52" s="15" t="inlineStr">
        <is>
          <t>필요 도입 시설 수(곳) — IR 이용자 ÷ 시설당 150명</t>
        </is>
      </c>
      <c r="C52" s="18">
        <f>C50/'8_가정'!$C$12</f>
        <v>6.66666666666667</v>
      </c>
      <c r="D52" s="18">
        <f>D50/'8_가정'!$C$12</f>
        <v>55.5833333333333</v>
      </c>
      <c r="E52" s="18">
        <f>E50/'8_가정'!$C$12</f>
        <v>183.333333333333</v>
      </c>
      <c r="F52" s="18">
        <f>F50/'8_가정'!$C$12</f>
        <v>388.888888888889</v>
      </c>
      <c r="G52" s="18">
        <f>G50/'8_가정'!$C$12</f>
        <v>866.666666666667</v>
      </c>
      <c r="H52" s="99" t="inlineStr">
        <is>
          <t>시설+재가·유통 채널 혼합이므로 상한 지표</t>
        </is>
      </c>
    </row>
    <row r="53">
      <c r="A53" s="15" t="inlineStr">
        <is>
          <t>IR SOM 이용자 대비 비중</t>
        </is>
      </c>
      <c r="C53" s="16">
        <f>C50/'8_가정'!$C$13</f>
        <v>0.004</v>
      </c>
      <c r="D53" s="16">
        <f>D50/'8_가정'!$C$13</f>
        <v>0.03335</v>
      </c>
      <c r="E53" s="16">
        <f>E50/'8_가정'!$C$13</f>
        <v>0.11</v>
      </c>
      <c r="F53" s="16">
        <f>F50/'8_가정'!$C$13</f>
        <v>0.233333333333333</v>
      </c>
      <c r="G53" s="16">
        <f>G50/'8_가정'!$C$13</f>
        <v>0.52</v>
      </c>
      <c r="H53" s="99" t="inlineStr">
        <is>
          <t>SOM 25만 명(3년 목표)</t>
        </is>
      </c>
    </row>
    <row r="54">
      <c r="A54" s="15" t="inlineStr">
        <is>
          <t>지정 거래처 매출 비중(S1)</t>
        </is>
      </c>
      <c r="C54" s="16">
        <f>IFERROR(SUMPRODUCT('4_매출_거래처'!$S$10:$S$25,'4_매출_거래처'!AV10:AV25)/C7,0)</f>
        <v>0.911381925387858</v>
      </c>
      <c r="D54" s="16">
        <f>IFERROR(SUMPRODUCT('4_매출_거래처'!$S$10:$S$25,'4_매출_거래처'!AW10:AW25)/D7,0)</f>
        <v>1</v>
      </c>
      <c r="E54" s="16">
        <f>IFERROR(SUMPRODUCT('4_매출_거래처'!$S$10:$S$25,'4_매출_거래처'!AX10:AX25)/E7,0)</f>
        <v>0.649496637582203</v>
      </c>
      <c r="F54" s="16">
        <f>IFERROR(SUMPRODUCT('4_매출_거래처'!$S$10:$S$25,'4_매출_거래처'!AY10:AY25)/F7,0)</f>
        <v>0.497531661308456</v>
      </c>
      <c r="G54" s="16">
        <f>IFERROR(SUMPRODUCT('4_매출_거래처'!$S$10:$S$25,'4_매출_거래처'!AZ10:AZ25)/G7,0)</f>
        <v>0.330987717970405</v>
      </c>
      <c r="H54" s="99" t="inlineStr">
        <is>
          <t>나머지는 신규 파이프라인·삼성채널·기존 소액</t>
        </is>
      </c>
    </row>
    <row r="55">
      <c r="A55" s="15" t="inlineStr">
        <is>
          <t>삼성 글로벌 채널(잔차) 비중(S1)</t>
        </is>
      </c>
      <c r="C55" s="16">
        <f>IFERROR('4_매출_거래처'!AV31/C7,0)</f>
        <v>0</v>
      </c>
      <c r="D55" s="16">
        <f>IFERROR('4_매출_거래처'!AW31/D7,0)</f>
        <v>0</v>
      </c>
      <c r="E55" s="16">
        <f>IFERROR('4_매출_거래처'!AX31/E7,0)</f>
        <v>0.12323063514507</v>
      </c>
      <c r="F55" s="16">
        <f>IFERROR('4_매출_거래처'!AY31/F7,0)</f>
        <v>0.141039767262973</v>
      </c>
      <c r="G55" s="16">
        <f>IFERROR('4_매출_거래처'!AZ31/G7,0)</f>
        <v>0.1241404871578</v>
      </c>
      <c r="H55" s="99" t="inlineStr">
        <is>
          <t>IR 총액과의 잔차</t>
        </is>
      </c>
    </row>
    <row r="56"/>
    <row r="57"/>
    <row r="58">
      <c r="A58" s="3" t="inlineStr">
        <is>
          <t>5. 정합 검증</t>
        </is>
      </c>
    </row>
    <row r="59">
      <c r="A59" s="15" t="inlineStr">
        <is>
          <t>S1 매출 = IR 목표(2026±0.1%, 2027 −0.05% 이내, 2028~30 일치)</t>
        </is>
      </c>
      <c r="D59" s="101" t="str">
        <f>IF(AND(ABS(C9)&lt;0.001,ABS(D9)&lt;0.0005,ABS(E9)&lt;0.0001,ABS(F9)&lt;0.0001,ABS(G9)&lt;0.0001),"OK","확인")</f>
        <v>OK</v>
      </c>
    </row>
    <row r="60">
      <c r="A60" s="15" t="inlineStr">
        <is>
          <t>삼성 채널 잔차 ≥ 0</t>
        </is>
      </c>
      <c r="D60" s="96" t="str">
        <f>IF(MIN('4_매출_거래처'!AX31:AZ31)&gt;=0,"OK","확인")</f>
        <v>OK</v>
      </c>
    </row>
    <row r="61">
      <c r="A61" s="15" t="inlineStr">
        <is>
          <t>제품 믹스 프로파일 합계 100%</t>
        </is>
      </c>
      <c r="D61" s="96" t="str">
        <f>'8_가정'!$C$87</f>
        <v>OK</v>
      </c>
    </row>
    <row r="62">
      <c r="A62" s="15" t="inlineStr">
        <is>
          <t>기존 소액 조정 행 ≥ 0</t>
        </is>
      </c>
      <c r="D62" s="96" t="str">
        <f>IF('4_매출_거래처'!M26&gt;=0,"OK","확인")</f>
        <v>OK</v>
      </c>
    </row>
    <row r="63"/>
    <row r="64">
      <c r="A64" s="3" t="inlineStr">
        <is>
          <t>6. 성장 연속성 — 2027년 12월 run-rate 대비 2028년 매출(선택 시나리오)</t>
        </is>
      </c>
    </row>
    <row r="65">
      <c r="A65" s="15" t="inlineStr">
        <is>
          <t>2027-12 월 매출(천원)</t>
        </is>
      </c>
      <c r="D65" s="18">
        <f>'2_손익계산서'!AA14</f>
        <v>1121220.87633924</v>
      </c>
    </row>
    <row r="66">
      <c r="A66" s="15" t="inlineStr">
        <is>
          <t>2027-12 월 매출 연환산(천원)</t>
        </is>
      </c>
      <c r="D66" s="43">
        <f>D65*12</f>
        <v>13454650.5160708</v>
      </c>
    </row>
    <row r="67">
      <c r="A67" s="15" t="inlineStr">
        <is>
          <t>2028 매출(천원)</t>
        </is>
      </c>
      <c r="D67" s="18">
        <f>'2_손익계산서'!AC14</f>
        <v>33000000</v>
      </c>
    </row>
    <row r="68">
      <c r="A68" s="15" t="inlineStr">
        <is>
          <t>2028 매출 ÷ 2027-12 연환산(배)</t>
        </is>
      </c>
      <c r="D68" s="102">
        <f>IFERROR(D67/D66,0)</f>
        <v>2.45268355061199</v>
      </c>
      <c r="E68" s="99" t="inlineStr">
        <is>
          <t>※ 2028 신규 파이프라인·삼성 채널(약 1/3)이 포함되어 있어 12월 run-rate 대비 배수가 큼 → 투자사 질의 예상 지점</t>
        </is>
      </c>
    </row>
    <row r="69">
      <c r="A69" s="15" t="inlineStr">
        <is>
          <t>2028 평균 월 매출(천원)</t>
        </is>
      </c>
      <c r="D69" s="43">
        <f>D67/12</f>
        <v>2750000</v>
      </c>
    </row>
    <row r="70"/>
    <row r="71"/>
    <row r="72">
      <c r="A72" s="3" t="inlineStr">
        <is>
          <t>7. 계약 통화 → 원화 환산(참고, 모델 미반영) — IR 2027 표는 현지 통화 수치를 천원으로 표기한 것으로 보임</t>
        </is>
      </c>
    </row>
    <row r="73">
      <c r="A73" s="11" t="inlineStr">
        <is>
          <t>거래처</t>
        </is>
      </c>
      <c r="B73" s="11" t="inlineStr">
        <is>
          <t>계약 통화·금액</t>
        </is>
      </c>
      <c r="C73" s="11" t="inlineStr">
        <is>
          <t>금액(현지통화)</t>
        </is>
      </c>
      <c r="D73" s="11" t="inlineStr">
        <is>
          <t>환율(8_가정)</t>
        </is>
      </c>
      <c r="E73" s="11" t="inlineStr">
        <is>
          <t>원화 환산(천원)</t>
        </is>
      </c>
      <c r="F73" s="11" t="inlineStr">
        <is>
          <t>IR 표(천원)</t>
        </is>
      </c>
      <c r="G73" s="11" t="inlineStr">
        <is>
          <t>상향 여지(천원)</t>
        </is>
      </c>
    </row>
    <row r="74">
      <c r="A74" s="15" t="inlineStr">
        <is>
          <t>NHG(KTPH·TTSH·WH) — RFP 초안 기준</t>
        </is>
      </c>
      <c r="B74" s="63" t="inlineStr">
        <is>
          <t>SGD</t>
        </is>
      </c>
      <c r="C74" s="55" t="n">
        <v>180000</v>
      </c>
      <c r="D74" s="17">
        <f>'8_가정'!$C$8</f>
        <v>1096</v>
      </c>
      <c r="E74" s="43">
        <f>C74*D74/1000</f>
        <v>197280</v>
      </c>
      <c r="F74" s="55" t="n">
        <v>180000</v>
      </c>
      <c r="G74" s="43">
        <f>E74-F74</f>
        <v>17280</v>
      </c>
    </row>
    <row r="75">
      <c r="A75" s="15" t="inlineStr">
        <is>
          <t>IMH 욕창 R&amp;D(연)</t>
        </is>
      </c>
      <c r="B75" s="63" t="inlineStr">
        <is>
          <t>SGD</t>
        </is>
      </c>
      <c r="C75" s="55" t="n">
        <v>120000</v>
      </c>
      <c r="D75" s="17">
        <f>'8_가정'!$C$8</f>
        <v>1096</v>
      </c>
      <c r="E75" s="43">
        <f>C75*D75/1000</f>
        <v>131520</v>
      </c>
      <c r="F75" s="55" t="n">
        <v>120000</v>
      </c>
      <c r="G75" s="43">
        <f>E75-F75</f>
        <v>11520</v>
      </c>
    </row>
    <row r="76">
      <c r="A76" s="15" t="inlineStr">
        <is>
          <t>Vanguard 입소자 300명 구독(연)</t>
        </is>
      </c>
      <c r="B76" s="63" t="inlineStr">
        <is>
          <t>USD</t>
        </is>
      </c>
      <c r="C76" s="55" t="n">
        <v>285840</v>
      </c>
      <c r="D76" s="17">
        <f>'8_가정'!$C$7</f>
        <v>1400</v>
      </c>
      <c r="E76" s="43">
        <f>C76*D76/1000</f>
        <v>400176</v>
      </c>
      <c r="F76" s="55" t="n">
        <v>285840</v>
      </c>
      <c r="G76" s="43">
        <f>E76-F76</f>
        <v>114336</v>
      </c>
    </row>
    <row r="77">
      <c r="A77" s="15" t="inlineStr">
        <is>
          <t>Intega 첫 수출(2026-01)</t>
        </is>
      </c>
      <c r="B77" s="63" t="inlineStr">
        <is>
          <t>USD</t>
        </is>
      </c>
      <c r="C77" s="55" t="n">
        <v>17440</v>
      </c>
      <c r="D77" s="17">
        <f>'8_가정'!$C$7</f>
        <v>1400</v>
      </c>
      <c r="E77" s="43">
        <f>C77*D77/1000</f>
        <v>24416</v>
      </c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4" customWidth="1" min="3" max="3"/>
    <col width="80" customWidth="1" min="4" max="4"/>
    <col width="46" customWidth="1" min="5" max="5"/>
  </cols>
  <sheetData>
    <row r="1">
      <c r="A1" s="1" t="inlineStr">
        <is>
          <t>★제출전_확인사항 (삭제 후 제출)</t>
        </is>
      </c>
    </row>
    <row r="2">
      <c r="A2" s="2" t="inlineStr">
        <is>
          <t>투자사에 제출하기 전에 아래 항목을 확인·반영하고 이 시트를 삭제하세요.</t>
        </is>
      </c>
    </row>
    <row r="4">
      <c r="A4" s="11" t="inlineStr">
        <is>
          <t>#</t>
        </is>
      </c>
      <c r="B4" s="11" t="inlineStr">
        <is>
          <t>시트</t>
        </is>
      </c>
      <c r="C4" s="11" t="inlineStr">
        <is>
          <t>확인할 내용</t>
        </is>
      </c>
      <c r="D4" s="11" t="inlineStr">
        <is>
          <t>현재 반영 및 근거</t>
        </is>
      </c>
      <c r="E4" s="11" t="inlineStr">
        <is>
          <t>조치 제안</t>
        </is>
      </c>
    </row>
    <row r="5" ht="40" customHeight="1">
      <c r="A5" s="8" t="n">
        <v>1</v>
      </c>
      <c r="B5" s="76" t="inlineStr">
        <is>
          <t>4_매출_거래처 · 2_손익계산서</t>
        </is>
      </c>
      <c r="C5" s="103" t="inlineStr">
        <is>
          <t>2026년 1~9월 실적(월별) 및 2026 상반기 결산</t>
        </is>
      </c>
      <c r="D5" s="76" t="inlineStr">
        <is>
          <t>자료 없음 → 거래처별 램프로 추정(헤더 "추정" 표기). 2026 합계는 IR 1,200백만원에 맞추기 위해 기존 소액 거래처 조정 행(약 1.1억)을 포함</t>
        </is>
      </c>
      <c r="E5" s="76" t="inlineStr">
        <is>
          <t>월별 실적 확정 시 해당 월 셀을 실적 값으로 덮어쓰고, 기존 소액 행은 거래처별 실적으로 대체. 투자사 양식 IS·BS의 2026.06 칸도 함께 채움</t>
        </is>
      </c>
    </row>
    <row r="6" ht="42" customHeight="1">
      <c r="A6" s="8" t="n">
        <v>2</v>
      </c>
      <c r="B6" s="76" t="inlineStr">
        <is>
          <t>6_거래처현황 · 4_매출_거래처</t>
        </is>
      </c>
      <c r="C6" s="103" t="inlineStr">
        <is>
          <t>NHG(KTPH·TTSH·Woodlands) "계약" 표기</t>
        </is>
      </c>
      <c r="D6" s="76" t="inlineStr">
        <is>
          <t>IR p.14~17·회사연혁은 "계약 SGD 180,000"이나, 입찰 자료는 RFP(KTPH-RFP-26-165-MJ) 2026-09-18 마감·제안서 제출 단계이고 SGD 180,000은 보증금(10% = S$18,000) 산정 기준의 초안값, LOA 미확인. 모델은 입찰 단계(S2·S3 확률 50%/30%), 2027-06~08 검수 매출로 반영</t>
        </is>
      </c>
      <c r="E6" s="76" t="inlineStr">
        <is>
          <t>LOA/PO 수령 여부 확인 후 IR·연혁의 "계약" 표현을 정합하거나 "입찰 제안(LOA 대기)"으로 정정. 금액 단가는 입찰 가격표(Section 3) 확인</t>
        </is>
      </c>
    </row>
    <row r="7" ht="42" customHeight="1">
      <c r="A7" s="8" t="n">
        <v>3</v>
      </c>
      <c r="B7" s="76" t="inlineStr">
        <is>
          <t>10_IR정합</t>
        </is>
      </c>
      <c r="C7" s="103" t="inlineStr">
        <is>
          <t>IR p.25 2027 표의 통화·단위</t>
        </is>
      </c>
      <c r="D7" s="76" t="inlineStr">
        <is>
          <t>표 단위는 천원이나 NHG(SGD 180,000)·IMH(SGD 120,000)·Vanguard(USD 285,840)는 현지 통화 수치로 보임. 환산 시 상향(예: Vanguard USD 285,840 ≈ 4.0억원 vs 표 2.86억). 모델은 IR 표 수치를 그대로 원화로 사용(보수적)</t>
        </is>
      </c>
      <c r="E7" s="76" t="inlineStr">
        <is>
          <t>계약서 통화 기준으로 원화 환산 후 표 정정 또는 각주 추가. 환율은 8_가정</t>
        </is>
      </c>
    </row>
    <row r="8" ht="40" customHeight="1">
      <c r="A8" s="8" t="n">
        <v>4</v>
      </c>
      <c r="B8" s="76" t="inlineStr">
        <is>
          <t>10_IR정합</t>
        </is>
      </c>
      <c r="C8" s="103" t="inlineStr">
        <is>
          <t>IR 차트(10,005) vs 표 합계(10,302,040)</t>
        </is>
      </c>
      <c r="D8" s="76" t="inlineStr">
        <is>
          <t>차이 297,040천원 ≈ Sunway PoC 300,000. 모델은 Sunway 제외(10,002,040)로 일치시킴. 차트 막대 높이도 라벨과 불일치(2026 막대 약 3.5 vs 라벨 12 등)</t>
        </is>
      </c>
      <c r="E8" s="76" t="inlineStr">
        <is>
          <t>IR 차트 막대/라벨 수정 또는 각주. 지역 구성도 표(한국 48%·일본 35%)와 차트(일본 52%)가 달라 한쪽으로 통일</t>
        </is>
      </c>
    </row>
    <row r="9" ht="40" customHeight="1">
      <c r="A9" s="8" t="n">
        <v>5</v>
      </c>
      <c r="B9" s="76" t="inlineStr">
        <is>
          <t>4_매출_거래처</t>
        </is>
      </c>
      <c r="C9" s="103" t="inlineStr">
        <is>
          <t>노인요양시설 "구독자 2만 명 = 1,980,000 USD"(IR p.10)</t>
        </is>
      </c>
      <c r="D9" s="76" t="inlineStr">
        <is>
          <t>20,000명 × 99,000원 = 19.8억원은 월 매출 규모이며 USD가 아님. 2027 표의 노인요양병원 19.86억은 연 매출로 해석(약 1,670명 구독 수준). 2만 명은 2030 한국 시장 확장 목표로만 활용</t>
        </is>
      </c>
      <c r="E9" s="76" t="inlineStr">
        <is>
          <t>슬라이드 문구(단위·기간) 정정. 연 매출로 환산하면 2만 명 = 약 238억원</t>
        </is>
      </c>
    </row>
    <row r="10" ht="40" customHeight="1">
      <c r="A10" s="8" t="n">
        <v>6</v>
      </c>
      <c r="B10" s="76" t="inlineStr">
        <is>
          <t>6_거래처현황</t>
        </is>
      </c>
      <c r="C10" s="103" t="inlineStr">
        <is>
          <t>거래처명·국가 표기 확인</t>
        </is>
      </c>
      <c r="D10" s="76" t="inlineStr">
        <is>
          <t>GIV(Green Initiative Ventures) vs IR 지도 GISI Distribution(네덜란드), NEUCA 국가 표기(스페인), 임직원 영문명·직책 상충(IR 9/27 vs 9/09)</t>
        </is>
      </c>
      <c r="E10" s="76" t="inlineStr">
        <is>
          <t>정확한 법인명·국가 확인</t>
        </is>
      </c>
    </row>
    <row r="11" ht="40" customHeight="1">
      <c r="A11" s="8" t="n">
        <v>7</v>
      </c>
      <c r="B11" s="76" t="inlineStr">
        <is>
          <t>4_매출_거래처</t>
        </is>
      </c>
      <c r="C11" s="103" t="inlineStr">
        <is>
          <t>거래처별 2025·2026 상반기 매출(투자사 양식 "거래처 현황" 시트)</t>
        </is>
      </c>
      <c r="D11" s="76" t="inlineStr">
        <is>
          <t>자료 없음. 2025 매출 8.54억 중 지정 거래처로 설명되지 않는 부분은 기존 소액·기타 행으로 처리</t>
        </is>
      </c>
      <c r="E11" s="76" t="inlineStr">
        <is>
          <t>회계 장부·세금계산서 기준 상위 10개 거래처·비중 작성 후 모델 반영</t>
        </is>
      </c>
    </row>
    <row r="12" ht="40" customHeight="1">
      <c r="A12" s="8" t="n">
        <v>8</v>
      </c>
      <c r="B12" s="76" t="inlineStr">
        <is>
          <t>7_비용인력 · 8_가정</t>
        </is>
      </c>
      <c r="C12" s="103" t="inlineStr">
        <is>
          <t>개발비(자산 19.8억) 상각 시점·내용연수, 개발비 자본화 정책</t>
        </is>
      </c>
      <c r="D12" s="76" t="inlineStr">
        <is>
          <t>2025 판관비·매출원가에 상각이 보이지 않아 상품화 시점(2027-01)부터 5년 정액(연 4.4억) 반영. 신규 개발비 자본화는 미반영(전액 비용 처리 가정이 아니라 경상 R&amp;D 비율로 단순화)</t>
        </is>
      </c>
      <c r="E12" s="76" t="inlineStr">
        <is>
          <t>2025 감사보고서 주석(무형자산) 확인 후 상각비·자본화 정책 수정</t>
        </is>
      </c>
    </row>
    <row r="13" ht="40" customHeight="1">
      <c r="A13" s="8" t="n">
        <v>9</v>
      </c>
      <c r="B13" s="76" t="inlineStr">
        <is>
          <t>8_가정</t>
        </is>
      </c>
      <c r="C13" s="103" t="inlineStr">
        <is>
          <t>법인세율·이월결손금·중소기업 요건</t>
        </is>
      </c>
      <c r="D13" s="76" t="inlineStr">
        <is>
          <t>2026 귀속 10/20/22/25%(2025 세법개정 반영 여부는 출처 메모 참조), 이월결손금 약 30.3억은 자본 구조에서 역산한 추정치, 중소기업 한도 100% 공제</t>
        </is>
      </c>
      <c r="E13" s="76" t="inlineStr">
        <is>
          <t>세무사 확인(세무상 결손금, 중소기업 졸업 시점, 세액공제·최저한세)</t>
        </is>
      </c>
    </row>
    <row r="14" ht="40" customHeight="1">
      <c r="A14" s="8" t="n">
        <v>10</v>
      </c>
      <c r="B14" s="76" t="inlineStr">
        <is>
          <t>7_비용인력 · 8_가정</t>
        </is>
      </c>
      <c r="C14" s="103" t="inlineStr">
        <is>
          <t>인원 계획·급여·차입금·이자율</t>
        </is>
      </c>
      <c r="D14" s="76" t="inlineStr">
        <is>
          <t>현재 7명(2026-07 4대보험 명부) → 22 → 85 → 130 → 260명(S1), 차입금 12 → 20 → 60 → 100 → 120억. 투자 유치(증자) 반영 없음 — 자금조달에 따라 이자비용이 줄어들 수 있음</t>
        </is>
      </c>
      <c r="E14" s="76" t="inlineStr">
        <is>
          <t>투자 라운드·사용처 확정 후 인력·차입 가정과 BS·CF 계획 연계</t>
        </is>
      </c>
    </row>
    <row r="15" ht="40" customHeight="1">
      <c r="A15" s="8" t="n">
        <v>11</v>
      </c>
      <c r="B15" s="76" t="inlineStr">
        <is>
          <t>8_가정</t>
        </is>
      </c>
      <c r="C15" s="103" t="inlineStr">
        <is>
          <t>Hansoms(Xiamen) 현물출자(최대 USD 448k 상당 제품 납품)</t>
        </is>
      </c>
      <c r="D15" s="76" t="inlineStr">
        <is>
          <t>원가에 미반영(보수적). 기저귀 원가 절감 여지로 설명 가능</t>
        </is>
      </c>
      <c r="E15" s="76" t="inlineStr">
        <is>
          <t>계약 효력일·납품 일정 확인 후 원가 반영 여부 결정</t>
        </is>
      </c>
    </row>
    <row r="16" ht="40" customHeight="1">
      <c r="A16" s="8" t="n">
        <v>12</v>
      </c>
      <c r="B16" s="76" t="inlineStr">
        <is>
          <t>9_시나리오</t>
        </is>
      </c>
      <c r="C16" s="103" t="inlineStr">
        <is>
          <t>스냅샷 갱신</t>
        </is>
      </c>
      <c r="D16" s="76" t="inlineStr">
        <is>
          <t>시나리오 표는 값 스냅샷. 입력을 바꾼 뒤 "점검" 행이 "갱신 필요"이면 시나리오별로 다시 선택해 값을 확인</t>
        </is>
      </c>
      <c r="E16" s="76" t="inlineStr">
        <is>
          <t>필요 시 S1/S2/S3를 순서대로 선택해 수치를 복사 갱신</t>
        </is>
      </c>
    </row>
    <row r="17" ht="40" customHeight="1">
      <c r="A17" s="8" t="n">
        <v>13</v>
      </c>
      <c r="B17" s="76" t="inlineStr">
        <is>
          <t>6_거래처현황 · 4_매출_거래처</t>
        </is>
      </c>
      <c r="C17" s="103" t="inlineStr">
        <is>
          <t>Vanguard Healthcare 단계</t>
        </is>
      </c>
      <c r="D17" s="76" t="inlineStr">
        <is>
          <t>IR p.18·25는 "계약 확정", IR p.14 제목과 입찰자료는 PoC로 표기. 모델은 계약(근거수준 A)으로 반영</t>
        </is>
      </c>
      <c r="E17" s="76" t="inlineStr">
        <is>
          <t>계약서/PO 확인 후 단계 정정. 확인 전이면 S2·S3 확률이 이미 90%/75%로 보수 반영됨</t>
        </is>
      </c>
    </row>
    <row r="18" ht="40" customHeight="1">
      <c r="A18" s="8" t="n">
        <v>14</v>
      </c>
      <c r="B18" s="76" t="inlineStr">
        <is>
          <t>9_시나리오</t>
        </is>
      </c>
      <c r="C18" s="103" t="inlineStr">
        <is>
          <t>S2·S3 비용 대응</t>
        </is>
      </c>
      <c r="D18" s="76" t="inlineStr">
        <is>
          <t>S2·S3는 인원(75% 탄력)과 변동비만 조정하고 임차·출장·상각·차입금은 S1 수준 유지 → 대응 없는 보수 가정이라 S3 손실이 커짐</t>
        </is>
      </c>
      <c r="E18" s="76" t="inlineStr">
        <is>
          <t>투자사 설명 시 "무대응 보수안"임을 명시하거나 고정비·인원 감축 규칙 추가</t>
        </is>
      </c>
    </row>
    <row r="19" ht="40" customHeight="1">
      <c r="A19" s="8" t="n">
        <v>15</v>
      </c>
      <c r="B19" s="76" t="inlineStr">
        <is>
          <t>10_IR정합</t>
        </is>
      </c>
      <c r="C19" s="103" t="inlineStr">
        <is>
          <t>IR p.24 차트의 지역 구성 vs 모델 2028~30</t>
        </is>
      </c>
      <c r="D19" s="76" t="inlineStr">
        <is>
          <t>차트는 일본 약 45%·미국 확대, 모델 S1은 한국 비중이 큼(2027 표 기준). 차트 막대 자체가 라벨과 불일치</t>
        </is>
      </c>
      <c r="E19" s="76" t="inlineStr">
        <is>
          <t>IR 차트 수정 또는 지역 구성 정합 설명 준비</t>
        </is>
      </c>
    </row>
    <row r="20" ht="40" customHeight="1">
      <c r="A20" s="8" t="n">
        <v>16</v>
      </c>
      <c r="B20" s="76" t="inlineStr">
        <is>
          <t>2_손익계산서 · 7_비용인력</t>
        </is>
      </c>
      <c r="C20" s="103" t="inlineStr">
        <is>
          <t>운전자본·자금 계획</t>
        </is>
      </c>
      <c r="D20" s="76" t="inlineStr">
        <is>
          <t>7_비용인력 F절에 순운전자본 참고 추정 추가(2030 약 294억). 현금흐름·BS는 범위 밖</t>
        </is>
      </c>
      <c r="E20" s="76" t="inlineStr">
        <is>
          <t>투자 라운드 규모와 차입 가정 연계한 자금계획 별도 준비</t>
        </is>
      </c>
    </row>
    <row r="21" ht="40" customHeight="1">
      <c r="A21" s="8" t="n">
        <v>17</v>
      </c>
      <c r="B21" s="76" t="inlineStr">
        <is>
          <t>1_요약 · 10_IR정합</t>
        </is>
      </c>
      <c r="C21" s="103" t="inlineStr">
        <is>
          <t>2028~2030 신규 파이프라인·삼성 채널 비중</t>
        </is>
      </c>
      <c r="D21" s="76" t="inlineStr">
        <is>
          <t>2030년 S1에서 지정 거래처 비중은 약 1/3, 나머지는 신규 파이프라인과 삼성 채널(잔차)로 IR 총액에 맞춤. 투자사가 가장 먼저 질문할 지점</t>
        </is>
      </c>
      <c r="E21" s="76" t="inlineStr">
        <is>
          <t>삼성 채널·미국 유통·일본 신규 시설에 대해 마일스톤(계약 목표 시점·채널 수)을 사전 준비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(주)모닛</dc:creator>
  <dc:title>(주)모닛 5개년 사업계획(손익계산서) 2026-2030</dc:title>
  <dc:subject>5개년 사업계획 — IR 매출 전망 기반 손익계산서</dc:subject>
  <dcterms:created xsi:type="dcterms:W3CDTF">2026-10-05T02:06:59Z</dcterms:created>
  <dcterms:modified xsi:type="dcterms:W3CDTF">2026-10-05T02:07:00Z</dcterms:modified>
</cp:coreProperties>
</file>