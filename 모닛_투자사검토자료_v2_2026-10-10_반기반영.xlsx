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420" yWindow="-26440" windowWidth="45140" windowHeight="24160" tabRatio="766" firstSheet="0" activeTab="7" autoFilterDateGrouping="1"/>
  </bookViews>
  <sheets>
    <sheet name="회사개요" sheetId="1" state="visible" r:id="rId1"/>
    <sheet name="회사연혁" sheetId="2" state="visible" r:id="rId2"/>
    <sheet name="조직도" sheetId="3" state="visible" r:id="rId3"/>
    <sheet name="임직원 현황" sheetId="4" state="visible" r:id="rId4"/>
    <sheet name="자본금변동내역" sheetId="5" state="visible" r:id="rId5"/>
    <sheet name="주주명부" sheetId="6" state="visible" r:id="rId6"/>
    <sheet name="스톡옵션발행내역" sheetId="7" state="visible" r:id="rId7"/>
    <sheet name="BS" sheetId="8" state="visible" r:id="rId8"/>
    <sheet name="IS" sheetId="9" state="visible" r:id="rId9"/>
    <sheet name="차입금 현황" sheetId="10" state="visible" r:id="rId10"/>
    <sheet name="거래처 현황" sheetId="11" state="visible" r:id="rId11"/>
    <sheet name="★제출전_확인사항(삭제후제출)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\(#,##0\)"/>
  </numFmts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2"/>
      <sz val="8"/>
      <scheme val="minor"/>
    </font>
    <font>
      <name val="Times New Roman"/>
      <family val="1"/>
      <b val="1"/>
      <color theme="1"/>
      <sz val="9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맑은 고딕"/>
      <charset val="129"/>
      <family val="2"/>
      <sz val="9"/>
    </font>
    <font>
      <name val="맑은 고딕"/>
      <charset val="129"/>
      <family val="2"/>
      <sz val="10"/>
    </font>
    <font>
      <name val="맑은 고딕"/>
      <charset val="129"/>
      <family val="2"/>
      <b val="1"/>
      <sz val="9"/>
    </font>
    <font>
      <name val="맑은 고딕"/>
      <charset val="129"/>
      <family val="2"/>
      <color rgb="FF595959"/>
      <sz val="8"/>
    </font>
    <font>
      <name val="맑은 고딕"/>
      <charset val="129"/>
      <family val="2"/>
      <sz val="8"/>
    </font>
    <font>
      <name val="맑은 고딕"/>
      <charset val="129"/>
      <family val="2"/>
      <color rgb="FF000000"/>
      <sz val="11"/>
    </font>
    <font>
      <name val="맑은 고딕"/>
      <charset val="129"/>
      <family val="2"/>
      <sz val="9"/>
    </font>
    <font>
      <name val="맑은 고딕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1"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1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center" vertical="center" wrapText="1"/>
    </xf>
    <xf numFmtId="31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9" fillId="0" borderId="0" pivotButton="0" quotePrefix="0" xfId="0"/>
    <xf numFmtId="0" fontId="10" fillId="9" borderId="6" applyAlignment="1" pivotButton="0" quotePrefix="0" xfId="0">
      <alignment vertical="center" wrapText="1"/>
    </xf>
    <xf numFmtId="0" fontId="8" fillId="6" borderId="6" applyAlignment="1" pivotButton="0" quotePrefix="0" xfId="0">
      <alignment vertical="center" wrapText="1"/>
    </xf>
    <xf numFmtId="0" fontId="8" fillId="7" borderId="6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1" fillId="8" borderId="1" applyAlignment="1" pivotButton="0" quotePrefix="0" xfId="0">
      <alignment horizontal="center" vertical="center" wrapText="1"/>
    </xf>
    <xf numFmtId="0" fontId="11" fillId="8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3" fontId="3" fillId="8" borderId="1" applyAlignment="1" pivotButton="0" quotePrefix="0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vertical="center" wrapText="1"/>
    </xf>
    <xf numFmtId="164" fontId="10" fillId="0" borderId="6" applyAlignment="1" pivotButton="0" quotePrefix="0" xfId="0">
      <alignment vertical="center" wrapText="1"/>
    </xf>
    <xf numFmtId="164" fontId="10" fillId="8" borderId="6" applyAlignment="1" pivotButton="0" quotePrefix="0" xfId="0">
      <alignment vertical="center" wrapText="1"/>
    </xf>
    <xf numFmtId="164" fontId="8" fillId="0" borderId="6" applyAlignment="1" pivotButton="0" quotePrefix="0" xfId="0">
      <alignment vertical="center" wrapText="1"/>
    </xf>
    <xf numFmtId="164" fontId="8" fillId="8" borderId="6" applyAlignment="1" pivotButton="0" quotePrefix="0" xfId="0">
      <alignment vertical="center" wrapText="1"/>
    </xf>
    <xf numFmtId="3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3" fillId="0" borderId="1" applyAlignment="1" pivotButton="0" quotePrefix="1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10" fillId="0" borderId="6" applyAlignment="1" pivotButton="0" quotePrefix="0" xfId="0">
      <alignment vertical="center" wrapText="1"/>
    </xf>
    <xf numFmtId="164" fontId="8" fillId="0" borderId="6" applyAlignment="1" pivotButton="0" quotePrefix="0" xfId="0">
      <alignment vertical="center" wrapText="1"/>
    </xf>
    <xf numFmtId="164" fontId="14" fillId="0" borderId="6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4" fillId="0" borderId="6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Claude</author>
  </authors>
  <commentList>
    <comment ref="B7" authorId="0" shapeId="0">
      <text>
        <t>확인 필요: 2026-07-07 이후 입·퇴사 변동 여부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11" authorId="0" shapeId="0">
      <text>
        <t>확인 필요: 수상 월(月)</t>
      </text>
    </comment>
    <comment ref="B12" authorId="0" shapeId="0">
      <text>
        <t>확인 필요: 선적일·금액을 면장/CI로 확인</t>
      </text>
    </comment>
    <comment ref="B14" authorId="0" shapeId="0">
      <text>
        <t>확인 필요: 계약 체결일(월)을 계약서로 확인</t>
      </text>
    </comment>
    <comment ref="B15" authorId="0" shapeId="0">
      <text>
        <t>확인 필요: 계약 체결일(월)을 계약서로 확인</t>
      </text>
    </comment>
    <comment ref="B16" authorId="0" shapeId="0">
      <text>
        <t>확인 필요: 계약서 최종본의 효력발생일이 공란 — 서명일 확인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B11" authorId="0" shapeId="0">
      <text>
        <t>Mary Furlong은 외부 어드바이저로 직원수(7명)에 포함되지 않음</t>
      </text>
    </comment>
    <comment ref="C16" authorId="0" shapeId="0">
      <text>
        <t>확인 필요: 영문명(Asher Cho?)·직함 확인</t>
      </text>
    </comment>
    <comment ref="C17" authorId="0" shapeId="0">
      <text>
        <t>확인 필요: 실명(4대보험 명부상 누구인지) 확인</t>
      </text>
    </comment>
    <comment ref="C19" authorId="0" shapeId="0">
      <text>
        <t>확인 필요: 실명(4대보험 명부상 누구인지) 확인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C2" authorId="0" shapeId="0">
      <text>
        <t>확인 필요: 학력 — 볼트 자료에 근거 없음</t>
      </text>
    </comment>
    <comment ref="C6" authorId="0" shapeId="0">
      <text>
        <t>확인 필요: 학력 — 볼트 자료에 근거 없음</t>
      </text>
    </comment>
    <comment ref="D7" authorId="0" shapeId="0">
      <text>
        <t>확인 필요: 직책·담당 업무·이전 경력</t>
      </text>
    </comment>
    <comment ref="C10" authorId="0" shapeId="0">
      <text>
        <t>확인 필요: 학력 — 볼트 자료에 근거 없음</t>
      </text>
    </comment>
    <comment ref="D11" authorId="0" shapeId="0">
      <text>
        <t>확인 필요: 이전 경력(IR 자료의 「前 유한킴벌리 시니어 프로덕트 리드」가 본인인지)</t>
      </text>
    </comment>
    <comment ref="C14" authorId="0" shapeId="0">
      <text>
        <t>확인 필요: 학력 — 볼트 자료에 근거 없음</t>
      </text>
    </comment>
    <comment ref="C18" authorId="0" shapeId="0">
      <text>
        <t>확인 필요: 학력 — 볼트 자료에 근거 없음</t>
      </text>
    </comment>
    <comment ref="D19" authorId="0" shapeId="0">
      <text>
        <t>확인 필요: 직책·담당 업무·이전 경력</t>
      </text>
    </comment>
    <comment ref="C22" authorId="0" shapeId="0">
      <text>
        <t>확인 필요: 학력 — 볼트 자료에 근거 없음</t>
      </text>
    </comment>
    <comment ref="D23" authorId="0" shapeId="0">
      <text>
        <t>확인 필요: 담당 업무·이전 경력</t>
      </text>
    </comment>
    <comment ref="C26" authorId="0" shapeId="0">
      <text>
        <t>확인 필요: 학력 — 볼트 자료에 근거 없음</t>
      </text>
    </comment>
    <comment ref="D27" authorId="0" shapeId="0">
      <text>
        <t>확인 필요: 직책·담당 업무·이전 경력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F3" authorId="0" shapeId="0">
      <text>
        <t>확인 필요: 회차별 1주당 발행가 — 등기부·감사보고서에 없음. 주식납입금보관증명서 또는 투자계약서로 확인</t>
      </text>
    </comment>
  </commentList>
</comments>
</file>

<file path=xl/comments/comment6.xml><?xml version="1.0" encoding="utf-8"?>
<comments xmlns="http://schemas.openxmlformats.org/spreadsheetml/2006/main">
  <authors>
    <author>Claude</author>
  </authors>
  <commentList>
    <comment ref="A1" authorId="0" shapeId="0">
      <text>
        <t>투자 전 = 2025-12-31 감사보고서 및 2026-03-31자 주주명부 기준.
「투자 후」 칸은 이번 라운드 조건 확정 후 기재.</t>
      </text>
    </comment>
  </commentList>
</comments>
</file>

<file path=xl/comments/comment7.xml><?xml version="1.0" encoding="utf-8"?>
<comments xmlns="http://schemas.openxmlformats.org/spreadsheetml/2006/main">
  <authors>
    <author>MONIT</author>
  </authors>
  <commentList>
    <comment ref="D2" authorId="0" shapeId="0">
      <text>
        <t>2026년 반기 재무제표(제10기 2026-01-01~06-30, 회사 제공 PDF "2Q 재무제표") 기준. 매출채권·선급금은 대손충당금 차감 전 금액.</t>
      </text>
    </comment>
    <comment ref="A5" authorId="0" shapeId="0">
      <text>
        <t>대손충당금 차감 전 금액 (충당금 2024: 1,482,576 / 2025: 2,488,791 / 2026.06: 2,488,791)</t>
      </text>
    </comment>
    <comment ref="A6" authorId="0" shapeId="0">
      <text>
        <t>대손충당금 차감 전 금액 (충당금 2024: 7,085,136 / 2025: 8,052,519 / 2026.06: 8,052,519)</t>
      </text>
    </comment>
  </commentList>
</comments>
</file>

<file path=xl/comments/comment8.xml><?xml version="1.0" encoding="utf-8"?>
<comments xmlns="http://schemas.openxmlformats.org/spreadsheetml/2006/main">
  <authors>
    <author>MONIT</author>
  </authors>
  <commentList>
    <comment ref="D2" authorId="0" shapeId="0">
      <text>
        <t>2026년 반기 재무제표(제10기 2026-01-01~06-30, 회사 제공 PDF "2Q 재무제표") 기준. 반기(6개월) 누적 금액이며 연환산 아님.</t>
      </text>
    </comment>
  </commentList>
</comments>
</file>

<file path=xl/comments/comment9.xml><?xml version="1.0" encoding="utf-8"?>
<comments xmlns="http://schemas.openxmlformats.org/spreadsheetml/2006/main">
  <authors>
    <author>Claude</author>
  </authors>
  <commentList>
    <comment ref="E3" authorId="0" shapeId="0">
      <text>
        <t>확인 필요: 대출 기간·만기 — 감사보고서에 없음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190" zoomScaleNormal="190" workbookViewId="0">
      <selection activeCell="B4" sqref="B4"/>
    </sheetView>
  </sheetViews>
  <sheetFormatPr baseColWidth="10" defaultColWidth="8.83203125" defaultRowHeight="17"/>
  <cols>
    <col width="22.1640625" customWidth="1" style="23" min="1" max="1"/>
    <col width="52.5" customWidth="1" style="23" min="2" max="2"/>
  </cols>
  <sheetData>
    <row r="1" ht="18" customHeight="1" s="23">
      <c r="A1" s="56" t="inlineStr">
        <is>
          <t>항목</t>
        </is>
      </c>
      <c r="B1" s="56" t="inlineStr">
        <is>
          <t>주요내용</t>
        </is>
      </c>
    </row>
    <row r="2">
      <c r="A2" s="2" t="inlineStr">
        <is>
          <t>설립년월</t>
        </is>
      </c>
      <c r="B2" s="16" t="inlineStr">
        <is>
          <t>2017년 4월 (법인 설립일 2017-04-10)</t>
        </is>
      </c>
    </row>
    <row r="3">
      <c r="A3" s="2" t="inlineStr">
        <is>
          <t>사업자/법인번호</t>
        </is>
      </c>
      <c r="B3" s="17" t="inlineStr">
        <is>
          <t>사업자등록번호 112-86-00705 / 법인등록번호 110111-6371019</t>
        </is>
      </c>
    </row>
    <row r="4" ht="104" customHeight="1" s="23">
      <c r="A4" s="2" t="inlineStr">
        <is>
          <t>주요 사업</t>
        </is>
      </c>
      <c r="B4" s="60" t="inlineStr">
        <is>
          <t>- AIoT 스마트 기저귀 케어 시스템 
  (MECS PRO: 기저귀 센서·BLE 게이트웨이·간병인 앱·관리자 웹 대시보드). 
  제조·판매 및 전용 기저귀 구독 서비스
- 개발 중: 60GHz 레이더 바이탈 모니터링(2026년 4분기 출시 예정), 
  스마트 상처 (욕창) 케어 시스템</t>
        </is>
      </c>
    </row>
    <row r="5" ht="28" customHeight="1" s="23">
      <c r="A5" s="2" t="inlineStr">
        <is>
          <t>납입자본금</t>
        </is>
      </c>
      <c r="B5" s="18" t="inlineStr">
        <is>
          <t>427,575,000원 (보통주 347,175,000원 / 우선주 80,400,000원)
발행주식 85,515주 · 1주 액면 5,000원 (2025-12-31 감사보고서 기준)</t>
        </is>
      </c>
    </row>
    <row r="6">
      <c r="A6" s="2" t="inlineStr">
        <is>
          <t>대표이사</t>
        </is>
      </c>
      <c r="B6" s="2" t="inlineStr">
        <is>
          <t>박도형</t>
        </is>
      </c>
    </row>
    <row r="7">
      <c r="A7" s="2" t="inlineStr">
        <is>
          <t>직원수</t>
        </is>
      </c>
      <c r="B7" s="24" t="inlineStr">
        <is>
          <t>7명 (대표이사 포함, 4대보험 가입자 명부 2026-07-07 기준)</t>
        </is>
      </c>
    </row>
    <row r="8" ht="30" customHeight="1" s="23">
      <c r="A8" s="64" t="inlineStr">
        <is>
          <t>소재지</t>
        </is>
      </c>
      <c r="B8" s="2" t="inlineStr">
        <is>
          <t>서울특별시 서초구 양재대로12길 56, 우수기업센터동 9층 905호 (양재동, 에이아이캠퍼스 에이동)</t>
        </is>
      </c>
    </row>
    <row r="9">
      <c r="A9" s="2" t="inlineStr">
        <is>
          <t>연락처</t>
        </is>
      </c>
      <c r="B9" s="18" t="inlineStr">
        <is>
          <t>Tel 02-6927-5425 / tony.park@goodmonit.com / www.monitcorp.com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topLeftCell="A3" workbookViewId="0">
      <selection activeCell="F28" sqref="F28"/>
    </sheetView>
  </sheetViews>
  <sheetFormatPr baseColWidth="10" defaultColWidth="8.83203125" defaultRowHeight="17"/>
  <cols>
    <col width="85.6640625" customWidth="1" style="23" min="2" max="2"/>
  </cols>
  <sheetData>
    <row r="1" ht="18" customHeight="1" s="23">
      <c r="A1" s="56" t="inlineStr">
        <is>
          <t>연월</t>
        </is>
      </c>
      <c r="B1" s="56" t="inlineStr">
        <is>
          <t>주요 내용</t>
        </is>
      </c>
    </row>
    <row r="2" ht="18" customHeight="1" s="23">
      <c r="A2" s="25" t="inlineStr">
        <is>
          <t>2017.04</t>
        </is>
      </c>
      <c r="B2" s="46" t="inlineStr">
        <is>
          <t>주식회사 모닛 설립 (삼성전자 C-Lab 사내벤처 분사)</t>
        </is>
      </c>
    </row>
    <row r="3" ht="18" customHeight="1" s="23">
      <c r="A3" s="25" t="inlineStr">
        <is>
          <t>2017.06</t>
        </is>
      </c>
      <c r="B3" s="46" t="inlineStr">
        <is>
          <t>삼성벤처투자(SVIC32호 신기술사업투자조합) 투자 유치</t>
        </is>
      </c>
    </row>
    <row r="4" ht="18" customHeight="1" s="23">
      <c r="A4" s="25" t="inlineStr">
        <is>
          <t>2017.10</t>
        </is>
      </c>
      <c r="B4" s="46" t="inlineStr">
        <is>
          <t>유한킴벌리와 스마트 케어 서비스 개발 MOU 체결</t>
        </is>
      </c>
    </row>
    <row r="5" ht="18" customHeight="1" s="23">
      <c r="A5" s="25" t="inlineStr">
        <is>
          <t>2018.03</t>
        </is>
      </c>
      <c r="B5" s="46" t="inlineStr">
        <is>
          <t>미국 Kimberly-Clark 공식 Supplier 선정</t>
        </is>
      </c>
    </row>
    <row r="6" ht="18" customHeight="1" s="23">
      <c r="A6" s="25" t="inlineStr">
        <is>
          <t>2018.06</t>
        </is>
      </c>
      <c r="B6" s="46" t="inlineStr">
        <is>
          <t>스마트 베이비 모니터 「모닛」 출시</t>
        </is>
      </c>
    </row>
    <row r="7" ht="18" customHeight="1" s="23">
      <c r="A7" s="25" t="inlineStr">
        <is>
          <t>2018.08</t>
        </is>
      </c>
      <c r="B7" s="46" t="inlineStr">
        <is>
          <t>스마트 베이비 캐리어 브랜드 「Bebefit」 출시</t>
        </is>
      </c>
    </row>
    <row r="8" ht="32" customHeight="1" s="23">
      <c r="A8" s="25" t="inlineStr">
        <is>
          <t>2018.08</t>
        </is>
      </c>
      <c r="B8" s="46" t="inlineStr">
        <is>
          <t>시리즈 A 투자 유치: 엘앤에스벤처캐피탈(L&amp;S-SDC 청년창업 투자조합)·IBK캐피탈(IBK금융그룹 창업기업 일자리창출 투자조합)</t>
        </is>
      </c>
    </row>
    <row r="9" ht="18" customHeight="1" s="23">
      <c r="A9" s="25" t="inlineStr">
        <is>
          <t>2018.09</t>
        </is>
      </c>
      <c r="B9" s="46" t="inlineStr">
        <is>
          <t>시리즈 A 투자 유치: 마젤란기술투자(K-Growth 크라우드투스텝펀드)</t>
        </is>
      </c>
    </row>
    <row r="10" ht="18" customHeight="1" s="23">
      <c r="A10" s="25" t="inlineStr">
        <is>
          <t>2018.10</t>
        </is>
      </c>
      <c r="B10" s="46" t="inlineStr">
        <is>
          <t>인라이트벤처스(인라이트3호CG펀드) 투자 유치 (2019.03 추가 투자)</t>
        </is>
      </c>
    </row>
    <row r="11" ht="18" customHeight="1" s="23">
      <c r="A11" s="25" t="inlineStr">
        <is>
          <t>2019.01</t>
        </is>
      </c>
      <c r="B11" s="46" t="inlineStr">
        <is>
          <t>UC Berkeley SkyDeck Accelerator Cohort 선정 · 미국 법인 MONIT America Inc. 설립</t>
        </is>
      </c>
    </row>
    <row r="12" ht="18" customHeight="1" s="23">
      <c r="A12" s="25" t="inlineStr">
        <is>
          <t>2020.01</t>
        </is>
      </c>
      <c r="B12" s="46" t="inlineStr">
        <is>
          <t>CES 2020에서 고령자용 스마트 기저귀 케어 시스템(Elderly Care System) 첫 공개</t>
        </is>
      </c>
    </row>
    <row r="13" ht="18" customHeight="1" s="23">
      <c r="A13" s="25" t="inlineStr">
        <is>
          <t>2020.01</t>
        </is>
      </c>
      <c r="B13" s="46" t="inlineStr">
        <is>
          <t>경북 경산 「스마트케어솔루션 인공지능 연구개발센터」 지점 설치 (2023.05 폐지)</t>
        </is>
      </c>
    </row>
    <row r="14" ht="18" customHeight="1" s="23">
      <c r="A14" s="25" t="inlineStr">
        <is>
          <t>2020.03</t>
        </is>
      </c>
      <c r="B14" s="46" t="inlineStr">
        <is>
          <t>JPMA Innovation Award 수상</t>
        </is>
      </c>
    </row>
    <row r="15" ht="32" customHeight="1" s="23">
      <c r="A15" s="25" t="inlineStr">
        <is>
          <t>2020.04</t>
        </is>
      </c>
      <c r="B15" s="46" t="inlineStr">
        <is>
          <t>시리즈 A 브릿지 투자 유치 (2020.04~06 · 2종 전환상환우선주 인라이트벤처스·부국증권·유리자산운용, 마젤란기술투자 MTI스타트업320펀드 보통주)</t>
        </is>
      </c>
    </row>
    <row r="16" ht="18" customHeight="1" s="23">
      <c r="A16" s="25" t="inlineStr">
        <is>
          <t>2020.09</t>
        </is>
      </c>
      <c r="B16" s="46" t="inlineStr">
        <is>
          <t>유한킴벌리와 요양기관 대상 베타 테스트 계약 체결</t>
        </is>
      </c>
    </row>
    <row r="17" ht="18" customHeight="1" s="23">
      <c r="A17" s="25" t="inlineStr">
        <is>
          <t>2021.10</t>
        </is>
      </c>
      <c r="B17" s="46" t="inlineStr">
        <is>
          <t>홍콩 Delta Pyramax 독점 공급 계약 체결</t>
        </is>
      </c>
    </row>
    <row r="18" ht="18" customHeight="1" s="23">
      <c r="A18" s="25" t="inlineStr">
        <is>
          <t>2022.12</t>
        </is>
      </c>
      <c r="B18" s="46" t="inlineStr">
        <is>
          <t>용인 온누리요양센터 MECS 임상 테스트 진행</t>
        </is>
      </c>
    </row>
    <row r="19" ht="18" customHeight="1" s="23">
      <c r="A19" s="25" t="inlineStr">
        <is>
          <t>2023.05</t>
        </is>
      </c>
      <c r="B19" s="46" t="inlineStr">
        <is>
          <t>본점 이전 (서울 서초구 태봉로 114, AI양재허브)</t>
        </is>
      </c>
    </row>
    <row r="20" ht="18" customHeight="1" s="23">
      <c r="A20" s="25" t="inlineStr">
        <is>
          <t>2023.06</t>
        </is>
      </c>
      <c r="B20" s="46" t="inlineStr">
        <is>
          <t>일본 KAO와 데이터 공급 비즈니스 계약 체결</t>
        </is>
      </c>
    </row>
    <row r="21" ht="18" customHeight="1" s="23">
      <c r="A21" s="25" t="inlineStr">
        <is>
          <t>2023.09</t>
        </is>
      </c>
      <c r="B21" s="46" t="inlineStr">
        <is>
          <t>가톨릭대학교 성빈센트병원 디지털헬스케어 MOU 체결</t>
        </is>
      </c>
    </row>
    <row r="22" ht="18" customHeight="1" s="23">
      <c r="A22" s="25" t="inlineStr">
        <is>
          <t>2023.12</t>
        </is>
      </c>
      <c r="B22" s="46" t="inlineStr">
        <is>
          <t>MECS 장기요양보험 혁신복지용구 시범사업 선정</t>
        </is>
      </c>
    </row>
    <row r="23" ht="18" customHeight="1" s="23">
      <c r="A23" s="25" t="inlineStr">
        <is>
          <t>2023.12</t>
        </is>
      </c>
      <c r="B23" s="47" t="inlineStr">
        <is>
          <t xml:space="preserve">연간 흑자 전환 달성 </t>
        </is>
      </c>
    </row>
    <row r="24" ht="18" customHeight="1" s="23">
      <c r="A24" s="25" t="inlineStr">
        <is>
          <t>2024</t>
        </is>
      </c>
      <c r="B24" s="47" t="inlineStr">
        <is>
          <t>중소벤처기업부 창업도약패키지 지원사업 선정 (주관기관 경기창조경제혁신센터)</t>
        </is>
      </c>
    </row>
    <row r="25" ht="32" customHeight="1" s="23">
      <c r="A25" s="25" t="inlineStr">
        <is>
          <t>2024</t>
        </is>
      </c>
      <c r="B25" s="47" t="inlineStr">
        <is>
          <t>일본 HeartCare(오사카 요양시설 운영사) MECS 수출 · 센서 2,000개·기저귀 100만 장 초도 발주</t>
        </is>
      </c>
    </row>
    <row r="26" ht="18" customHeight="1" s="23">
      <c r="A26" s="25" t="inlineStr">
        <is>
          <t>2024.10</t>
        </is>
      </c>
      <c r="B26" s="46" t="inlineStr">
        <is>
          <t>벤처기업 확인 (벤처투자유형, 유효기간 2024-08-24 ~ 2027-08-23)</t>
        </is>
      </c>
    </row>
    <row r="27" ht="32" customHeight="1" s="23">
      <c r="A27" s="25" t="inlineStr">
        <is>
          <t>2024.10</t>
        </is>
      </c>
      <c r="B27" s="47" t="inlineStr">
        <is>
          <t>UAE 두바이 GITEX Global 2024 참가 · 중동 SSHNPO(Geriatrics Center of Excellence) 협력 계약</t>
        </is>
      </c>
    </row>
    <row r="28" ht="18" customHeight="1" s="23">
      <c r="A28" s="25" t="inlineStr">
        <is>
          <t>2024.12</t>
        </is>
      </c>
      <c r="B28" s="46" t="inlineStr">
        <is>
          <t>MECS 국민건강보험공단 장기요양보험 복지용구 급여품목(본급여) 지정 (본인부담 15%)</t>
        </is>
      </c>
    </row>
    <row r="29" ht="18" customHeight="1" s="23">
      <c r="A29" s="25" t="inlineStr">
        <is>
          <t>2025.07</t>
        </is>
      </c>
      <c r="B29" s="46" t="inlineStr">
        <is>
          <t>싱가포르 Khoo Teck Puat Hospital(KTPH) 스마트 병동 스마트 기저귀 실증(PoC) 개시</t>
        </is>
      </c>
    </row>
    <row r="30" ht="18" customHeight="1" s="23">
      <c r="A30" s="25" t="n">
        <v>2025.08</v>
      </c>
      <c r="B30" s="46" t="inlineStr">
        <is>
          <t>스마트 시니어 케어 플랫폼 구매조건부 과제 선정 (5억7천만원, 2년)</t>
        </is>
      </c>
    </row>
    <row r="31" ht="18" customHeight="1" s="23">
      <c r="A31" s="25" t="inlineStr">
        <is>
          <t>2025.09</t>
        </is>
      </c>
      <c r="B31" s="46" t="inlineStr">
        <is>
          <t>요양시설용 스마트 기저귀 케어 시스템 「MECS PRO」 정식 출시</t>
        </is>
      </c>
    </row>
    <row r="32" ht="18" customHeight="1" s="23">
      <c r="A32" s="25" t="inlineStr">
        <is>
          <t>2025.09</t>
        </is>
      </c>
      <c r="B32" s="46" t="inlineStr">
        <is>
          <t>Wearable Technologies Innovation World Cup® USA 2025 1위 수상</t>
        </is>
      </c>
    </row>
    <row r="33" ht="18" customHeight="1" s="23">
      <c r="A33" s="25" t="inlineStr">
        <is>
          <t>2025.09</t>
        </is>
      </c>
      <c r="B33" s="46" t="inlineStr">
        <is>
          <t>네덜란드 GISI BV 독점 공급 계약 체결 (MECS·Bebefit)</t>
        </is>
      </c>
    </row>
    <row r="34" ht="18" customHeight="1" s="23">
      <c r="A34" s="25" t="inlineStr">
        <is>
          <t>2025.12</t>
        </is>
      </c>
      <c r="B34" s="46" t="inlineStr">
        <is>
          <t>싱가포르 SingHealth 병원그룹(Polyclinics) PoC 및 공급 계약 체결</t>
        </is>
      </c>
    </row>
    <row r="35" ht="18" customHeight="1" s="23">
      <c r="A35" s="25" t="inlineStr">
        <is>
          <t>2025.12</t>
        </is>
      </c>
      <c r="B35" s="46" t="inlineStr">
        <is>
          <t>Intega와 싱가포르·태국·말레이시아 3개국 독점 공급 계약 체결 (45억 원 규모)</t>
        </is>
      </c>
    </row>
    <row r="36" ht="18" customHeight="1" s="23">
      <c r="A36" s="25" t="inlineStr">
        <is>
          <t>2026.01</t>
        </is>
      </c>
      <c r="B36" s="47" t="inlineStr">
        <is>
          <t>싱가포르 총판 Intega Healthcare 첫 수출 (USD 17,440)</t>
        </is>
      </c>
    </row>
    <row r="37" ht="32" customHeight="1" s="23">
      <c r="A37" s="25" t="inlineStr">
        <is>
          <t>2026.02</t>
        </is>
      </c>
      <c r="B37" s="46" t="inlineStr">
        <is>
          <t>본점 이전 (서울 서초구 양재대로12길 56, 에이아이캠퍼스) · 2026.03 서초 AICT 우수기업센터 입주</t>
        </is>
      </c>
    </row>
    <row r="38" ht="18" customHeight="1" s="23">
      <c r="A38" s="25" t="inlineStr">
        <is>
          <t>2026.02</t>
        </is>
      </c>
      <c r="B38" s="46" t="inlineStr">
        <is>
          <t>싱가포르 국립정신건강원(IMH) 스마트 욕창(스킨) 케어 공동 R&amp;D 수주 (SGD 120,000)</t>
        </is>
      </c>
    </row>
    <row r="39" ht="32" customHeight="1" s="23">
      <c r="A39" s="25" t="inlineStr">
        <is>
          <t>2026</t>
        </is>
      </c>
      <c r="B39" s="47" t="inlineStr">
        <is>
          <t>싱가포르 NHG 산하 KTPH·TTSH·Woodlands Health 3개 병원 Smart Ward 정식 계약 (SGD 180,000)</t>
        </is>
      </c>
    </row>
    <row r="40" ht="18" customHeight="1" s="23">
      <c r="A40" s="25" t="inlineStr">
        <is>
          <t>2026.05</t>
        </is>
      </c>
      <c r="B40" s="46" t="inlineStr">
        <is>
          <t>싱가포르 Vanguard Healthcare PoC 진행</t>
        </is>
      </c>
    </row>
    <row r="41" ht="18" customHeight="1" s="23">
      <c r="A41" s="25" t="inlineStr">
        <is>
          <t>2026.07</t>
        </is>
      </c>
      <c r="B41" s="47" t="inlineStr">
        <is>
          <t>중국 기저귀 제조사 Hansoms(Xiamen) 전략적 현물출자 투자 계약</t>
        </is>
      </c>
    </row>
    <row r="42" ht="18" customHeight="1" s="23">
      <c r="A42" s="25" t="inlineStr">
        <is>
          <t>2026.09</t>
        </is>
      </c>
      <c r="B42" s="46" t="inlineStr">
        <is>
          <t>GDIN 「DNA 융합 제품·서비스 해외진출 지원사업」 최종 선정 (지원금 3,500만 원)</t>
        </is>
      </c>
    </row>
    <row r="43" ht="18" customHeight="1" s="23">
      <c r="A43" s="25" t="inlineStr">
        <is>
          <t>2026.09</t>
        </is>
      </c>
      <c r="B43" s="46" t="inlineStr">
        <is>
          <t>싱가포르 공공병원 입찰(KTPH-RFP-26-165-MJ, NHG 3개 병원) 제안서 제출</t>
        </is>
      </c>
    </row>
    <row r="45">
      <c r="A45" s="48" t="inlineStr">
        <is>
          <t>※ 출처: 법인 등기사항전부증명서·감사보고서·벤처기업확인서(내부자료), 회사 홈페이지 연혁(www.monitcorp.com, 2026-10-04 확인), 언론보도(Straits Times 2025-07-10, 바이오타임즈 2025-02-14, 동아일보 2024-12-26, 비즈니스포스트 2025-11-14, innovationworldcup.com 2025-10).</t>
        </is>
      </c>
    </row>
    <row r="46">
      <c r="A46" s="48" t="inlineStr">
        <is>
          <t>※ 설립월은 등기부 기준(2017-04-10). 홈페이지는 2017.06, 시리즈 A 브릿지는 2020.08로 표기되어 있어 등기부 기준으로 통일. 노란색 = 월·금액 등 추가 확인 필요.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C21"/>
  <sheetViews>
    <sheetView workbookViewId="0">
      <selection activeCell="B23" sqref="B23"/>
    </sheetView>
  </sheetViews>
  <sheetFormatPr baseColWidth="10" defaultColWidth="8.83203125" defaultRowHeight="17"/>
  <cols>
    <col width="23.33203125" customWidth="1" style="23" min="1" max="1"/>
    <col width="55.83203125" customWidth="1" style="23" min="2" max="2"/>
    <col width="20.83203125" customWidth="1" style="23" min="3" max="3"/>
  </cols>
  <sheetData>
    <row r="5">
      <c r="B5" s="0" t="inlineStr">
        <is>
          <t>조직도 그림</t>
        </is>
      </c>
    </row>
    <row r="6">
      <c r="B6" s="28" t="inlineStr">
        <is>
          <t>대표이사 박도형 (CEO)</t>
        </is>
      </c>
    </row>
    <row r="7">
      <c r="B7" s="28" t="inlineStr">
        <is>
          <t xml:space="preserve">  ├─ 개발 (CTO) — 이재현 팀장  </t>
        </is>
      </c>
    </row>
    <row r="8">
      <c r="B8" s="28" t="inlineStr">
        <is>
          <t xml:space="preserve">  ├─ 국내 세일즈 ·기저귀 제품개발 — 조언석 팀장</t>
        </is>
      </c>
    </row>
    <row r="9">
      <c r="B9" s="28" t="inlineStr">
        <is>
          <t xml:space="preserve">  ├─ 글로벌 세일즈 — 이희현 팀장 </t>
        </is>
      </c>
    </row>
    <row r="10">
      <c r="B10" s="28" t="inlineStr">
        <is>
          <t xml:space="preserve">  ├─ 고객경험 (CXO) — 김정은팀장 / UX 디자인 김신애팀장 </t>
        </is>
      </c>
    </row>
    <row r="11">
      <c r="B11" s="28" t="inlineStr">
        <is>
          <t xml:space="preserve">  └─ 자문 — Mary Furlong (미국 시니어케어, 외부 어드바이저)</t>
        </is>
      </c>
    </row>
    <row r="13" ht="18" customHeight="1" s="23">
      <c r="A13" s="29" t="inlineStr">
        <is>
          <t>조직</t>
        </is>
      </c>
      <c r="B13" s="29" t="inlineStr">
        <is>
          <t>역할</t>
        </is>
      </c>
      <c r="C13" s="29" t="inlineStr">
        <is>
          <t>비고</t>
        </is>
      </c>
    </row>
    <row r="14" ht="18" customHeight="1" s="23">
      <c r="A14" s="30" t="inlineStr">
        <is>
          <t>대표이사</t>
        </is>
      </c>
      <c r="B14" s="30" t="inlineStr">
        <is>
          <t>경영 총괄 · 사업개발 · 해외 거래처 발굴 · 투자유치</t>
        </is>
      </c>
      <c r="C14" s="30" t="inlineStr">
        <is>
          <t>박도형 대표</t>
        </is>
      </c>
    </row>
    <row r="15" ht="18" customHeight="1" s="23">
      <c r="A15" s="31" t="inlineStr">
        <is>
          <t>글로벌 세일즈</t>
        </is>
      </c>
      <c r="B15" s="31" t="inlineStr">
        <is>
          <t>해외 거래선 영업 (싱가포르·일본·네덜란드 등)</t>
        </is>
      </c>
      <c r="C15" s="31" t="inlineStr">
        <is>
          <t>이희현 팀장 (Elijah Lee)</t>
        </is>
      </c>
    </row>
    <row r="16" ht="18" customHeight="1" s="23">
      <c r="A16" s="30" t="inlineStr">
        <is>
          <t>국내 판매 · 기저귀 제품</t>
        </is>
      </c>
      <c r="B16" s="30" t="inlineStr">
        <is>
          <t>국내 판매, 기저귀 제품·패키지 검토</t>
        </is>
      </c>
      <c r="C16" s="26" t="inlineStr">
        <is>
          <t xml:space="preserve">조언석 사업부장 </t>
        </is>
      </c>
    </row>
    <row r="17" ht="18" customHeight="1" s="23">
      <c r="A17" s="31" t="inlineStr">
        <is>
          <t>개발 (CTO)</t>
        </is>
      </c>
      <c r="B17" s="31" t="inlineStr">
        <is>
          <t>AI · 클라우드 · 앱 · IoT 임베디드</t>
        </is>
      </c>
      <c r="C17" s="26" t="inlineStr">
        <is>
          <t>이재현 책임</t>
        </is>
      </c>
    </row>
    <row r="18" ht="18" customHeight="1" s="23">
      <c r="A18" s="31" t="inlineStr">
        <is>
          <t xml:space="preserve">프론트엔드 엔지니어 </t>
        </is>
      </c>
      <c r="B18" s="31" t="inlineStr">
        <is>
          <t>UX 디자인, 홈페이지운영, 온라인 몰 최적화</t>
        </is>
      </c>
      <c r="C18" s="26" t="inlineStr">
        <is>
          <t>김신애 책임</t>
        </is>
      </c>
    </row>
    <row r="19" ht="18" customHeight="1" s="23">
      <c r="A19" s="30" t="inlineStr">
        <is>
          <t>고객경험 (CXO)</t>
        </is>
      </c>
      <c r="B19" s="30" t="inlineStr">
        <is>
          <t>고객 경험 · 디자인</t>
        </is>
      </c>
      <c r="C19" s="26" t="inlineStr">
        <is>
          <t xml:space="preserve">김정은 책임 </t>
        </is>
      </c>
    </row>
    <row r="20" ht="18" customHeight="1" s="23">
      <c r="A20" s="30" t="inlineStr">
        <is>
          <t xml:space="preserve">AX 사업 개발 </t>
        </is>
      </c>
      <c r="B20" s="30" t="inlineStr">
        <is>
          <t xml:space="preserve">인공지능을 활용한 사내 AX 전환 및 AI 교육사업 진행 </t>
        </is>
      </c>
      <c r="C20" s="26" t="inlineStr">
        <is>
          <t xml:space="preserve">서기현선임 </t>
        </is>
      </c>
    </row>
    <row r="21" ht="18" customHeight="1" s="23">
      <c r="A21" s="31" t="inlineStr">
        <is>
          <t>자문</t>
        </is>
      </c>
      <c r="B21" s="31" t="inlineStr">
        <is>
          <t>미국 시니어케어 시장 진출 자문</t>
        </is>
      </c>
      <c r="C21" s="31" t="inlineStr">
        <is>
          <t xml:space="preserve">Mary Furlong 고문 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D24" sqref="D24"/>
    </sheetView>
  </sheetViews>
  <sheetFormatPr baseColWidth="10" defaultColWidth="8.83203125" defaultRowHeight="17"/>
  <cols>
    <col width="12.33203125" customWidth="1" style="23" min="1" max="1"/>
    <col width="20" customWidth="1" style="23" min="2" max="2"/>
    <col width="26.5" customWidth="1" style="23" min="3" max="3"/>
    <col width="65.6640625" customWidth="1" style="23" min="4" max="4"/>
  </cols>
  <sheetData>
    <row r="1" ht="18" customHeight="1" s="23">
      <c r="A1" s="56" t="inlineStr">
        <is>
          <t>성 명</t>
        </is>
      </c>
      <c r="B1" s="56" t="inlineStr">
        <is>
          <t>역할</t>
        </is>
      </c>
      <c r="C1" s="56" t="inlineStr">
        <is>
          <t>주요 학력사항</t>
        </is>
      </c>
      <c r="D1" s="56" t="inlineStr">
        <is>
          <t>주요 경력사항</t>
        </is>
      </c>
    </row>
    <row r="2" ht="18" customHeight="1" s="23">
      <c r="A2" s="64" t="inlineStr">
        <is>
          <t>박도형</t>
        </is>
      </c>
      <c r="B2" s="64" t="inlineStr">
        <is>
          <t>대표이사
(Founder &amp; CEO)</t>
        </is>
      </c>
      <c r="C2" s="55" t="inlineStr">
        <is>
          <t>인하대학교 의류학과 학사졸업 (1991)</t>
        </is>
      </c>
      <c r="D2" s="64" t="inlineStr">
        <is>
          <t>삼성전자 무선사업부 Global Product Manager</t>
        </is>
      </c>
    </row>
    <row r="3" ht="18" customHeight="1" s="23">
      <c r="A3" s="50" t="n"/>
      <c r="B3" s="50" t="n"/>
      <c r="C3" s="50" t="n"/>
      <c r="D3" s="64" t="inlineStr">
        <is>
          <t>디지털 헬스케어·IoT 분야 18년 이상</t>
        </is>
      </c>
    </row>
    <row r="4" ht="18" customHeight="1" s="23">
      <c r="A4" s="50" t="n"/>
      <c r="B4" s="50" t="n"/>
      <c r="C4" s="50" t="n"/>
      <c r="D4" s="64" t="inlineStr">
        <is>
          <t>UC Berkeley SkyDeck</t>
        </is>
      </c>
    </row>
    <row r="5" ht="19" customHeight="1" s="23">
      <c r="A5" s="51" t="n"/>
      <c r="B5" s="51" t="n"/>
      <c r="C5" s="51" t="n"/>
      <c r="D5" s="64" t="inlineStr">
        <is>
          <t>2017.04 ~ 현재 (주)모닛 대표이사</t>
        </is>
      </c>
    </row>
    <row r="6" ht="18" customHeight="1" s="23">
      <c r="A6" s="64" t="inlineStr">
        <is>
          <t>이재현</t>
        </is>
      </c>
      <c r="B6" s="64" t="inlineStr">
        <is>
          <t>팀장 
CTO</t>
        </is>
      </c>
      <c r="C6" s="55" t="inlineStr">
        <is>
          <t xml:space="preserve">건국대학교 컼퓨터공학과 학사졸업 </t>
        </is>
      </c>
      <c r="D6" s="64" t="inlineStr">
        <is>
          <t>2023.07 (주)모닛 입사</t>
        </is>
      </c>
    </row>
    <row r="7" ht="18" customHeight="1" s="23">
      <c r="A7" s="50" t="n"/>
      <c r="B7" s="50" t="n"/>
      <c r="C7" s="50" t="n"/>
      <c r="D7" s="64" t="n"/>
    </row>
    <row r="8" ht="18" customHeight="1" s="23">
      <c r="A8" s="50" t="n"/>
      <c r="B8" s="50" t="n"/>
      <c r="C8" s="50" t="n"/>
      <c r="D8" s="64" t="n"/>
    </row>
    <row r="9" ht="18" customHeight="1" s="23">
      <c r="A9" s="51" t="n"/>
      <c r="B9" s="51" t="n"/>
      <c r="C9" s="51" t="n"/>
      <c r="D9" s="64" t="n"/>
    </row>
    <row r="10" ht="18" customHeight="1" s="23">
      <c r="A10" s="64" t="inlineStr">
        <is>
          <t>조언석</t>
        </is>
      </c>
      <c r="B10" s="64" t="inlineStr">
        <is>
          <t>팀장
기저귀 제품 개발 / 국내영업</t>
        </is>
      </c>
      <c r="C10" s="55" t="inlineStr">
        <is>
          <t>경희대학교 경영학과 학사졸업</t>
        </is>
      </c>
      <c r="D10" s="64" t="inlineStr">
        <is>
          <t>2025.10 (주)모닛 입사</t>
        </is>
      </c>
    </row>
    <row r="11" ht="18" customHeight="1" s="23">
      <c r="A11" s="50" t="n"/>
      <c r="B11" s="50" t="n"/>
      <c r="C11" s="50" t="n"/>
      <c r="D11" s="64" t="n"/>
    </row>
    <row r="12" ht="18" customHeight="1" s="23">
      <c r="A12" s="50" t="n"/>
      <c r="B12" s="50" t="n"/>
      <c r="C12" s="50" t="n"/>
      <c r="D12" s="64" t="n"/>
    </row>
    <row r="13" ht="18" customHeight="1" s="23">
      <c r="A13" s="51" t="n"/>
      <c r="B13" s="51" t="n"/>
      <c r="C13" s="51" t="n"/>
      <c r="D13" s="64" t="n"/>
    </row>
    <row r="14" ht="18" customHeight="1" s="23">
      <c r="A14" s="64" t="inlineStr">
        <is>
          <t>이희현</t>
        </is>
      </c>
      <c r="B14" s="64" t="inlineStr">
        <is>
          <t>팀장
해외영업</t>
        </is>
      </c>
      <c r="C14" s="55" t="inlineStr">
        <is>
          <t xml:space="preserve">고려대학교 경영학과 학사졸업 </t>
        </is>
      </c>
      <c r="D14" s="64" t="inlineStr">
        <is>
          <t>2020.04 (주)모닛 입사</t>
        </is>
      </c>
    </row>
    <row r="15" ht="19" customHeight="1" s="23">
      <c r="A15" s="50" t="n"/>
      <c r="B15" s="50" t="n"/>
      <c r="C15" s="50" t="n"/>
      <c r="D15" s="64" t="inlineStr">
        <is>
          <t>해외 영업 8년</t>
        </is>
      </c>
    </row>
    <row r="16" ht="18" customHeight="1" s="23">
      <c r="A16" s="50" t="n"/>
      <c r="B16" s="50" t="n"/>
      <c r="C16" s="50" t="n"/>
      <c r="D16" s="64" t="n"/>
    </row>
    <row r="17" ht="18" customHeight="1" s="23">
      <c r="A17" s="51" t="n"/>
      <c r="B17" s="51" t="n"/>
      <c r="C17" s="51" t="n"/>
      <c r="D17" s="64" t="n"/>
    </row>
    <row r="18" ht="18" customHeight="1" s="23">
      <c r="A18" s="64" t="inlineStr">
        <is>
          <t>김정은</t>
        </is>
      </c>
      <c r="B18" s="64" t="inlineStr">
        <is>
          <t xml:space="preserve">팀장 
고객 경험 디자인 </t>
        </is>
      </c>
      <c r="C18" s="55" t="inlineStr">
        <is>
          <t>동서울대학 공예디자인과 학사졸업</t>
        </is>
      </c>
      <c r="D18" s="64" t="inlineStr">
        <is>
          <t>2023.06 (주)모닛 입사</t>
        </is>
      </c>
    </row>
    <row r="19" ht="18" customHeight="1" s="23">
      <c r="A19" s="50" t="n"/>
      <c r="B19" s="50" t="n"/>
      <c r="C19" s="50" t="n"/>
      <c r="D19" s="64" t="n"/>
    </row>
    <row r="20" ht="18" customHeight="1" s="23">
      <c r="A20" s="50" t="n"/>
      <c r="B20" s="50" t="n"/>
      <c r="C20" s="50" t="n"/>
      <c r="D20" s="64" t="n"/>
    </row>
    <row r="21" ht="18" customHeight="1" s="23">
      <c r="A21" s="51" t="n"/>
      <c r="B21" s="51" t="n"/>
      <c r="C21" s="51" t="n"/>
      <c r="D21" s="64" t="n"/>
    </row>
    <row r="22" ht="18" customHeight="1" s="23">
      <c r="A22" s="64" t="inlineStr">
        <is>
          <t>김신애</t>
        </is>
      </c>
      <c r="B22" s="64" t="inlineStr">
        <is>
          <t>팀장 
UX Design</t>
        </is>
      </c>
      <c r="C22" s="55" t="inlineStr">
        <is>
          <t>한양여자대학교 전산학과</t>
        </is>
      </c>
      <c r="D22" s="64" t="inlineStr">
        <is>
          <t>2024.10 (주)모닛 입사</t>
        </is>
      </c>
    </row>
    <row r="23" ht="18" customHeight="1" s="23">
      <c r="A23" s="50" t="n"/>
      <c r="B23" s="50" t="n"/>
      <c r="C23" s="50" t="n"/>
      <c r="D23" s="64" t="n"/>
    </row>
    <row r="24" ht="18" customHeight="1" s="23">
      <c r="A24" s="50" t="n"/>
      <c r="B24" s="50" t="n"/>
      <c r="C24" s="50" t="n"/>
      <c r="D24" s="64" t="n"/>
    </row>
    <row r="25" ht="18" customHeight="1" s="23">
      <c r="A25" s="51" t="n"/>
      <c r="B25" s="51" t="n"/>
      <c r="C25" s="51" t="n"/>
      <c r="D25" s="64" t="n"/>
    </row>
    <row r="26" ht="18" customHeight="1" s="23">
      <c r="A26" s="64" t="inlineStr">
        <is>
          <t>서기현</t>
        </is>
      </c>
      <c r="B26" s="64" t="inlineStr">
        <is>
          <t xml:space="preserve">선임 
AX 사업 개발 </t>
        </is>
      </c>
      <c r="C26" s="55" t="inlineStr">
        <is>
          <t>연변대학교 전산학과 학사졸업</t>
        </is>
      </c>
      <c r="D26" s="64" t="inlineStr">
        <is>
          <t>2026.01 (주)모닛 입사</t>
        </is>
      </c>
    </row>
    <row r="27" ht="18" customHeight="1" s="23">
      <c r="A27" s="50" t="n"/>
      <c r="B27" s="50" t="n"/>
      <c r="C27" s="50" t="n"/>
      <c r="D27" s="64" t="n"/>
    </row>
    <row r="28" ht="18" customHeight="1" s="23">
      <c r="A28" s="50" t="n"/>
      <c r="B28" s="50" t="n"/>
      <c r="C28" s="50" t="n"/>
      <c r="D28" s="64" t="n"/>
    </row>
    <row r="29" ht="18" customHeight="1" s="23">
      <c r="A29" s="51" t="n"/>
      <c r="B29" s="51" t="n"/>
      <c r="C29" s="51" t="n"/>
      <c r="D29" s="64" t="n"/>
    </row>
    <row r="30">
      <c r="A30" s="33" t="inlineStr">
        <is>
          <t>※ 입사일: 4대보험 사업장 가입자 명부(2026-07-07 발급)의 자격취득일 기준. 박도형 대표 경력: 회사 IR 자료 기준.</t>
        </is>
      </c>
    </row>
  </sheetData>
  <mergeCells count="21">
    <mergeCell ref="B22:B25"/>
    <mergeCell ref="C14:C17"/>
    <mergeCell ref="B18:B21"/>
    <mergeCell ref="C26:C29"/>
    <mergeCell ref="B2:B5"/>
    <mergeCell ref="C10:C13"/>
    <mergeCell ref="B14:B17"/>
    <mergeCell ref="C22:C25"/>
    <mergeCell ref="A6:A9"/>
    <mergeCell ref="B10:B13"/>
    <mergeCell ref="A18:A21"/>
    <mergeCell ref="A26:A29"/>
    <mergeCell ref="A2:A5"/>
    <mergeCell ref="C2:C5"/>
    <mergeCell ref="B6:B9"/>
    <mergeCell ref="A14:A17"/>
    <mergeCell ref="A10:A13"/>
    <mergeCell ref="A22:A25"/>
    <mergeCell ref="B26:B29"/>
    <mergeCell ref="C6:C9"/>
    <mergeCell ref="C18:C2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F21" sqref="F21"/>
    </sheetView>
  </sheetViews>
  <sheetFormatPr baseColWidth="10" defaultColWidth="8.83203125" defaultRowHeight="17"/>
  <cols>
    <col width="14.6640625" customWidth="1" style="23" min="3" max="6"/>
    <col width="19.5" customWidth="1" style="23" min="7" max="7"/>
    <col width="37.83203125" customWidth="1" style="23" min="8" max="8"/>
  </cols>
  <sheetData>
    <row r="1">
      <c r="A1" s="56" t="inlineStr">
        <is>
          <t>일자</t>
        </is>
      </c>
      <c r="B1" s="56" t="inlineStr">
        <is>
          <t>구분</t>
        </is>
      </c>
      <c r="C1" s="56" t="inlineStr">
        <is>
          <t>변동사항</t>
        </is>
      </c>
      <c r="D1" s="57" t="n"/>
      <c r="E1" s="57" t="n"/>
      <c r="F1" s="58" t="n"/>
      <c r="G1" s="56" t="inlineStr">
        <is>
          <t>증자후</t>
        </is>
      </c>
      <c r="H1" s="56" t="inlineStr">
        <is>
          <t>비고</t>
        </is>
      </c>
    </row>
    <row r="2">
      <c r="A2" s="51" t="n"/>
      <c r="B2" s="51" t="n"/>
      <c r="C2" s="56" t="inlineStr">
        <is>
          <t>종류</t>
        </is>
      </c>
      <c r="D2" s="56" t="inlineStr">
        <is>
          <t>주식수</t>
        </is>
      </c>
      <c r="E2" s="56" t="inlineStr">
        <is>
          <t>증자후 주식수</t>
        </is>
      </c>
      <c r="F2" s="56" t="inlineStr">
        <is>
          <t>발행가(원)</t>
        </is>
      </c>
      <c r="G2" s="56" t="inlineStr">
        <is>
          <t xml:space="preserve"> 자본금</t>
        </is>
      </c>
      <c r="H2" s="51" t="n"/>
    </row>
    <row r="3">
      <c r="A3" s="2" t="inlineStr">
        <is>
          <t>2017-04-10</t>
        </is>
      </c>
      <c r="B3" s="2" t="inlineStr">
        <is>
          <t>설립</t>
        </is>
      </c>
      <c r="C3" s="2" t="inlineStr">
        <is>
          <t>보통주</t>
        </is>
      </c>
      <c r="D3" s="3" t="n">
        <v>10000</v>
      </c>
      <c r="E3" s="3" t="n">
        <v>10000</v>
      </c>
      <c r="F3" s="34" t="n"/>
      <c r="G3" s="3" t="n">
        <v>50000000</v>
      </c>
      <c r="H3" s="2" t="inlineStr">
        <is>
          <t>설립 자본금</t>
        </is>
      </c>
    </row>
    <row r="4">
      <c r="A4" s="2" t="inlineStr">
        <is>
          <t>2017-04-20</t>
        </is>
      </c>
      <c r="B4" s="2" t="inlineStr">
        <is>
          <t>유상증자</t>
        </is>
      </c>
      <c r="C4" s="2" t="inlineStr">
        <is>
          <t>보통주</t>
        </is>
      </c>
      <c r="D4" s="3" t="n">
        <v>42000</v>
      </c>
      <c r="E4" s="3" t="n">
        <v>52000</v>
      </c>
      <c r="F4" s="34" t="n"/>
      <c r="G4" s="3" t="n">
        <v>260000000</v>
      </c>
      <c r="H4" s="2" t="n"/>
    </row>
    <row r="5" ht="30" customHeight="1" s="23">
      <c r="A5" s="2" t="inlineStr">
        <is>
          <t>2017-06-28</t>
        </is>
      </c>
      <c r="B5" s="2" t="inlineStr">
        <is>
          <t>유상증자</t>
        </is>
      </c>
      <c r="C5" s="2" t="inlineStr">
        <is>
          <t>전환상환우선주</t>
        </is>
      </c>
      <c r="D5" s="3" t="n">
        <v>12197</v>
      </c>
      <c r="E5" s="3" t="n">
        <v>64197</v>
      </c>
      <c r="F5" s="34" t="n"/>
      <c r="G5" s="3" t="n">
        <v>320985000</v>
      </c>
      <c r="H5" s="2" t="inlineStr">
        <is>
          <t>SVIC32호 신기술사업투자조합 (2022-06 보통주 전부전환)</t>
        </is>
      </c>
    </row>
    <row r="6" ht="30" customHeight="1" s="23">
      <c r="A6" s="2" t="inlineStr">
        <is>
          <t>2018-08-24</t>
        </is>
      </c>
      <c r="B6" s="2" t="inlineStr">
        <is>
          <t>유상증자</t>
        </is>
      </c>
      <c r="C6" s="2" t="inlineStr">
        <is>
          <t>상환전환우선주 1종·2종</t>
        </is>
      </c>
      <c r="D6" s="3" t="n">
        <v>8560</v>
      </c>
      <c r="E6" s="3" t="n">
        <v>72757</v>
      </c>
      <c r="F6" s="34" t="n"/>
      <c r="G6" s="3" t="n">
        <v>363785000</v>
      </c>
      <c r="H6" s="64" t="inlineStr">
        <is>
          <t>1종 4,994주 L&amp;S-SDC 청년창업 투자조합 / 2종 3,566주 IBK금융그룹 창업기업 일자리창출 투자조합</t>
        </is>
      </c>
    </row>
    <row r="7">
      <c r="A7" s="2" t="inlineStr">
        <is>
          <t>2018-09-05</t>
        </is>
      </c>
      <c r="B7" s="2" t="inlineStr">
        <is>
          <t>유상증자</t>
        </is>
      </c>
      <c r="C7" s="2" t="inlineStr">
        <is>
          <t>상환전환우선주 3종</t>
        </is>
      </c>
      <c r="D7" s="3" t="n">
        <v>3566</v>
      </c>
      <c r="E7" s="3" t="n">
        <v>76323</v>
      </c>
      <c r="F7" s="34" t="n"/>
      <c r="G7" s="3" t="n">
        <v>381615000</v>
      </c>
      <c r="H7" s="64" t="inlineStr">
        <is>
          <t>K-Growth 크라우드투스텝펀드</t>
        </is>
      </c>
    </row>
    <row r="8">
      <c r="A8" s="2" t="inlineStr">
        <is>
          <t>2018-10-30</t>
        </is>
      </c>
      <c r="B8" s="2" t="inlineStr">
        <is>
          <t>유상증자</t>
        </is>
      </c>
      <c r="C8" s="2" t="inlineStr">
        <is>
          <t>보통주</t>
        </is>
      </c>
      <c r="D8" s="3" t="n">
        <v>714</v>
      </c>
      <c r="E8" s="3" t="n">
        <v>77037</v>
      </c>
      <c r="F8" s="34" t="n"/>
      <c r="G8" s="3" t="n">
        <v>385185000</v>
      </c>
      <c r="H8" s="64" t="inlineStr">
        <is>
          <t>인라이트3호CG펀드</t>
        </is>
      </c>
    </row>
    <row r="9">
      <c r="A9" s="2" t="inlineStr">
        <is>
          <t>2019-03-06</t>
        </is>
      </c>
      <c r="B9" s="2" t="inlineStr">
        <is>
          <t>유상증자</t>
        </is>
      </c>
      <c r="C9" s="2" t="inlineStr">
        <is>
          <t>보통주</t>
        </is>
      </c>
      <c r="D9" s="3" t="n">
        <v>2053</v>
      </c>
      <c r="E9" s="3" t="n">
        <v>79090</v>
      </c>
      <c r="F9" s="34" t="n"/>
      <c r="G9" s="3" t="n">
        <v>395450000</v>
      </c>
      <c r="H9" s="2" t="inlineStr">
        <is>
          <t>인라이트3호CG펀드</t>
        </is>
      </c>
    </row>
    <row r="10">
      <c r="A10" s="2" t="inlineStr">
        <is>
          <t>2020-04-22</t>
        </is>
      </c>
      <c r="B10" s="2" t="inlineStr">
        <is>
          <t>유상증자</t>
        </is>
      </c>
      <c r="C10" s="2" t="inlineStr">
        <is>
          <t>2종 전환상환우선주</t>
        </is>
      </c>
      <c r="D10" s="3" t="n">
        <v>2471</v>
      </c>
      <c r="E10" s="3" t="n">
        <v>81561</v>
      </c>
      <c r="F10" s="34" t="n"/>
      <c r="G10" s="3" t="n">
        <v>407805000</v>
      </c>
      <c r="H10" s="2" t="inlineStr">
        <is>
          <t>인라이트3호CG펀드 (주주명부상 2020-04-21 취득)</t>
        </is>
      </c>
    </row>
    <row r="11">
      <c r="A11" s="2" t="inlineStr">
        <is>
          <t>2020-05-29</t>
        </is>
      </c>
      <c r="B11" s="2" t="inlineStr">
        <is>
          <t>유상증자</t>
        </is>
      </c>
      <c r="C11" s="2" t="inlineStr">
        <is>
          <t>보통주</t>
        </is>
      </c>
      <c r="D11" s="3" t="n">
        <v>2471</v>
      </c>
      <c r="E11" s="3" t="n">
        <v>84032</v>
      </c>
      <c r="F11" s="34" t="n"/>
      <c r="G11" s="3" t="n">
        <v>420160000</v>
      </c>
      <c r="H11" s="2" t="inlineStr">
        <is>
          <t>MTI스타트업320펀드 (주주명부상 2020-05-27 취득)</t>
        </is>
      </c>
    </row>
    <row r="12" ht="30" customHeight="1" s="23">
      <c r="A12" s="2" t="inlineStr">
        <is>
          <t>2020-06-22</t>
        </is>
      </c>
      <c r="B12" s="2" t="inlineStr">
        <is>
          <t>유상증자</t>
        </is>
      </c>
      <c r="C12" s="2" t="inlineStr">
        <is>
          <t>2종 전환상환우선주</t>
        </is>
      </c>
      <c r="D12" s="3" t="n">
        <v>1483</v>
      </c>
      <c r="E12" s="3" t="n">
        <v>85515</v>
      </c>
      <c r="F12" s="34" t="n"/>
      <c r="G12" s="3" t="n">
        <v>427575000</v>
      </c>
      <c r="H12" s="2" t="inlineStr">
        <is>
          <t>부국증권 989주 · 유리자산운용 494주 (주주명부상 2020-06-18 취득)</t>
        </is>
      </c>
    </row>
    <row r="13" ht="30" customHeight="1" s="23">
      <c r="A13" s="2" t="inlineStr">
        <is>
          <t>2022-06-18</t>
        </is>
      </c>
      <c r="B13" s="2" t="inlineStr">
        <is>
          <t>전환</t>
        </is>
      </c>
      <c r="C13" s="2" t="inlineStr">
        <is>
          <t>전환상환우선주 → 보통주</t>
        </is>
      </c>
      <c r="D13" s="3" t="n">
        <v>0</v>
      </c>
      <c r="E13" s="3" t="n">
        <v>85515</v>
      </c>
      <c r="F13" s="34" t="n"/>
      <c r="G13" s="3" t="n">
        <v>427575000</v>
      </c>
      <c r="H13" s="2" t="inlineStr">
        <is>
          <t>SVIC32호 보유 12,197주 보통주 전부전환 (발행주식수·자본금 변동 없음)</t>
        </is>
      </c>
    </row>
    <row r="15">
      <c r="A15" s="33" t="inlineStr">
        <is>
          <t>※ 출처: 법인 등기사항전부증명서(2026-03-04 열람) 발행주식 변경 이력. 1주 액면 5,000원. 2025-12-31 기준 자본금 427,575,000원 + 주식발행초과금 3,842,010,076원 (감사보고서).</t>
        </is>
      </c>
    </row>
    <row r="16">
      <c r="A16" s="35" t="inlineStr">
        <is>
          <t>※ Hansoms(Xiamen) 현물출자 계약: 보통주 최대 3,102주(주당 USD 144.42), 제품 납품·검수 후 회차별 발행 조건. 2026-10-01 현재 신주 발행 기록 미확인 — 발행 시 추가 기재.</t>
        </is>
      </c>
    </row>
  </sheetData>
  <mergeCells count="4">
    <mergeCell ref="H1:H2"/>
    <mergeCell ref="C1:F1"/>
    <mergeCell ref="B1:B2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G17" sqref="G17"/>
    </sheetView>
  </sheetViews>
  <sheetFormatPr baseColWidth="10" defaultColWidth="8.83203125" defaultRowHeight="17"/>
  <cols>
    <col width="27.33203125" customWidth="1" style="23" min="1" max="1"/>
    <col width="13.5" customWidth="1" style="23" min="2" max="5"/>
    <col width="17.6640625" customWidth="1" style="23" min="6" max="6"/>
  </cols>
  <sheetData>
    <row r="1">
      <c r="A1" s="59" t="inlineStr">
        <is>
          <t>주주명</t>
        </is>
      </c>
      <c r="B1" s="56" t="inlineStr">
        <is>
          <t>투자 전</t>
        </is>
      </c>
      <c r="C1" s="58" t="n"/>
      <c r="D1" s="56" t="inlineStr">
        <is>
          <t>투자 후</t>
        </is>
      </c>
      <c r="E1" s="58" t="n"/>
      <c r="F1" s="56" t="inlineStr">
        <is>
          <t>비고</t>
        </is>
      </c>
    </row>
    <row r="2">
      <c r="A2" s="51" t="n"/>
      <c r="B2" s="56" t="inlineStr">
        <is>
          <t>주식수</t>
        </is>
      </c>
      <c r="C2" s="56" t="inlineStr">
        <is>
          <t>지분율</t>
        </is>
      </c>
      <c r="D2" s="56" t="inlineStr">
        <is>
          <t>주식수</t>
        </is>
      </c>
      <c r="E2" s="56" t="inlineStr">
        <is>
          <t>지분율</t>
        </is>
      </c>
      <c r="F2" s="51" t="n"/>
    </row>
    <row r="3" ht="46" customHeight="1" s="23">
      <c r="A3" s="2" t="inlineStr">
        <is>
          <t>박도형</t>
        </is>
      </c>
      <c r="B3" s="3" t="n">
        <v>52000</v>
      </c>
      <c r="C3" s="5">
        <f>B3/B13</f>
        <v/>
      </c>
      <c r="D3" s="3" t="n"/>
      <c r="E3" s="5" t="n"/>
      <c r="F3" s="2" t="inlineStr">
        <is>
          <t>대표이사 · 보통주</t>
        </is>
      </c>
    </row>
    <row r="4" ht="46" customHeight="1" s="23">
      <c r="A4" s="2" t="inlineStr">
        <is>
          <t>SVIC32호 신기술사업투자조합 (삼성벤처투자)</t>
        </is>
      </c>
      <c r="B4" s="3" t="n">
        <v>12197</v>
      </c>
      <c r="C4" s="5">
        <f>B4/B13</f>
        <v/>
      </c>
      <c r="D4" s="3" t="n"/>
      <c r="E4" s="5" t="n"/>
      <c r="F4" s="2" t="inlineStr">
        <is>
          <t>보통주 (2022-06 전환상환우선주에서 전환)</t>
        </is>
      </c>
    </row>
    <row r="5" ht="46" customHeight="1" s="23">
      <c r="A5" s="2" t="inlineStr">
        <is>
          <t>L&amp;S-SDC 청년창업 투자조합 (엘앤에스벤처캐피탈)</t>
        </is>
      </c>
      <c r="B5" s="3" t="n">
        <v>4994</v>
      </c>
      <c r="C5" s="5">
        <f>B5/B13</f>
        <v/>
      </c>
      <c r="D5" s="3" t="n"/>
      <c r="E5" s="5" t="n"/>
      <c r="F5" s="2" t="inlineStr">
        <is>
          <t>상환전환우선주 1종</t>
        </is>
      </c>
    </row>
    <row r="6" ht="46" customHeight="1" s="23">
      <c r="A6" s="2" t="inlineStr">
        <is>
          <t>IBK금융그룹 창업기업 일자리창출 투자조합 (IBK캐피탈·IBK투자증권)</t>
        </is>
      </c>
      <c r="B6" s="3" t="n">
        <v>3566</v>
      </c>
      <c r="C6" s="5">
        <f>B6/B13</f>
        <v/>
      </c>
      <c r="D6" s="3" t="n"/>
      <c r="E6" s="5" t="n"/>
      <c r="F6" s="2" t="inlineStr">
        <is>
          <t>상환전환우선주 2종</t>
        </is>
      </c>
    </row>
    <row r="7" ht="46" customHeight="1" s="23">
      <c r="A7" s="2" t="inlineStr">
        <is>
          <t>K-Growth 크라우드투스텝펀드 (마젤란기술투자)</t>
        </is>
      </c>
      <c r="B7" s="3" t="n">
        <v>3566</v>
      </c>
      <c r="C7" s="5">
        <f>B7/B13</f>
        <v/>
      </c>
      <c r="D7" s="3" t="n"/>
      <c r="E7" s="5" t="n"/>
      <c r="F7" s="2" t="inlineStr">
        <is>
          <t>상환전환우선주 3종</t>
        </is>
      </c>
    </row>
    <row r="8" ht="46" customHeight="1" s="23">
      <c r="A8" s="2" t="inlineStr">
        <is>
          <t>인라이트3호CG펀드 (인라이트벤처스)</t>
        </is>
      </c>
      <c r="B8" s="3" t="n">
        <v>2767</v>
      </c>
      <c r="C8" s="5">
        <f>B8/B13</f>
        <v/>
      </c>
      <c r="D8" s="3" t="n"/>
      <c r="E8" s="5" t="n"/>
      <c r="F8" s="2" t="inlineStr">
        <is>
          <t>보통주</t>
        </is>
      </c>
    </row>
    <row r="9" ht="46" customHeight="1" s="23">
      <c r="A9" s="2" t="inlineStr">
        <is>
          <t>인라이트3호CG펀드 (인라이트벤처스)</t>
        </is>
      </c>
      <c r="B9" s="3" t="n">
        <v>2471</v>
      </c>
      <c r="C9" s="5">
        <f>B9/B13</f>
        <v/>
      </c>
      <c r="D9" s="3" t="n"/>
      <c r="E9" s="5" t="n"/>
      <c r="F9" s="2" t="inlineStr">
        <is>
          <t>2종 전환상환우선주</t>
        </is>
      </c>
    </row>
    <row r="10" ht="46" customHeight="1" s="23">
      <c r="A10" s="2" t="inlineStr">
        <is>
          <t>MTI스타트업320펀드 (마젤란기술투자)</t>
        </is>
      </c>
      <c r="B10" s="3" t="n">
        <v>2471</v>
      </c>
      <c r="C10" s="5">
        <f>B10/B13</f>
        <v/>
      </c>
      <c r="D10" s="3" t="n"/>
      <c r="E10" s="5" t="n"/>
      <c r="F10" s="2" t="inlineStr">
        <is>
          <t>보통주</t>
        </is>
      </c>
    </row>
    <row r="11" ht="46" customHeight="1" s="23">
      <c r="A11" s="2" t="inlineStr">
        <is>
          <t>부국증권(주)</t>
        </is>
      </c>
      <c r="B11" s="3" t="n">
        <v>989</v>
      </c>
      <c r="C11" s="5">
        <f>B11/B13</f>
        <v/>
      </c>
      <c r="D11" s="3" t="n"/>
      <c r="E11" s="5" t="n"/>
      <c r="F11" s="2" t="inlineStr">
        <is>
          <t>2종 전환상환우선주</t>
        </is>
      </c>
    </row>
    <row r="12" ht="46" customHeight="1" s="23">
      <c r="A12" s="2" t="inlineStr">
        <is>
          <t>유리자산운용(주)</t>
        </is>
      </c>
      <c r="B12" s="3" t="n">
        <v>494</v>
      </c>
      <c r="C12" s="5">
        <f>B12/B13</f>
        <v/>
      </c>
      <c r="D12" s="3" t="n"/>
      <c r="E12" s="5" t="n"/>
      <c r="F12" s="2" t="inlineStr">
        <is>
          <t>2종 전환상환우선주</t>
        </is>
      </c>
    </row>
    <row r="13" ht="60" customHeight="1" s="23">
      <c r="A13" s="36" t="inlineStr">
        <is>
          <t>합계</t>
        </is>
      </c>
      <c r="B13" s="3">
        <f>SUM(B3:B12)</f>
        <v/>
      </c>
      <c r="C13" s="5">
        <f>SUM(C3:C12)</f>
        <v/>
      </c>
      <c r="D13" s="3" t="n"/>
      <c r="E13" s="5" t="n"/>
      <c r="F13" s="2" t="inlineStr">
        <is>
          <t>보통주 69,435 · 우선주 16,080 (총 85,515주, 감사보고서·등기부 일치)</t>
        </is>
      </c>
    </row>
    <row r="14" ht="18" customHeight="1" s="23">
      <c r="A14" s="2" t="n"/>
      <c r="B14" s="3" t="n"/>
      <c r="C14" s="5" t="n"/>
      <c r="D14" s="3" t="n"/>
      <c r="E14" s="5" t="n"/>
      <c r="F14" s="2" t="n"/>
    </row>
    <row r="15" ht="18" customHeight="1" s="23">
      <c r="A15" s="2" t="n"/>
      <c r="B15" s="3" t="n"/>
      <c r="C15" s="5" t="n"/>
      <c r="D15" s="3" t="n"/>
      <c r="E15" s="5" t="n"/>
      <c r="F15" s="2" t="n"/>
    </row>
    <row r="16" ht="18" customHeight="1" s="23">
      <c r="A16" s="2" t="n"/>
      <c r="B16" s="2" t="n"/>
      <c r="C16" s="5" t="n"/>
      <c r="D16" s="2" t="n"/>
      <c r="E16" s="5" t="n"/>
      <c r="F16" s="2" t="n"/>
    </row>
    <row r="17" ht="18" customHeight="1" s="23">
      <c r="A17" s="2" t="n"/>
      <c r="B17" s="2" t="n"/>
      <c r="C17" s="5" t="n"/>
      <c r="D17" s="2" t="n"/>
      <c r="E17" s="5" t="n"/>
      <c r="F17" s="2" t="n"/>
    </row>
    <row r="18" ht="18" customHeight="1" s="23">
      <c r="A18" s="2" t="n"/>
      <c r="B18" s="2" t="n"/>
      <c r="C18" s="5" t="n"/>
      <c r="D18" s="2" t="n"/>
      <c r="E18" s="5" t="n"/>
      <c r="F18" s="2" t="n"/>
    </row>
    <row r="19" ht="18" customHeight="1" s="23">
      <c r="A19" s="2" t="n"/>
      <c r="B19" s="2" t="n"/>
      <c r="C19" s="5" t="n"/>
      <c r="D19" s="2" t="n"/>
      <c r="E19" s="5" t="n"/>
      <c r="F19" s="2" t="n"/>
    </row>
    <row r="20" ht="18" customHeight="1" s="23">
      <c r="A20" s="2" t="n"/>
      <c r="B20" s="2" t="n"/>
      <c r="C20" s="5" t="n"/>
      <c r="D20" s="2" t="n"/>
      <c r="E20" s="5" t="n"/>
      <c r="F20" s="2" t="n"/>
    </row>
    <row r="21" ht="18" customHeight="1" s="23">
      <c r="A21" s="2" t="n"/>
      <c r="B21" s="2" t="n"/>
      <c r="C21" s="5" t="n"/>
      <c r="D21" s="2" t="n"/>
      <c r="E21" s="5" t="n"/>
      <c r="F21" s="2" t="n"/>
    </row>
    <row r="22" ht="18" customHeight="1" s="23">
      <c r="A22" s="2" t="n"/>
      <c r="B22" s="3" t="n"/>
      <c r="C22" s="5" t="n"/>
      <c r="D22" s="3" t="n"/>
      <c r="E22" s="5" t="n"/>
      <c r="F22" s="2" t="n"/>
    </row>
    <row r="23" ht="18" customHeight="1" s="23">
      <c r="A23" s="2" t="n"/>
      <c r="B23" s="3" t="n"/>
      <c r="C23" s="5" t="n"/>
      <c r="D23" s="3" t="n"/>
      <c r="E23" s="5" t="n"/>
      <c r="F23" s="2" t="n"/>
    </row>
    <row r="24" ht="18" customHeight="1" s="23">
      <c r="A24" s="2" t="n"/>
      <c r="B24" s="2" t="n"/>
      <c r="C24" s="5" t="n"/>
      <c r="D24" s="2" t="n"/>
      <c r="E24" s="5" t="n"/>
      <c r="F24" s="2" t="n"/>
    </row>
    <row r="25" ht="18" customHeight="1" s="23">
      <c r="A25" s="2" t="n"/>
      <c r="B25" s="3" t="n"/>
      <c r="C25" s="5" t="n"/>
      <c r="D25" s="3" t="n"/>
      <c r="E25" s="5" t="n"/>
      <c r="F25" s="2" t="n"/>
    </row>
    <row r="26" ht="18" customHeight="1" s="23">
      <c r="A26" s="2" t="n"/>
      <c r="B26" s="3" t="n"/>
      <c r="C26" s="5" t="n"/>
      <c r="D26" s="3" t="n"/>
      <c r="E26" s="5" t="n"/>
      <c r="F26" s="2" t="n"/>
    </row>
    <row r="27" ht="18" customHeight="1" s="23">
      <c r="A27" s="2" t="n"/>
      <c r="B27" s="2" t="n"/>
      <c r="C27" s="5" t="n"/>
      <c r="D27" s="2" t="n"/>
      <c r="E27" s="5" t="n"/>
      <c r="F27" s="2" t="n"/>
    </row>
    <row r="28" ht="18" customHeight="1" s="23">
      <c r="A28" s="2" t="n"/>
      <c r="B28" s="3" t="n"/>
      <c r="C28" s="5" t="n"/>
      <c r="D28" s="3" t="n"/>
      <c r="E28" s="5" t="n"/>
      <c r="F28" s="2" t="n"/>
    </row>
    <row r="29" ht="18" customHeight="1" s="23">
      <c r="A29" s="2" t="n"/>
      <c r="B29" s="3" t="n"/>
      <c r="C29" s="5" t="n"/>
      <c r="D29" s="3" t="n"/>
      <c r="E29" s="5" t="n"/>
      <c r="F29" s="2" t="n"/>
    </row>
    <row r="30" ht="18" customHeight="1" s="23">
      <c r="A30" s="2" t="n"/>
      <c r="B30" s="3" t="n"/>
      <c r="C30" s="5" t="n"/>
      <c r="D30" s="3" t="n"/>
      <c r="E30" s="5" t="n"/>
      <c r="F30" s="2" t="n"/>
    </row>
    <row r="31" ht="18" customHeight="1" s="23">
      <c r="A31" s="2" t="n"/>
      <c r="B31" s="3" t="n"/>
      <c r="C31" s="5" t="n"/>
      <c r="D31" s="3" t="n"/>
      <c r="E31" s="5" t="n"/>
      <c r="F31" s="2" t="n"/>
    </row>
    <row r="32" ht="18" customHeight="1" s="23">
      <c r="A32" s="6" t="n"/>
      <c r="B32" s="6" t="n"/>
      <c r="C32" s="6" t="n"/>
      <c r="D32" s="7" t="n"/>
      <c r="E32" s="8" t="n"/>
      <c r="F32" s="6" t="n"/>
    </row>
    <row r="33" ht="18" customHeight="1" s="23">
      <c r="A33" s="9" t="n"/>
      <c r="B33" s="10" t="n"/>
      <c r="C33" s="11" t="n"/>
      <c r="D33" s="10" t="n"/>
      <c r="E33" s="11" t="n"/>
      <c r="F33" s="12" t="n"/>
    </row>
  </sheetData>
  <mergeCells count="4">
    <mergeCell ref="B1:C1"/>
    <mergeCell ref="F1:F2"/>
    <mergeCell ref="D1:E1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G3" sqref="G3"/>
    </sheetView>
  </sheetViews>
  <sheetFormatPr baseColWidth="10" defaultColWidth="8.83203125" defaultRowHeight="17"/>
  <cols>
    <col width="10.6640625" customWidth="1" style="23" min="1" max="4"/>
    <col width="25.6640625" customWidth="1" style="23" min="5" max="5"/>
    <col width="20.5" customWidth="1" style="23" min="6" max="6"/>
  </cols>
  <sheetData>
    <row r="1" ht="18" customHeight="1" s="23">
      <c r="A1" s="56" t="inlineStr">
        <is>
          <t>부여일</t>
        </is>
      </c>
      <c r="B1" s="56" t="inlineStr">
        <is>
          <t>이름</t>
        </is>
      </c>
      <c r="C1" s="56" t="inlineStr">
        <is>
          <t>행사가액(원)</t>
        </is>
      </c>
      <c r="D1" s="56" t="inlineStr">
        <is>
          <t>주식수</t>
        </is>
      </c>
      <c r="E1" s="56" t="inlineStr">
        <is>
          <t>행사기간</t>
        </is>
      </c>
      <c r="F1" s="56" t="inlineStr">
        <is>
          <t>비고</t>
        </is>
      </c>
    </row>
    <row r="2" ht="18" customHeight="1" s="23">
      <c r="A2" s="64" t="inlineStr">
        <is>
          <t>N/A</t>
        </is>
      </c>
      <c r="B2" s="64" t="inlineStr">
        <is>
          <t>N/A</t>
        </is>
      </c>
      <c r="C2" s="64" t="inlineStr">
        <is>
          <t>N/A</t>
        </is>
      </c>
      <c r="D2" s="64" t="inlineStr">
        <is>
          <t>N/A</t>
        </is>
      </c>
      <c r="E2" s="64" t="inlineStr">
        <is>
          <t>N/A</t>
        </is>
      </c>
      <c r="F2" s="64" t="inlineStr">
        <is>
          <t>N/A</t>
        </is>
      </c>
    </row>
    <row r="3" ht="18" customHeight="1" s="23">
      <c r="A3" s="64" t="n"/>
      <c r="B3" s="64" t="n"/>
      <c r="C3" s="13" t="n"/>
      <c r="D3" s="13" t="n"/>
      <c r="E3" s="64" t="n"/>
      <c r="F3" s="64" t="n"/>
    </row>
    <row r="4" ht="18" customHeight="1" s="23">
      <c r="A4" s="64" t="n"/>
      <c r="B4" s="64" t="n"/>
      <c r="C4" s="13" t="n"/>
      <c r="D4" s="13" t="n"/>
      <c r="E4" s="64" t="n"/>
      <c r="F4" s="64" t="n"/>
    </row>
    <row r="5" ht="18" customHeight="1" s="23">
      <c r="A5" s="64" t="n"/>
      <c r="B5" s="64" t="n"/>
      <c r="C5" s="13" t="n"/>
      <c r="D5" s="13" t="n"/>
      <c r="E5" s="64" t="n"/>
      <c r="F5" s="64" t="n"/>
    </row>
    <row r="6" ht="18" customHeight="1" s="23">
      <c r="A6" s="64" t="n"/>
      <c r="B6" s="64" t="n"/>
      <c r="C6" s="13" t="n"/>
      <c r="D6" s="13" t="n"/>
      <c r="E6" s="64" t="n"/>
      <c r="F6" s="64" t="n"/>
    </row>
    <row r="7" ht="18" customHeight="1" s="23">
      <c r="A7" s="64" t="n"/>
      <c r="B7" s="64" t="n"/>
      <c r="C7" s="13" t="n"/>
      <c r="D7" s="13" t="n"/>
      <c r="E7" s="64" t="n"/>
      <c r="F7" s="64" t="n"/>
    </row>
    <row r="8" ht="18" customHeight="1" s="23">
      <c r="A8" s="64" t="n"/>
      <c r="B8" s="64" t="n"/>
      <c r="C8" s="13" t="n"/>
      <c r="D8" s="13" t="n"/>
      <c r="E8" s="64" t="n"/>
      <c r="F8" s="64" t="n"/>
    </row>
    <row r="9" ht="18" customHeight="1" s="23">
      <c r="A9" s="64" t="n"/>
      <c r="B9" s="64" t="n"/>
      <c r="C9" s="13" t="n"/>
      <c r="D9" s="13" t="n"/>
      <c r="E9" s="64" t="n"/>
      <c r="F9" s="64" t="n"/>
    </row>
    <row r="10" ht="18" customHeight="1" s="23">
      <c r="A10" s="64" t="n"/>
      <c r="B10" s="64" t="n"/>
      <c r="C10" s="13" t="n"/>
      <c r="D10" s="13" t="n"/>
      <c r="E10" s="64" t="n"/>
      <c r="F10" s="64" t="n"/>
    </row>
    <row r="11" ht="18" customHeight="1" s="23">
      <c r="A11" s="64" t="n"/>
      <c r="B11" s="64" t="n"/>
      <c r="C11" s="13" t="n"/>
      <c r="D11" s="13" t="n"/>
      <c r="E11" s="64" t="n"/>
      <c r="F11" s="64" t="n"/>
    </row>
    <row r="12" ht="18" customHeight="1" s="23">
      <c r="A12" s="64" t="n"/>
      <c r="B12" s="64" t="n"/>
      <c r="C12" s="13" t="n"/>
      <c r="D12" s="13" t="n"/>
      <c r="E12" s="64" t="n"/>
      <c r="F12" s="64" t="n"/>
    </row>
    <row r="13" ht="18" customHeight="1" s="23">
      <c r="A13" s="64" t="n"/>
      <c r="B13" s="64" t="n"/>
      <c r="C13" s="13" t="n"/>
      <c r="D13" s="13" t="n"/>
      <c r="E13" s="64" t="n"/>
      <c r="F13" s="64" t="n"/>
    </row>
    <row r="14" ht="18" customHeight="1" s="23">
      <c r="A14" s="64" t="n"/>
      <c r="B14" s="64" t="n"/>
      <c r="C14" s="13" t="n"/>
      <c r="D14" s="64" t="n"/>
      <c r="E14" s="64" t="n"/>
      <c r="F14" s="64" t="n"/>
    </row>
    <row r="15" ht="18" customHeight="1" s="23">
      <c r="A15" s="64" t="n"/>
      <c r="B15" s="64" t="n"/>
      <c r="C15" s="13" t="n"/>
      <c r="D15" s="64" t="n"/>
      <c r="E15" s="64" t="n"/>
      <c r="F15" s="64" t="n"/>
    </row>
    <row r="16" ht="18" customHeight="1" s="23">
      <c r="A16" s="64" t="n"/>
      <c r="B16" s="64" t="n"/>
      <c r="C16" s="13" t="n"/>
      <c r="D16" s="64" t="n"/>
      <c r="E16" s="64" t="n"/>
      <c r="F16" s="64" t="n"/>
    </row>
    <row r="17" ht="18" customHeight="1" s="23">
      <c r="A17" s="64" t="n"/>
      <c r="B17" s="64" t="n"/>
      <c r="C17" s="13" t="n"/>
      <c r="D17" s="64" t="n"/>
      <c r="E17" s="64" t="n"/>
      <c r="F17" s="64" t="n"/>
    </row>
    <row r="18" ht="18" customHeight="1" s="23">
      <c r="A18" s="64" t="n"/>
      <c r="B18" s="64" t="n"/>
      <c r="C18" s="13" t="n"/>
      <c r="D18" s="64" t="n"/>
      <c r="E18" s="64" t="n"/>
      <c r="F18" s="64" t="n"/>
    </row>
    <row r="19" ht="18" customHeight="1" s="23">
      <c r="A19" s="64" t="n"/>
      <c r="B19" s="64" t="n"/>
      <c r="C19" s="13" t="n"/>
      <c r="D19" s="64" t="n"/>
      <c r="E19" s="64" t="n"/>
      <c r="F19" s="64" t="n"/>
    </row>
    <row r="20" ht="18" customHeight="1" s="23">
      <c r="A20" s="64" t="n"/>
      <c r="B20" s="64" t="n"/>
      <c r="C20" s="13" t="n"/>
      <c r="D20" s="13" t="n"/>
      <c r="E20" s="64" t="n"/>
      <c r="F20" s="64" t="n"/>
    </row>
    <row r="21" ht="18" customHeight="1" s="23">
      <c r="A21" s="64" t="n"/>
      <c r="B21" s="64" t="n"/>
      <c r="C21" s="13" t="n"/>
      <c r="D21" s="13" t="n"/>
      <c r="E21" s="64" t="n"/>
      <c r="F21" s="64" t="n"/>
    </row>
    <row r="22" ht="18" customHeight="1" s="23">
      <c r="A22" s="64" t="n"/>
      <c r="B22" s="64" t="n"/>
      <c r="C22" s="13" t="n"/>
      <c r="D22" s="64" t="n"/>
      <c r="E22" s="64" t="n"/>
      <c r="F22" s="64" t="n"/>
    </row>
    <row r="23" ht="18" customHeight="1" s="23">
      <c r="A23" s="64" t="n"/>
      <c r="B23" s="64" t="n"/>
      <c r="C23" s="13" t="n"/>
      <c r="D23" s="13" t="n"/>
      <c r="E23" s="64" t="n"/>
      <c r="F23" s="64" t="n"/>
    </row>
    <row r="24" ht="18" customHeight="1" s="23">
      <c r="A24" s="64" t="n"/>
      <c r="B24" s="64" t="n"/>
      <c r="C24" s="13" t="n"/>
      <c r="D24" s="64" t="n"/>
      <c r="E24" s="64" t="n"/>
      <c r="F24" s="64" t="n"/>
    </row>
    <row r="25" ht="18" customHeight="1" s="23">
      <c r="A25" s="64" t="n"/>
      <c r="B25" s="64" t="n"/>
      <c r="C25" s="13" t="n"/>
      <c r="D25" s="13" t="n"/>
      <c r="E25" s="64" t="n"/>
      <c r="F25" s="64" t="n"/>
    </row>
    <row r="26" ht="18" customHeight="1" s="23">
      <c r="A26" s="14" t="n"/>
      <c r="B26" s="14" t="n"/>
      <c r="C26" s="14" t="n"/>
      <c r="D26" s="15" t="n"/>
      <c r="E26" s="14" t="n"/>
      <c r="F26" s="1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D39" sqref="D39"/>
    </sheetView>
  </sheetViews>
  <sheetFormatPr baseColWidth="10" defaultColWidth="8.83203125" defaultRowHeight="17"/>
  <cols>
    <col width="17.83203125" customWidth="1" style="23" min="1" max="5"/>
  </cols>
  <sheetData>
    <row r="1">
      <c r="A1" s="0" t="inlineStr">
        <is>
          <t>B/S</t>
        </is>
      </c>
      <c r="E1" s="37" t="inlineStr">
        <is>
          <t>(단위: 원)</t>
        </is>
      </c>
    </row>
    <row r="2">
      <c r="A2" s="19" t="inlineStr">
        <is>
          <t>구분</t>
        </is>
      </c>
      <c r="B2" s="19" t="n">
        <v>2024.12</v>
      </c>
      <c r="C2" s="19" t="n">
        <v>2025.12</v>
      </c>
      <c r="D2" s="19" t="n">
        <v>2026.06</v>
      </c>
      <c r="E2" s="19" t="inlineStr">
        <is>
          <t>증감</t>
        </is>
      </c>
    </row>
    <row r="3" ht="18" customHeight="1" s="23">
      <c r="A3" s="2" t="inlineStr">
        <is>
          <t>현금 및 현금성 자산</t>
        </is>
      </c>
      <c r="B3" s="3" t="n">
        <v>183688098</v>
      </c>
      <c r="C3" s="3" t="n">
        <v>115418237</v>
      </c>
      <c r="D3" s="3" t="n">
        <v>32101516</v>
      </c>
      <c r="E3" s="3">
        <f>IF(D3="","",D3-C3)</f>
        <v/>
      </c>
    </row>
    <row r="4" ht="18" customHeight="1" s="23">
      <c r="A4" s="2" t="inlineStr">
        <is>
          <t>단기금융상품</t>
        </is>
      </c>
      <c r="B4" s="3" t="n">
        <v>0</v>
      </c>
      <c r="C4" s="3" t="n">
        <v>0</v>
      </c>
      <c r="D4" s="3" t="n">
        <v>0</v>
      </c>
      <c r="E4" s="3">
        <f>IF(D4="","",D4-C4)</f>
        <v/>
      </c>
    </row>
    <row r="5" ht="18" customHeight="1" s="23">
      <c r="A5" s="20" t="inlineStr">
        <is>
          <t>매출채권</t>
        </is>
      </c>
      <c r="B5" s="21" t="n">
        <v>11893062</v>
      </c>
      <c r="C5" s="21" t="n">
        <v>23040385</v>
      </c>
      <c r="D5" s="13" t="n">
        <v>23290998</v>
      </c>
      <c r="E5" s="21">
        <f>IF(D5="","",D5-C5)</f>
        <v/>
      </c>
    </row>
    <row r="6" ht="18" customHeight="1" s="23">
      <c r="A6" s="2" t="inlineStr">
        <is>
          <t>선급금</t>
        </is>
      </c>
      <c r="B6" s="3" t="n">
        <v>130070352</v>
      </c>
      <c r="C6" s="3" t="n">
        <v>85570561</v>
      </c>
      <c r="D6" s="3" t="n">
        <v>161394891</v>
      </c>
      <c r="E6" s="3">
        <f>IF(D6="","",D6-C6)</f>
        <v/>
      </c>
    </row>
    <row r="7" ht="18" customHeight="1" s="23">
      <c r="A7" s="2" t="inlineStr">
        <is>
          <t>유동자산</t>
        </is>
      </c>
      <c r="B7" s="3" t="n">
        <v>420870962</v>
      </c>
      <c r="C7" s="3" t="n">
        <v>367454816</v>
      </c>
      <c r="D7" s="3" t="n">
        <v>265142994</v>
      </c>
      <c r="E7" s="3">
        <f>IF(D7="","",D7-C7)</f>
        <v/>
      </c>
    </row>
    <row r="8" ht="18" customHeight="1" s="23">
      <c r="A8" s="20" t="inlineStr">
        <is>
          <t>비유동자산</t>
        </is>
      </c>
      <c r="B8" s="21" t="n">
        <v>2001652802</v>
      </c>
      <c r="C8" s="21" t="n">
        <v>2248713124</v>
      </c>
      <c r="D8" s="13" t="n">
        <v>2298663041</v>
      </c>
      <c r="E8" s="21">
        <f>IF(D8="","",D8-C8)</f>
        <v/>
      </c>
    </row>
    <row r="9" ht="18" customHeight="1" s="23">
      <c r="A9" s="2" t="inlineStr">
        <is>
          <t>자산총계</t>
        </is>
      </c>
      <c r="B9" s="3" t="n">
        <v>2422523764</v>
      </c>
      <c r="C9" s="3" t="n">
        <v>2616167940</v>
      </c>
      <c r="D9" s="3" t="n">
        <v>2563806035</v>
      </c>
      <c r="E9" s="3">
        <f>IF(D9="","",D9-C9)</f>
        <v/>
      </c>
    </row>
    <row r="10" ht="18" customHeight="1" s="23">
      <c r="A10" s="2" t="inlineStr">
        <is>
          <t>단기차입금</t>
        </is>
      </c>
      <c r="B10" s="3" t="n">
        <v>957241958</v>
      </c>
      <c r="C10" s="3" t="n">
        <v>1135833048</v>
      </c>
      <c r="D10" s="3" t="n">
        <v>1222633398</v>
      </c>
      <c r="E10" s="3">
        <f>IF(D10="","",D10-C10)</f>
        <v/>
      </c>
    </row>
    <row r="11" ht="18" customHeight="1" s="23">
      <c r="A11" s="2" t="inlineStr">
        <is>
          <t>장기차입금</t>
        </is>
      </c>
      <c r="B11" s="3" t="n">
        <v>100000000</v>
      </c>
      <c r="C11" s="3" t="n">
        <v>63710000</v>
      </c>
      <c r="D11" s="3" t="n">
        <v>46288262</v>
      </c>
      <c r="E11" s="13">
        <f>IF(D11="","",D11-C11)</f>
        <v/>
      </c>
    </row>
    <row r="12" ht="18" customHeight="1" s="23">
      <c r="A12" s="20" t="inlineStr">
        <is>
          <t>유동부채</t>
        </is>
      </c>
      <c r="B12" s="21" t="n">
        <v>976932936</v>
      </c>
      <c r="C12" s="21" t="n">
        <v>1152811235</v>
      </c>
      <c r="D12" s="13" t="n">
        <v>1466895208</v>
      </c>
      <c r="E12" s="21">
        <f>IF(D12="","",D12-C12)</f>
        <v/>
      </c>
    </row>
    <row r="13" ht="18" customHeight="1" s="23">
      <c r="A13" s="20" t="inlineStr">
        <is>
          <t>비유동부채</t>
        </is>
      </c>
      <c r="B13" s="21" t="n">
        <v>213254665</v>
      </c>
      <c r="C13" s="21" t="n">
        <v>225853357</v>
      </c>
      <c r="D13" s="13" t="n">
        <v>230327164</v>
      </c>
      <c r="E13" s="21">
        <f>IF(D13="","",D13-C13)</f>
        <v/>
      </c>
    </row>
    <row r="14" ht="18" customHeight="1" s="23">
      <c r="A14" s="20" t="inlineStr">
        <is>
          <t>부채총계</t>
        </is>
      </c>
      <c r="B14" s="21" t="n">
        <v>1190187601</v>
      </c>
      <c r="C14" s="21" t="n">
        <v>1378664592</v>
      </c>
      <c r="D14" s="13" t="n">
        <v>1697222372</v>
      </c>
      <c r="E14" s="21">
        <f>IF(D14="","",D14-C14)</f>
        <v/>
      </c>
    </row>
    <row r="15" ht="18" customHeight="1" s="23">
      <c r="A15" s="20" t="inlineStr">
        <is>
          <t>자본총계</t>
        </is>
      </c>
      <c r="B15" s="21" t="n">
        <v>1232336163</v>
      </c>
      <c r="C15" s="21" t="n">
        <v>1237503348</v>
      </c>
      <c r="D15" s="13" t="n">
        <v>866583663</v>
      </c>
      <c r="E15" s="21">
        <f>IF(D15="","",D15-C15)</f>
        <v/>
      </c>
    </row>
    <row r="17">
      <c r="A17" s="33" t="inlineStr">
        <is>
          <t>※ 2024.12·2025.12: 2025년 감사보고서(효림회계법인, 적정의견, 2026-03-25) 재무상태표 기준. 비유동자산 중 개발비 1,979,764,554원(2025.12).</t>
        </is>
      </c>
    </row>
    <row r="18">
      <c r="A18" s="33" t="inlineStr">
        <is>
          <t>※ 2026.06: 2026년 반기 재무상태표(제10기 2026-06-30, 회사 결산 자료) 기준. 비유동자산 중 개발비 2,079,327,441원. 자본총계 감소는 반기 당기순손실 370,919,685원 반영(결손금 3,032,081,728원 → 3,403,001,413원).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I32" sqref="I32"/>
    </sheetView>
  </sheetViews>
  <sheetFormatPr baseColWidth="10" defaultColWidth="8.83203125" defaultRowHeight="17"/>
  <cols>
    <col width="20" customWidth="1" style="23" min="1" max="1"/>
    <col width="17" customWidth="1" style="23" min="2" max="5"/>
  </cols>
  <sheetData>
    <row r="1">
      <c r="A1" s="0" t="inlineStr">
        <is>
          <t>I/S</t>
        </is>
      </c>
      <c r="E1" s="37" t="inlineStr">
        <is>
          <t>(단위: 원)</t>
        </is>
      </c>
    </row>
    <row r="2">
      <c r="A2" s="39" t="inlineStr">
        <is>
          <t>구분</t>
        </is>
      </c>
      <c r="B2" s="39" t="n">
        <v>2024</v>
      </c>
      <c r="C2" s="39" t="n">
        <v>2025</v>
      </c>
      <c r="D2" s="39" t="inlineStr">
        <is>
          <t>2026.06 (반기)</t>
        </is>
      </c>
      <c r="E2" s="39" t="inlineStr">
        <is>
          <t>증감 (2025 vs 2024)</t>
        </is>
      </c>
    </row>
    <row r="3">
      <c r="A3" s="40" t="inlineStr">
        <is>
          <t>매출액</t>
        </is>
      </c>
      <c r="B3" s="65" t="n">
        <v>810523323</v>
      </c>
      <c r="C3" s="65" t="n">
        <v>854163091</v>
      </c>
      <c r="D3" s="65" t="n">
        <v>244611136</v>
      </c>
      <c r="E3" s="65">
        <f>C3-B3</f>
        <v/>
      </c>
    </row>
    <row r="4">
      <c r="A4" s="27" t="inlineStr">
        <is>
          <t>매출원가</t>
        </is>
      </c>
      <c r="B4" s="66" t="n">
        <v>333442717</v>
      </c>
      <c r="C4" s="66" t="n">
        <v>400727704</v>
      </c>
      <c r="D4" s="67" t="n">
        <v>333912644</v>
      </c>
      <c r="E4" s="66">
        <f>C4-B4</f>
        <v/>
      </c>
    </row>
    <row r="5">
      <c r="A5" s="27" t="inlineStr">
        <is>
          <t>매출총이익</t>
        </is>
      </c>
      <c r="B5" s="66" t="n">
        <v>477080606</v>
      </c>
      <c r="C5" s="66" t="n">
        <v>453435387</v>
      </c>
      <c r="D5" s="67" t="n">
        <v>-89301508</v>
      </c>
      <c r="E5" s="66">
        <f>C5-B5</f>
        <v/>
      </c>
    </row>
    <row r="6">
      <c r="A6" s="27" t="inlineStr">
        <is>
          <t>판매비와관리비</t>
        </is>
      </c>
      <c r="B6" s="66" t="n">
        <v>506844642</v>
      </c>
      <c r="C6" s="66" t="n">
        <v>426639596</v>
      </c>
      <c r="D6" s="67" t="n">
        <v>426678158</v>
      </c>
      <c r="E6" s="66">
        <f>C6-B6</f>
        <v/>
      </c>
    </row>
    <row r="7">
      <c r="A7" s="40" t="inlineStr">
        <is>
          <t>영업이익(손실)</t>
        </is>
      </c>
      <c r="B7" s="65" t="n">
        <v>-29764036</v>
      </c>
      <c r="C7" s="65" t="n">
        <v>26795791</v>
      </c>
      <c r="D7" s="65" t="n">
        <v>-515979666</v>
      </c>
      <c r="E7" s="65">
        <f>C7-B7</f>
        <v/>
      </c>
    </row>
    <row r="8">
      <c r="A8" s="27" t="inlineStr">
        <is>
          <t>영업외수익</t>
        </is>
      </c>
      <c r="B8" s="66" t="n">
        <v>99422600</v>
      </c>
      <c r="C8" s="66" t="n">
        <v>35830080</v>
      </c>
      <c r="D8" s="67" t="n">
        <v>173728923</v>
      </c>
      <c r="E8" s="66">
        <f>C8-B8</f>
        <v/>
      </c>
    </row>
    <row r="9">
      <c r="A9" s="27" t="inlineStr">
        <is>
          <t xml:space="preserve">  (정부보조금수익)</t>
        </is>
      </c>
      <c r="B9" s="66" t="n">
        <v>88251938</v>
      </c>
      <c r="C9" s="66" t="n">
        <v>30520905</v>
      </c>
      <c r="D9" s="67" t="n">
        <v>173318349</v>
      </c>
      <c r="E9" s="66">
        <f>C9-B9</f>
        <v/>
      </c>
    </row>
    <row r="10">
      <c r="A10" s="27" t="inlineStr">
        <is>
          <t>영업외비용</t>
        </is>
      </c>
      <c r="B10" s="66" t="n">
        <v>62966483</v>
      </c>
      <c r="C10" s="66" t="n">
        <v>57458686</v>
      </c>
      <c r="D10" s="67" t="n">
        <v>28668942</v>
      </c>
      <c r="E10" s="66">
        <f>C10-B10</f>
        <v/>
      </c>
    </row>
    <row r="11">
      <c r="A11" s="27" t="inlineStr">
        <is>
          <t xml:space="preserve">  (이자비용)</t>
        </is>
      </c>
      <c r="B11" s="66" t="n">
        <v>47544865</v>
      </c>
      <c r="C11" s="66" t="n">
        <v>49788161</v>
      </c>
      <c r="D11" s="67" t="n">
        <v>28658892</v>
      </c>
      <c r="E11" s="66">
        <f>C11-B11</f>
        <v/>
      </c>
    </row>
    <row r="12">
      <c r="A12" s="27" t="inlineStr">
        <is>
          <t>법인세차감전순이익</t>
        </is>
      </c>
      <c r="B12" s="66" t="n">
        <v>6692081</v>
      </c>
      <c r="C12" s="66" t="n">
        <v>5167185</v>
      </c>
      <c r="D12" s="67" t="n">
        <v>-370919685</v>
      </c>
      <c r="E12" s="66">
        <f>C12-B12</f>
        <v/>
      </c>
    </row>
    <row r="13">
      <c r="A13" s="27" t="inlineStr">
        <is>
          <t>법인세등</t>
        </is>
      </c>
      <c r="B13" s="66" t="n">
        <v>0</v>
      </c>
      <c r="C13" s="66" t="n">
        <v>0</v>
      </c>
      <c r="D13" s="67" t="n">
        <v>0</v>
      </c>
      <c r="E13" s="66">
        <f>C13-B13</f>
        <v/>
      </c>
    </row>
    <row r="14">
      <c r="A14" s="40" t="inlineStr">
        <is>
          <t>당기순이익</t>
        </is>
      </c>
      <c r="B14" s="65" t="n">
        <v>6692081</v>
      </c>
      <c r="C14" s="65" t="n">
        <v>5167185</v>
      </c>
      <c r="D14" s="65" t="n">
        <v>-370919685</v>
      </c>
      <c r="E14" s="65">
        <f>C14-B14</f>
        <v/>
      </c>
    </row>
    <row r="16">
      <c r="A16" s="33" t="inlineStr">
        <is>
          <t>※ 2025년 감사보고서(효림회계법인, 적정의견) 손익계산서 기준. 2024년은 같은 보고서의 전기 비교 수치.</t>
        </is>
      </c>
    </row>
    <row r="17">
      <c r="A17" s="33" t="inlineStr">
        <is>
          <t>※ 2026.06(반기): 2026년 반기 손익계산서(제10기 2026-01-01~06-30, 회사 결산 자료) 기준, 6개월 누적. 매출총손실 89,301,508원(기초 제품재고 1.17억 포함 매출원가 3.34억), 영업손실 515,979,666원, 정부보조금수익 173,318,349원, 당기순손실 370,919,685원.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E28" sqref="E28:E29"/>
    </sheetView>
  </sheetViews>
  <sheetFormatPr baseColWidth="10" defaultColWidth="8.83203125" defaultRowHeight="17"/>
  <cols>
    <col width="24.1640625" customWidth="1" style="23" min="2" max="2"/>
    <col width="17" customWidth="1" style="23" min="3" max="3"/>
    <col width="17" customWidth="1" style="23" min="5" max="5"/>
    <col width="19.5" customWidth="1" style="23" min="6" max="6"/>
  </cols>
  <sheetData>
    <row r="1">
      <c r="A1" s="0" t="inlineStr">
        <is>
          <t>단기차입금</t>
        </is>
      </c>
    </row>
    <row r="2" ht="18" customHeight="1" s="23">
      <c r="A2" s="19" t="inlineStr">
        <is>
          <t>구분</t>
        </is>
      </c>
      <c r="B2" s="19" t="inlineStr">
        <is>
          <t>대출기관</t>
        </is>
      </c>
      <c r="C2" s="19" t="inlineStr">
        <is>
          <t>금액(천원)</t>
        </is>
      </c>
      <c r="D2" s="19" t="inlineStr">
        <is>
          <t>이자율</t>
        </is>
      </c>
      <c r="E2" s="19" t="inlineStr">
        <is>
          <t>기간</t>
        </is>
      </c>
      <c r="F2" s="19" t="inlineStr">
        <is>
          <t>비고</t>
        </is>
      </c>
    </row>
    <row r="3" ht="28" customHeight="1" s="23">
      <c r="A3" s="64" t="n">
        <v>1</v>
      </c>
      <c r="B3" s="64" t="inlineStr">
        <is>
          <t>우리은행</t>
        </is>
      </c>
      <c r="C3" s="13" t="n">
        <v>649543</v>
      </c>
      <c r="D3" s="22" t="inlineStr">
        <is>
          <t>4.48 ~ 4.89%</t>
        </is>
      </c>
      <c r="E3" s="55" t="n"/>
      <c r="F3" s="22" t="inlineStr">
        <is>
          <t>일반자금</t>
        </is>
      </c>
    </row>
    <row r="4" ht="28" customHeight="1" s="23">
      <c r="A4" s="64" t="n">
        <v>2</v>
      </c>
      <c r="B4" s="64" t="inlineStr">
        <is>
          <t>하나은행</t>
        </is>
      </c>
      <c r="C4" s="13" t="n">
        <v>486290</v>
      </c>
      <c r="D4" s="22" t="inlineStr">
        <is>
          <t>5.00 ~ 5.58%</t>
        </is>
      </c>
      <c r="E4" s="55" t="n"/>
      <c r="F4" s="22" t="inlineStr">
        <is>
          <t>일반자금</t>
        </is>
      </c>
    </row>
    <row r="5" ht="18" customHeight="1" s="23">
      <c r="A5" s="64" t="n">
        <v>3</v>
      </c>
      <c r="B5" s="64" t="n"/>
      <c r="C5" s="64" t="n"/>
      <c r="D5" s="22" t="n"/>
      <c r="E5" s="64" t="n"/>
      <c r="F5" s="22" t="n"/>
    </row>
    <row r="6" ht="18" customHeight="1" s="23">
      <c r="A6" s="64" t="n">
        <v>4</v>
      </c>
      <c r="B6" s="64" t="n"/>
      <c r="C6" s="64" t="n"/>
      <c r="D6" s="22" t="n"/>
      <c r="E6" s="64" t="n"/>
      <c r="F6" s="22" t="n"/>
    </row>
    <row r="7" ht="18" customHeight="1" s="23">
      <c r="A7" s="64" t="n">
        <v>5</v>
      </c>
      <c r="B7" s="64" t="n"/>
      <c r="C7" s="64" t="n"/>
      <c r="D7" s="22" t="n"/>
      <c r="E7" s="64" t="n"/>
      <c r="F7" s="22" t="n"/>
    </row>
    <row r="8" ht="18" customHeight="1" s="23">
      <c r="A8" s="64" t="n">
        <v>6</v>
      </c>
      <c r="B8" s="64" t="n"/>
      <c r="C8" s="64" t="n"/>
      <c r="D8" s="22" t="n"/>
      <c r="E8" s="64" t="n"/>
      <c r="F8" s="22" t="n"/>
    </row>
    <row r="9" ht="18" customHeight="1" s="23">
      <c r="A9" s="64" t="n">
        <v>7</v>
      </c>
      <c r="B9" s="64" t="n"/>
      <c r="C9" s="64" t="n"/>
      <c r="D9" s="22" t="n"/>
      <c r="E9" s="64" t="n"/>
      <c r="F9" s="22" t="n"/>
    </row>
    <row r="10" ht="18" customHeight="1" s="23">
      <c r="A10" s="64" t="n">
        <v>8</v>
      </c>
      <c r="B10" s="64" t="n"/>
      <c r="C10" s="64" t="n"/>
      <c r="D10" s="22" t="n"/>
      <c r="E10" s="64" t="n"/>
      <c r="F10" s="22" t="n"/>
    </row>
    <row r="11" ht="18" customHeight="1" s="23">
      <c r="A11" s="64" t="n">
        <v>9</v>
      </c>
      <c r="B11" s="64" t="n"/>
      <c r="C11" s="64" t="n"/>
      <c r="D11" s="22" t="n"/>
      <c r="E11" s="64" t="n"/>
      <c r="F11" s="22" t="n"/>
    </row>
    <row r="12" ht="18" customHeight="1" s="23">
      <c r="A12" s="64" t="n">
        <v>10</v>
      </c>
      <c r="B12" s="64" t="n"/>
      <c r="C12" s="64" t="n"/>
      <c r="D12" s="22" t="n"/>
      <c r="E12" s="64" t="n"/>
      <c r="F12" s="22" t="n"/>
    </row>
    <row r="13">
      <c r="B13" s="0" t="inlineStr">
        <is>
          <t>소계</t>
        </is>
      </c>
      <c r="C13" s="45">
        <f>SUM(C3:C12)</f>
        <v/>
      </c>
    </row>
    <row r="14">
      <c r="A14" s="0" t="inlineStr">
        <is>
          <t>장기차입금</t>
        </is>
      </c>
    </row>
    <row r="15" ht="18" customHeight="1" s="23">
      <c r="A15" s="19" t="inlineStr">
        <is>
          <t>구분</t>
        </is>
      </c>
      <c r="B15" s="19" t="inlineStr">
        <is>
          <t>대출기관</t>
        </is>
      </c>
      <c r="C15" s="19" t="inlineStr">
        <is>
          <t>금액(천원)</t>
        </is>
      </c>
      <c r="D15" s="19" t="inlineStr">
        <is>
          <t>이자율</t>
        </is>
      </c>
      <c r="E15" s="19" t="inlineStr">
        <is>
          <t>기간</t>
        </is>
      </c>
      <c r="F15" s="19" t="inlineStr">
        <is>
          <t>비고</t>
        </is>
      </c>
    </row>
    <row r="16" ht="18" customHeight="1" s="23">
      <c r="A16" s="64" t="n">
        <v>1</v>
      </c>
      <c r="B16" s="64" t="inlineStr">
        <is>
          <t>중소벤처기업진흥공단</t>
        </is>
      </c>
      <c r="C16" s="13" t="n">
        <v>63710</v>
      </c>
      <c r="D16" s="22" t="inlineStr">
        <is>
          <t>2.84%</t>
        </is>
      </c>
      <c r="E16" s="64" t="inlineStr">
        <is>
          <t>2027년 일시상환</t>
        </is>
      </c>
      <c r="F16" s="22" t="inlineStr">
        <is>
          <t>일반자금</t>
        </is>
      </c>
    </row>
    <row r="17" ht="18" customHeight="1" s="23">
      <c r="A17" s="64" t="n">
        <v>2</v>
      </c>
      <c r="B17" s="64" t="n"/>
      <c r="C17" s="64" t="n"/>
      <c r="D17" s="22" t="n"/>
      <c r="E17" s="64" t="n"/>
      <c r="F17" s="22" t="n"/>
    </row>
    <row r="18" ht="18" customHeight="1" s="23">
      <c r="A18" s="64" t="n">
        <v>3</v>
      </c>
      <c r="B18" s="64" t="n"/>
      <c r="C18" s="64" t="n"/>
      <c r="D18" s="22" t="n"/>
      <c r="E18" s="64" t="n"/>
      <c r="F18" s="22" t="n"/>
    </row>
    <row r="19" ht="18" customHeight="1" s="23">
      <c r="A19" s="64" t="n">
        <v>4</v>
      </c>
      <c r="B19" s="64" t="n"/>
      <c r="C19" s="64" t="n"/>
      <c r="D19" s="22" t="n"/>
      <c r="E19" s="64" t="n"/>
      <c r="F19" s="22" t="n"/>
    </row>
    <row r="20" ht="18" customHeight="1" s="23">
      <c r="A20" s="64" t="n">
        <v>5</v>
      </c>
      <c r="B20" s="64" t="n"/>
      <c r="C20" s="64" t="n"/>
      <c r="D20" s="22" t="n"/>
      <c r="E20" s="64" t="n"/>
      <c r="F20" s="22" t="n"/>
    </row>
    <row r="21" ht="18" customHeight="1" s="23">
      <c r="A21" s="64" t="n">
        <v>6</v>
      </c>
      <c r="B21" s="64" t="n"/>
      <c r="C21" s="64" t="n"/>
      <c r="D21" s="22" t="n"/>
      <c r="E21" s="64" t="n"/>
      <c r="F21" s="22" t="n"/>
    </row>
    <row r="22" ht="18" customHeight="1" s="23">
      <c r="A22" s="64" t="n">
        <v>7</v>
      </c>
      <c r="B22" s="64" t="n"/>
      <c r="C22" s="64" t="n"/>
      <c r="D22" s="22" t="n"/>
      <c r="E22" s="64" t="n"/>
      <c r="F22" s="22" t="n"/>
    </row>
    <row r="23" ht="18" customHeight="1" s="23">
      <c r="A23" s="64" t="n">
        <v>8</v>
      </c>
      <c r="B23" s="64" t="n"/>
      <c r="C23" s="64" t="n"/>
      <c r="D23" s="22" t="n"/>
      <c r="E23" s="64" t="n"/>
      <c r="F23" s="22" t="n"/>
    </row>
    <row r="24" ht="18" customHeight="1" s="23">
      <c r="A24" s="64" t="n">
        <v>9</v>
      </c>
      <c r="B24" s="64" t="n"/>
      <c r="C24" s="64" t="n"/>
      <c r="D24" s="22" t="n"/>
      <c r="E24" s="64" t="n"/>
      <c r="F24" s="22" t="n"/>
    </row>
    <row r="25" ht="18" customHeight="1" s="23">
      <c r="A25" s="64" t="n">
        <v>10</v>
      </c>
      <c r="B25" s="64" t="n"/>
      <c r="C25" s="64" t="n"/>
      <c r="D25" s="22" t="n"/>
      <c r="E25" s="64" t="n"/>
      <c r="F25" s="22" t="n"/>
    </row>
    <row r="26">
      <c r="B26" s="0" t="inlineStr">
        <is>
          <t>소계</t>
        </is>
      </c>
      <c r="C26" s="45">
        <f>SUM(C16:C25)</f>
        <v/>
      </c>
    </row>
    <row r="28">
      <c r="A28" s="35" t="inlineStr">
        <is>
          <t>※ 2025-12-31 감사보고서 주석 5 기준 잔액. 차입금 관련 신용보증기금 보증 660,000천원, 대표이사 담보 제공. 현재(2026-10) 잔액은 별도 확인 필요.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B2" sqref="B2"/>
    </sheetView>
  </sheetViews>
  <sheetFormatPr baseColWidth="10" defaultColWidth="8.83203125" defaultRowHeight="17"/>
  <cols>
    <col width="41.1640625" customWidth="1" style="23" min="2" max="2"/>
    <col width="17" customWidth="1" style="23" min="3" max="3"/>
    <col width="17" customWidth="1" style="23" min="5" max="5"/>
  </cols>
  <sheetData>
    <row r="1" ht="18" customHeight="1" s="23">
      <c r="A1" s="19" t="inlineStr">
        <is>
          <t>순위</t>
        </is>
      </c>
      <c r="B1" s="19" t="inlineStr">
        <is>
          <t>거래처</t>
        </is>
      </c>
      <c r="C1" s="19" t="inlineStr">
        <is>
          <t>2025년 매출</t>
        </is>
      </c>
      <c r="D1" s="19" t="inlineStr">
        <is>
          <t>비중</t>
        </is>
      </c>
      <c r="E1" s="19" t="inlineStr">
        <is>
          <t>2026년 반기 매출</t>
        </is>
      </c>
      <c r="F1" s="19" t="inlineStr">
        <is>
          <t>비중</t>
        </is>
      </c>
    </row>
    <row r="2" ht="18" customHeight="1" s="23">
      <c r="A2" s="64" t="n">
        <v>1</v>
      </c>
      <c r="B2" s="64" t="inlineStr">
        <is>
          <t>네이버 스마트스토어(국내 B2C — 베이비·엘더리·위탁상품)</t>
        </is>
      </c>
      <c r="C2" s="13" t="n"/>
      <c r="D2" s="22" t="n"/>
      <c r="E2" s="13" t="n">
        <v>58318000</v>
      </c>
      <c r="F2" s="22">
        <f>IFERROR(E2/$E$13,0)</f>
        <v/>
      </c>
    </row>
    <row r="3" ht="18" customHeight="1" s="23">
      <c r="A3" s="64" t="n">
        <v>2</v>
      </c>
      <c r="B3" s="64" t="inlineStr">
        <is>
          <t>Punnita House(태국 총판, 베이비)</t>
        </is>
      </c>
      <c r="C3" s="13" t="n"/>
      <c r="D3" s="22" t="n"/>
      <c r="E3" s="13" t="n">
        <v>45882000</v>
      </c>
      <c r="F3" s="22">
        <f>IFERROR(E3/$E$13,0)</f>
        <v/>
      </c>
    </row>
    <row r="4" ht="18" customHeight="1" s="23">
      <c r="A4" s="64" t="n">
        <v>3</v>
      </c>
      <c r="B4" s="64" t="inlineStr">
        <is>
          <t>Little Loft(대만 총판, 베이비)</t>
        </is>
      </c>
      <c r="C4" s="13" t="n"/>
      <c r="D4" s="22" t="n"/>
      <c r="E4" s="13" t="n">
        <v>30950000</v>
      </c>
      <c r="F4" s="22">
        <f>IFERROR(E4/$E$13,0)</f>
        <v/>
      </c>
    </row>
    <row r="5" ht="18" customHeight="1" s="23">
      <c r="A5" s="64" t="n">
        <v>4</v>
      </c>
      <c r="B5" s="64" t="inlineStr">
        <is>
          <t>쿠팡(국내 B2C — 베이비·엘더리)</t>
        </is>
      </c>
      <c r="C5" s="13" t="n"/>
      <c r="D5" s="22" t="n"/>
      <c r="E5" s="13" t="n">
        <v>26917000</v>
      </c>
      <c r="F5" s="22">
        <f>IFERROR(E5/$E$13,0)</f>
        <v/>
      </c>
    </row>
    <row r="6" ht="18" customHeight="1" s="23">
      <c r="A6" s="64" t="n">
        <v>5</v>
      </c>
      <c r="B6" s="64" t="inlineStr">
        <is>
          <t>INTEGA Healthcare(싱가포르·말레이시아·태국 총판)</t>
        </is>
      </c>
      <c r="C6" s="13" t="n"/>
      <c r="D6" s="22" t="n"/>
      <c r="E6" s="13" t="n">
        <v>25921000</v>
      </c>
      <c r="F6" s="22">
        <f>IFERROR(E6/$E$13,0)</f>
        <v/>
      </c>
    </row>
    <row r="7" ht="18" customHeight="1" s="23">
      <c r="A7" s="64" t="n">
        <v>6</v>
      </c>
      <c r="B7" s="64" t="inlineStr">
        <is>
          <t>복지용구(국민건강보험 급여, 기저귀센서)</t>
        </is>
      </c>
      <c r="C7" s="13" t="n"/>
      <c r="D7" s="22" t="n"/>
      <c r="E7" s="13" t="n">
        <v>15795000</v>
      </c>
      <c r="F7" s="22">
        <f>IFERROR(E7/$E$13,0)</f>
        <v/>
      </c>
    </row>
    <row r="8" ht="18" customHeight="1" s="23">
      <c r="A8" s="64" t="n">
        <v>7</v>
      </c>
      <c r="B8" s="64" t="inlineStr">
        <is>
          <t>기타 B2C(자사몰 등, 베이비)</t>
        </is>
      </c>
      <c r="C8" s="13" t="n"/>
      <c r="D8" s="22" t="n"/>
      <c r="E8" s="13" t="n">
        <v>14224000</v>
      </c>
      <c r="F8" s="22">
        <f>IFERROR(E8/$E$13,0)</f>
        <v/>
      </c>
    </row>
    <row r="9" ht="18" customHeight="1" s="23">
      <c r="A9" s="64" t="n">
        <v>8</v>
      </c>
      <c r="B9" s="64" t="inlineStr">
        <is>
          <t>GISI Distribution(유럽 총판 — 네덜란드·룩셈부르크·독일·폴란드)</t>
        </is>
      </c>
      <c r="C9" s="13" t="n"/>
      <c r="D9" s="22" t="n"/>
      <c r="E9" s="13" t="n">
        <v>6359000</v>
      </c>
      <c r="F9" s="22">
        <f>IFERROR(E9/$E$13,0)</f>
        <v/>
      </c>
    </row>
    <row r="10" ht="18" customHeight="1" s="23">
      <c r="A10" s="64" t="n">
        <v>9</v>
      </c>
      <c r="B10" s="64" t="inlineStr">
        <is>
          <t>-</t>
        </is>
      </c>
      <c r="C10" s="13" t="n"/>
      <c r="D10" s="22" t="n"/>
      <c r="E10" s="13" t="n"/>
      <c r="F10" s="22" t="n"/>
    </row>
    <row r="11" ht="18" customHeight="1" s="23">
      <c r="A11" s="64" t="n">
        <v>10</v>
      </c>
      <c r="B11" s="64" t="inlineStr">
        <is>
          <t>-</t>
        </is>
      </c>
      <c r="C11" s="13" t="n"/>
      <c r="D11" s="22" t="n"/>
      <c r="E11" s="13" t="n"/>
      <c r="F11" s="22" t="n"/>
    </row>
    <row r="12">
      <c r="A12" s="64" t="inlineStr">
        <is>
          <t>기타</t>
        </is>
      </c>
      <c r="B12" s="64" t="inlineStr">
        <is>
          <t>기타(반기 재무제표 매출 − 거래처 매출표 합계: 월 귀속·단위 반올림·매출표 미집계분)</t>
        </is>
      </c>
      <c r="C12" s="13" t="n"/>
      <c r="D12" s="22" t="n"/>
      <c r="E12" s="13">
        <f>E13-SUM(E2:E11)</f>
        <v/>
      </c>
      <c r="F12" s="22">
        <f>IFERROR(E12/$E$13,0)</f>
        <v/>
      </c>
    </row>
    <row r="13">
      <c r="A13" s="68" t="inlineStr">
        <is>
          <t>합계</t>
        </is>
      </c>
      <c r="B13" s="68" t="inlineStr">
        <is>
          <t>합계(2025 감사보고서 매출액 / 2026 반기 재무제표 매출액)</t>
        </is>
      </c>
      <c r="C13" s="69" t="n">
        <v>854163091</v>
      </c>
      <c r="D13" s="70" t="n">
        <v>1</v>
      </c>
      <c r="E13" s="69" t="n">
        <v>244611136</v>
      </c>
      <c r="F13" s="70">
        <f>SUM(F2:F12)</f>
        <v/>
      </c>
    </row>
    <row r="15">
      <c r="A15" s="71" t="inlineStr">
        <is>
          <t>※ 2026년 반기: 사업계획 엑셀(4_매출_거래처, 2026-01~06 실적 — 거래처 매출표 천원 단위) 기준으로 거래처별 집계. 합계는 2026년 반기 손익계산서 매출액(244,611,136원)이며, 거래처 매출표 합계(224,366천원)와의 차이 20,245,136원은 "기타"로 표시.</t>
        </is>
      </c>
    </row>
    <row r="16">
      <c r="A16" s="71" t="inlineStr">
        <is>
          <t>※ 2025년 거래처별 매출: 회사 자료 미제공(회계 장부·세금계산서 기준 작성 필요). 2025년 매출 합계는 854,163,091원(2025 감사보고서).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21" sqref="D21"/>
    </sheetView>
  </sheetViews>
  <sheetFormatPr baseColWidth="10" defaultColWidth="8.83203125" defaultRowHeight="17"/>
  <cols>
    <col width="5" customWidth="1" style="23" min="1" max="1"/>
    <col width="20" customWidth="1" style="23" min="2" max="2"/>
    <col width="34" customWidth="1" style="23" min="3" max="3"/>
    <col width="90" customWidth="1" style="23" min="4" max="4"/>
  </cols>
  <sheetData>
    <row r="1" ht="33" customHeight="1" s="23">
      <c r="A1" s="29" t="inlineStr">
        <is>
          <t>#</t>
        </is>
      </c>
      <c r="B1" s="29" t="inlineStr">
        <is>
          <t>시트</t>
        </is>
      </c>
      <c r="C1" s="29" t="inlineStr">
        <is>
          <t>확인할 내용</t>
        </is>
      </c>
      <c r="D1" s="29" t="inlineStr">
        <is>
          <t>현재 기재 및 근거</t>
        </is>
      </c>
    </row>
    <row r="2" ht="33" customHeight="1" s="23">
      <c r="A2" s="27" t="n">
        <v>1</v>
      </c>
      <c r="B2" s="27" t="inlineStr">
        <is>
          <t>주주명부</t>
        </is>
      </c>
      <c r="C2" s="27" t="inlineStr">
        <is>
          <t>박도형 대표 보유 주식수 상충</t>
        </is>
      </c>
      <c r="D2" s="27" t="inlineStr">
        <is>
          <t>해결: 2026-10-01자 주주명부(raw/모닛회사기본자료/모닛_주주명부_261001.docx) 52,000주로 재작성. 날인 후 첨부.</t>
        </is>
      </c>
    </row>
    <row r="3" ht="33" customHeight="1" s="23">
      <c r="A3" s="27" t="n">
        <v>2</v>
      </c>
      <c r="B3" s="27" t="inlineStr">
        <is>
          <t>주주명부</t>
        </is>
      </c>
      <c r="C3" s="27" t="inlineStr">
        <is>
          <t>2종 전환상환우선주 2,471주(2020-04-21 취득) 주주명</t>
        </is>
      </c>
      <c r="D3" s="27" t="inlineStr">
        <is>
          <t>해결: 2026-03-31 주주명부 원본에서 인라이트 행과 칸이 합쳐져 있음 → 인라이트3호CG펀드 확정.</t>
        </is>
      </c>
    </row>
    <row r="4" ht="33" customHeight="1" s="23">
      <c r="A4" s="27" t="n">
        <v>3</v>
      </c>
      <c r="B4" s="27" t="inlineStr">
        <is>
          <t>자본금변동·주주명부</t>
        </is>
      </c>
      <c r="C4" s="27" t="inlineStr">
        <is>
          <t>Hansoms 현물출자 신주 발행 여부</t>
        </is>
      </c>
      <c r="D4" s="27" t="inlineStr">
        <is>
          <t>계약상 보통주 최대 3,102주(주당 USD 144.42), 납품·검수 후 회차별 발행. 발행 사실 있으면 자본금변동·주주명부에 추가.</t>
        </is>
      </c>
    </row>
    <row r="5" ht="33" customHeight="1" s="23">
      <c r="A5" s="27" t="n">
        <v>4</v>
      </c>
      <c r="B5" s="27" t="inlineStr">
        <is>
          <t>자본금변동내역</t>
        </is>
      </c>
      <c r="C5" s="27" t="inlineStr">
        <is>
          <t>회차별 1주당 발행가</t>
        </is>
      </c>
      <c r="D5" s="27" t="inlineStr">
        <is>
          <t>등기부·감사보고서에 없음. 투자계약서 또는 주금납입증명서 필요.</t>
        </is>
      </c>
    </row>
    <row r="6" ht="33" customHeight="1" s="23">
      <c r="A6" s="27" t="n">
        <v>5</v>
      </c>
      <c r="B6" s="27" t="inlineStr">
        <is>
          <t>BS / IS</t>
        </is>
      </c>
      <c r="C6" s="27" t="inlineStr">
        <is>
          <t>2026년 6월 반기 결산</t>
        </is>
      </c>
      <c r="D6" s="27" t="inlineStr">
        <is>
          <t>해결: 2026년 반기 재무제표(제10기 2026-06-30, 회사 제공 PDF) 반영 — BS 2026.06 열, IS 2026.06(반기) 열. 반기 매출 2.45억, 매출총손실 0.89억, 영업손실 5.16억, 정부보조금수익 1.73억, 당기순손실 3.71억, 자본총계 8.67억.</t>
        </is>
      </c>
    </row>
    <row r="7" ht="33" customHeight="1" s="23">
      <c r="A7" s="27" t="n">
        <v>6</v>
      </c>
      <c r="B7" s="27" t="inlineStr">
        <is>
          <t>거래처 현황</t>
        </is>
      </c>
      <c r="C7" s="27" t="inlineStr">
        <is>
          <t>2025년·2026년 상반기 거래처별 매출</t>
        </is>
      </c>
      <c r="D7" s="27" t="inlineStr">
        <is>
          <t>2026 반기: 사업계획 엑셀 거래처 매출표(2026-01~06) 기준 8개 거래처 반영, 재무제표 매출과의 차이 20,245,136원은 "기타"로 표시. 2025년 거래처별 매출은 여전히 자료 없음(회계 장부·세금계산서 기준 작성 필요).</t>
        </is>
      </c>
    </row>
    <row r="8" ht="33" customHeight="1" s="23">
      <c r="A8" s="27" t="n">
        <v>7</v>
      </c>
      <c r="B8" s="27" t="inlineStr">
        <is>
          <t>스톡옵션발행내역</t>
        </is>
      </c>
      <c r="C8" s="27" t="inlineStr">
        <is>
          <t>실제 부여 내역</t>
        </is>
      </c>
      <c r="D8" s="27" t="inlineStr">
        <is>
          <t>등기부에는 부여 근거 조항만 있음. 부여 이력이 없다면 「해당 없음」으로 기재.</t>
        </is>
      </c>
    </row>
    <row r="9" ht="33" customHeight="1" s="23">
      <c r="A9" s="27" t="n">
        <v>8</v>
      </c>
      <c r="B9" s="27" t="inlineStr">
        <is>
          <t>임직원 현황</t>
        </is>
      </c>
      <c r="C9" s="27" t="inlineStr">
        <is>
          <t>전원 학력 · 이희현 외 직원의 직책 · 경력</t>
        </is>
      </c>
      <c r="D9" s="27" t="inlineStr">
        <is>
          <t>볼트 자료에 근거 없음. John Lee(CTO)·Angela Kim(CXO)이 명부상 누구인지 매칭 필요.</t>
        </is>
      </c>
    </row>
    <row r="10" ht="128" customHeight="1" s="23">
      <c r="A10" s="27" t="n">
        <v>9</v>
      </c>
      <c r="B10" s="27" t="inlineStr">
        <is>
          <t>임직원 현황·조직도</t>
        </is>
      </c>
      <c r="C10" s="27" t="inlineStr">
        <is>
          <t>IR 자료 간 팀 소개 상충</t>
        </is>
      </c>
      <c r="D10" s="27" t="inlineStr">
        <is>
          <t>9/27 IR PDF·KOSME 신청서: Asher Cho=삼성 IT 강사, Angela Kim=유한킴벌리 출신. 9/09 IR(HTML): John Lee=삼성 교육 강사, Asher Cho=前 유한킴벌리, Angela Kim=고객경험 10년. 조언석 팀장이 기저귀 담당이라는 메일 기록과 맞는 9/09 버전이 맞을 가능성이 높음 → 9/27 IR·KOSME 신청서 수정 검토.</t>
        </is>
      </c>
    </row>
    <row r="11" ht="60" customHeight="1" s="23">
      <c r="A11" s="27" t="n">
        <v>10</v>
      </c>
      <c r="B11" s="27" t="inlineStr">
        <is>
          <t>차입금 현황</t>
        </is>
      </c>
      <c r="C11" s="27" t="inlineStr">
        <is>
          <t>대출 기간 및 현재 잔액</t>
        </is>
      </c>
      <c r="D11" s="27" t="inlineStr">
        <is>
          <t>2025-12-31 감사보고서 기준 잔액. 현재 잔액·만기 확인.</t>
        </is>
      </c>
    </row>
    <row r="12" ht="68" customHeight="1" s="23">
      <c r="A12" s="27" t="n">
        <v>11</v>
      </c>
      <c r="B12" s="27" t="inlineStr">
        <is>
          <t>회사연혁</t>
        </is>
      </c>
      <c r="C12" s="27" t="inlineStr">
        <is>
          <t>노란색 항목 날짜 · 금액</t>
        </is>
      </c>
      <c r="D12" s="27" t="inlineStr">
        <is>
          <t>홈페이지 연혁으로 확정: WT Innovation World Cup 2025.09, IMH 2026.02, 혁신복지용구 시범사업 2023.12, 복지용구 본급여 2024.12. 아직 노란색: Intega 첫 수출월, NHG 3개 병원 계약월, Hansoms 계약일, 2023 흑자전환(2023 결산 수치로 확인), 창업도약패키지·HeartCare·GITEX 2024 월. 일본 TAIS 등록일은 웹에서도 못 찾음.</t>
        </is>
      </c>
    </row>
    <row r="13" ht="33" customHeight="1" s="23">
      <c r="A13" s="27" t="n">
        <v>12</v>
      </c>
      <c r="B13" s="27" t="inlineStr">
        <is>
          <t>회사개요</t>
        </is>
      </c>
      <c r="C13" s="27" t="inlineStr">
        <is>
          <t>직원수</t>
        </is>
      </c>
      <c r="D13" s="27" t="inlineStr">
        <is>
          <t>4대보험 명부 2026-07-07 기준 7명. 이후 변동 확인.</t>
        </is>
      </c>
    </row>
    <row r="14" ht="33" customHeight="1" s="23">
      <c r="A14" s="27" t="n">
        <v>13</v>
      </c>
      <c r="B14" s="27" t="inlineStr">
        <is>
          <t>조직도·임직원 현황</t>
        </is>
      </c>
      <c r="C14" s="27" t="inlineStr">
        <is>
          <t>홈페이지 팀 소개와 불일치</t>
        </is>
      </c>
      <c r="D14" s="27" t="inlineStr">
        <is>
          <t>홈페이지(2026-10-04): CMO Asher Jo(前 유한킴벌리 사업부 리드, 위생용품 20년) 표기. 조직도 시트에는 CMO 없음 → 조언석 팀장과 동일인인지 확인 후 반영.</t>
        </is>
      </c>
    </row>
    <row r="15" ht="33" customHeight="1" s="23">
      <c r="A15" s="27" t="n">
        <v>14</v>
      </c>
      <c r="B15" s="27" t="inlineStr">
        <is>
          <t>회사개요</t>
        </is>
      </c>
      <c r="C15" s="27" t="inlineStr">
        <is>
          <t>대표 전화번호 상충</t>
        </is>
      </c>
      <c r="D15" s="27" t="inlineStr">
        <is>
          <t>시트: 02-6927-5425 / 홈페이지 하단: 070-4349-0325, support@goodmonit.com. 제출용 번호 확정 필요.</t>
        </is>
      </c>
    </row>
    <row r="16">
      <c r="A16" s="72" t="n">
        <v>15</v>
      </c>
      <c r="B16" s="72" t="inlineStr">
        <is>
          <t>BS / IS · 5개년 사업계획</t>
        </is>
      </c>
      <c r="C16" s="72" t="inlineStr">
        <is>
          <t>2026 반기 실적과 5개년 사업계획(2026) 정합</t>
        </is>
      </c>
      <c r="D16" s="72" t="inlineStr">
        <is>
          <t>반기 실적: 매출 2.45억, 매출원가 3.34억(매출총손실), 판관비 4.27억, 영업손실 5.16억, 정부보조금수익 1.73억, 당기순손실 3.71억. 5개년 사업계획(S1)의 2026은 연간 매출 12.01억·영업이익 +0.22억으로, 1~6월 매출(2.24억)은 비슷하나 원가·판관비·보조금 수준이 반기 실적과 크게 다름.</t>
        </is>
      </c>
    </row>
    <row r="18" ht="18" customHeight="1" s="2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shinhyuk kang</dc:creator>
  <dcterms:created xsi:type="dcterms:W3CDTF">2026-10-01T01:26:14Z</dcterms:created>
  <dcterms:modified xsi:type="dcterms:W3CDTF">2026-10-10T13:55:31Z</dcterms:modified>
  <cp:lastModifiedBy>dohyeong park</cp:lastModifiedBy>
</cp:coreProperties>
</file>